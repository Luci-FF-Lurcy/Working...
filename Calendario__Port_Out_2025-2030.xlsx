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fcd5f3b8c541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A" sheetId="1" r:id="R91b6621ed39249b1"/>
    <x:sheet xmlns:r="http://schemas.openxmlformats.org/officeDocument/2006/relationships" name="FERIADOS" sheetId="2" r:id="R1daab7c8824f4880"/>
    <x:sheet xmlns:r="http://schemas.openxmlformats.org/officeDocument/2006/relationships" name="CALENDARIO_TABLEAU" sheetId="3" r:id="R7fdcd5bc4ad84fa3"/>
    <x:sheet xmlns:r="http://schemas.openxmlformats.org/officeDocument/2006/relationships" name="PRUEBAS" sheetId="4" r:id="Rec17d43cdef547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mmm yyyy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9"/>
      <x:color rgb="FFFFFFFF"/>
      <x:name val="Carlito"/>
    </x:font>
    <x:font>
      <x:sz val="11"/>
      <x:color rgb="FF29465B"/>
      <x:name val="Carlito"/>
    </x:font>
    <x:font>
      <x:b/>
      <x:sz val="11"/>
      <x:name val="Carlito"/>
    </x:font>
    <x:font>
      <x:sz val="11"/>
      <x:color rgb="FF1266A3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DEAEF"/>
      </x:patternFill>
    </x:fill>
    <x:fill>
      <x:patternFill patternType="solid">
        <x:fgColor rgb="FF0D817A"/>
      </x:patternFill>
    </x:fill>
    <x:fill>
      <x:patternFill patternType="solid">
        <x:fgColor rgb="FFF1F6F9"/>
      </x:patternFill>
    </x:fill>
    <x:fill>
      <x:patternFill patternType="solid">
        <x:fgColor rgb="FFE4F4F0"/>
      </x:patternFill>
    </x:fill>
    <x:fill>
      <x:patternFill patternType="solid">
        <x:fgColor rgb="FFFFF1DC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0" borderId="0" xfId="0" applyNumberFormat="1" applyFont="1" applyFill="1" applyBorder="1"/>
    <x:xf numFmtId="0" fontId="0" fillId="0" borderId="0" xfId="0" applyNumberFormat="1" applyFont="1" applyFill="1" applyBorder="1"/>
  </x:cellXfs>
  <x:cellStyles count="1">
    <x:cellStyle name="Normal" xfId="0"/>
  </x:cellStyles>
  <x:dxfs count="5">
    <x:dxf>
      <x:font>
        <x:b/>
        <x:color rgb="FF9B1C1C"/>
      </x:font>
      <x:fill>
        <x:patternFill>
          <x:bgColor rgb="FFFFE5E3"/>
        </x:patternFill>
      </x:fill>
    </x:dxf>
    <x:dxf>
      <x:font>
        <x:b/>
        <x:color rgb="FF0D6249"/>
      </x:font>
      <x:fill>
        <x:patternFill>
          <x:bgColor rgb="FFE2F5EC"/>
        </x:patternFill>
      </x:fill>
    </x:dxf>
    <x:dxf>
      <x:font>
        <x:color rgb="FF8F5100"/>
      </x:font>
      <x:fill>
        <x:patternFill>
          <x:bgColor rgb="FFFFF0D5"/>
        </x:patternFill>
      </x:fill>
    </x:dxf>
    <x:dxf>
      <x:font>
        <x:color rgb="FF2359B2"/>
      </x:font>
      <x:fill>
        <x:patternFill>
          <x:bgColor rgb="FFE1ECFF"/>
        </x:patternFill>
      </x:fill>
    </x:dxf>
    <x:dxf>
      <x:font>
        <x:color rgb="FF875200"/>
      </x:font>
      <x:fill>
        <x:patternFill>
          <x:bgColor rgb="FFFFF1D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39f245c7b14fe4" /><Relationship Type="http://schemas.openxmlformats.org/officeDocument/2006/relationships/theme" Target="/xl/theme/theme1.xml" Id="R0554a318424b4bf4" /><Relationship Type="http://schemas.openxmlformats.org/officeDocument/2006/relationships/sharedStrings" Target="/xl/sharedStrings.xml" Id="Rc7c76f0432e747ff" /><Relationship Type="http://schemas.openxmlformats.org/officeDocument/2006/relationships/worksheet" Target="/xl/worksheets/sheet1.xml" Id="R91b6621ed39249b1" /><Relationship Type="http://schemas.openxmlformats.org/officeDocument/2006/relationships/worksheet" Target="/xl/worksheets/sheet2.xml" Id="R1daab7c8824f4880" /><Relationship Type="http://schemas.openxmlformats.org/officeDocument/2006/relationships/worksheet" Target="/xl/worksheets/sheet3.xml" Id="R7fdcd5bc4ad84fa3" /><Relationship Type="http://schemas.openxmlformats.org/officeDocument/2006/relationships/worksheet" Target="/xl/worksheets/sheet4.xml" Id="Rec17d43cdef547fb" /></Relationships>
</file>

<file path=xl/tables/table1.xml><?xml version="1.0" encoding="utf-8"?>
<x:table xmlns:x="http://schemas.openxmlformats.org/spreadsheetml/2006/main" id="1" name="TablaFeriados" displayName="TablaFeriados" ref="A1:E59" headerRowCount="1" totalsRowCount="0" totalsRowShown="0">
  <x:tableColumns count="5">
    <x:tableColumn id="1" name="FECHA_NO_LABORABLE"/>
    <x:tableColumn id="2" name="FERIADO_O_MOTIVO"/>
    <x:tableColumn id="3" name="TIPO"/>
    <x:tableColumn id="4" name="ORIGEN"/>
    <x:tableColumn id="5" name="URL_FUEN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lendarioPortOut" displayName="CalendarioPortOut" ref="A1:I1827" headerRowCount="1" totalsRowCount="0" totalsRowShown="0">
  <x:tableColumns count="9">
    <x:tableColumn id="1" name="FECHA_CALENDARIO"/>
    <x:tableColumn id="2" name="DIA_SEMANA"/>
    <x:tableColumn id="3" name="ES_FERIADO"/>
    <x:tableColumn id="4" name="ES_LABORABLE"/>
    <x:tableColumn id="5" name="FECHA_GESTION"/>
    <x:tableColumn id="6" name="CIERRE_2_LABORABLES"/>
    <x:tableColumn id="7" name="MES_REPORTE"/>
    <x:tableColumn id="8" name="MOTIVO_AJUSTE"/>
    <x:tableColumn id="9" name="PERIODO_REPOR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0285367f76b412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014459c17294f70" /></Relationships>
</file>

<file path=xl/worksheets/sheet1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85" hidden="0" customWidth="1"/>
    <x:col min="3" max="3" width="4" hidden="0" customWidth="1"/>
    <x:col min="4" max="4" width="30" hidden="0" customWidth="1"/>
    <x:col min="5" max="5" width="28" hidden="0" customWidth="1"/>
    <x:col min="6" max="6" width="29" hidden="0" customWidth="1"/>
  </x:cols>
  <x:sheetData>
    <x:row r="1" ht="30" customHeight="1">
      <x:c r="A1" s="17" t="str">
        <x:v>CALENDARIO LABORAL · PORT OUT</x:v>
      </x:c>
      <x:c r="B1" s="17"/>
      <x:c r="C1" s="17"/>
      <x:c r="D1" s="17"/>
      <x:c r="E1" s="17"/>
      <x:c r="F1" s="17"/>
    </x:row>
    <x:row r="2" ht="30" customHeight="1">
      <x:c r="A2" s="17"/>
      <x:c r="B2" s="17"/>
      <x:c r="C2" s="17"/>
      <x:c r="D2" s="17"/>
      <x:c r="E2" s="17"/>
      <x:c r="F2" s="17"/>
    </x:row>
    <x:row r="3" ht="32" customHeight="1">
      <x:c r="A3" s="22" t="str">
        <x:v>Ecuador | 2025–2030 | calendario diario para Tableau, con continuidad de cierre a enero de 2031</x:v>
      </x:c>
      <x:c r="B3" s="22"/>
      <x:c r="C3" s="22"/>
      <x:c r="D3" s="22"/>
      <x:c r="E3" s="22"/>
      <x:c r="F3" s="22"/>
    </x:row>
    <x:row r="5" ht="30" customHeight="1">
      <x:c r="A5" s="27" t="str">
        <x:v>IMPLEMENTACIÓN EN TABLEAU</x:v>
      </x:c>
      <x:c r="B5" s="27"/>
      <x:c r="D5" s="27" t="str">
        <x:v>REGLAS Y MANTENIMIENTO</x:v>
      </x:c>
      <x:c r="E5" s="27"/>
      <x:c r="F5" s="27"/>
    </x:row>
    <x:row r="7" ht="27" customHeight="1">
      <x:c r="A7" s="32" t="str">
        <x:v>1. Conecta la hoja CALENDARIO_TABLEAU como fuente auxiliar; contiene exactamente una fila por FECHA_CALENDARIO.</x:v>
      </x:c>
      <x:c r="B7" s="32"/>
      <x:c r="D7" s="32" t="str">
        <x:v>Regla 1: sábado y domingo se trasladan al siguiente día laborable.</x:v>
      </x:c>
      <x:c r="E7" s="32"/>
      <x:c r="F7" s="32"/>
    </x:row>
    <x:row r="8" ht="27" customHeight="1">
      <x:c r="A8" s="32"/>
      <x:c r="B8" s="32"/>
      <x:c r="D8" s="32"/>
      <x:c r="E8" s="32"/>
      <x:c r="F8" s="32"/>
    </x:row>
    <x:row r="10" ht="27" customHeight="1">
      <x:c r="A10" s="32" t="str">
        <x:v>2. Relaciona DATE([FECHA_PROCESO]) de OID_DB con FECHA_CALENDARIO del Excel; no relaciones contra FERIADOS directamente.</x:v>
      </x:c>
      <x:c r="B10" s="32"/>
      <x:c r="D10" s="32" t="str">
        <x:v>Regla 2: cualquier fecha de feriado o día no laborable nacional se traslada al siguiente día laborable.</x:v>
      </x:c>
      <x:c r="E10" s="32"/>
      <x:c r="F10" s="32"/>
    </x:row>
    <x:row r="11" ht="27" customHeight="1">
      <x:c r="A11" s="32"/>
      <x:c r="B11" s="32"/>
      <x:c r="D11" s="32"/>
      <x:c r="E11" s="32"/>
      <x:c r="F11" s="32"/>
    </x:row>
    <x:row r="13" ht="27" customHeight="1">
      <x:c r="A13" s="32" t="str">
        <x:v>3. Usa PERIODO_REPORTE (AAAA-MM) como columna y MES_REPORTE si necesitas una fecha mensual real; conserva la medida hasta validar el resultado.</x:v>
      </x:c>
      <x:c r="B13" s="32"/>
      <x:c r="D13" s="32" t="str">
        <x:v>Regla 3: si la FECHA_GESTION resultante está entre los dos últimos días laborables del mes, MES_REPORTE será el primer día del mes siguiente.</x:v>
      </x:c>
      <x:c r="E13" s="32"/>
      <x:c r="F13" s="32"/>
    </x:row>
    <x:row r="14" ht="27" customHeight="1">
      <x:c r="A14" s="32"/>
      <x:c r="B14" s="32"/>
      <x:c r="D14" s="32"/>
      <x:c r="E14" s="32"/>
      <x:c r="F14" s="32"/>
    </x:row>
    <x:row r="16" ht="27" customHeight="1">
      <x:c r="A16" s="32" t="str">
        <x:v>4. Antes de publicar, prueba los filtros de mes existentes. Podrían excluir registros trasladados entre meses.</x:v>
      </x:c>
      <x:c r="B16" s="32"/>
      <x:c r="D16" s="32" t="str">
        <x:v>Para actualizar feriados: edita la hoja FERIADOS dentro de las filas 2 a 250, abre/guarda Excel para recalcular y vuelve a publicar el libro si el Excel está empaquetado.</x:v>
      </x:c>
      <x:c r="E16" s="32"/>
      <x:c r="F16" s="32"/>
    </x:row>
    <x:row r="17" ht="27" customHeight="1">
      <x:c r="A17" s="32"/>
      <x:c r="B17" s="32"/>
      <x:c r="D17" s="32"/>
      <x:c r="E17" s="32"/>
      <x:c r="F17" s="32"/>
    </x:row>
    <x:row r="19" ht="29" customHeight="1">
      <x:c r="A19" s="5" t="str">
        <x:v>PUNTOS DE CONTROL</x:v>
      </x:c>
      <x:c r="B19" s="5"/>
      <x:c r="C19" s="5"/>
      <x:c r="D19" s="5"/>
      <x:c r="E19" s="5"/>
      <x:c r="F19" s="5"/>
    </x:row>
    <x:row r="20" ht="23" customHeight="1">
      <x:c r="A20" s="38" t="str">
        <x:v>PUNTOS DE CONTROL: diciembre 2025 (30 y 31) se reporta en enero 2026; septiembre 2026 (29 y 30) en octubre; diciembre 2030 en enero 2031. Consulta PRUEBAS (22 casos con OK).</x:v>
      </x:c>
      <x:c r="B20" s="38"/>
      <x:c r="C20" s="38"/>
      <x:c r="D20" s="38"/>
      <x:c r="E20" s="38"/>
      <x:c r="F20" s="38"/>
    </x:row>
    <x:row r="21" ht="23" customHeight="1">
      <x:c r="A21" s="38"/>
      <x:c r="B21" s="38"/>
      <x:c r="C21" s="38"/>
      <x:c r="D21" s="38"/>
      <x:c r="E21" s="38"/>
      <x:c r="F21" s="38"/>
    </x:row>
    <x:row r="23" ht="29" customHeight="1">
      <x:c r="A23" s="5" t="str">
        <x:v>FUENTES Y ALCANCE</x:v>
      </x:c>
      <x:c r="B23" s="5"/>
      <x:c r="C23" s="5"/>
      <x:c r="D23" s="5"/>
      <x:c r="E23" s="5"/>
      <x:c r="F23" s="5"/>
    </x:row>
    <x:row r="24" ht="24" customHeight="1">
      <x:c r="A24" s="32" t="str">
        <x:v>ALCANCE: 2025 completo añadido con feriados nacionales y descansos extraordinarios (enero 2–3 y abril 17). Se conserva 2026–2030, con los feriados y excepciones ya cargados, más el 01/01/2031 para continuidad.</x:v>
      </x:c>
      <x:c r="B24" s="32"/>
      <x:c r="C24" s="32"/>
      <x:c r="D24" s="32"/>
      <x:c r="E24" s="32"/>
      <x:c r="F24" s="32"/>
    </x:row>
    <x:row r="25" ht="24" customHeight="1">
      <x:c r="A25" s="32"/>
      <x:c r="B25" s="32"/>
      <x:c r="C25" s="32"/>
      <x:c r="D25" s="32"/>
      <x:c r="E25" s="32"/>
      <x:c r="F25" s="32"/>
    </x:row>
    <x:row r="27" ht="25" customHeight="1">
      <x:c r="A27" s="44" t="str">
        <x:v>IMPORTANTE: verificar calendarios extraordinarios y futuras reformas; feriados locales no incluidos. El 17/04/2025 fue suspensión recuperable en ciertos sectores. Tableau Server debe actualizar o reempaquetar el Excel modificado; no se actualiza por sí solo dentro de un TWBX.</x:v>
      </x:c>
      <x:c r="B27" s="44"/>
      <x:c r="C27" s="44"/>
      <x:c r="D27" s="44"/>
      <x:c r="E27" s="44"/>
      <x:c r="F27" s="44"/>
    </x:row>
    <x:row r="28" ht="25" customHeight="1">
      <x:c r="A28" s="44"/>
      <x:c r="B28" s="44"/>
      <x:c r="C28" s="44"/>
      <x:c r="D28" s="44"/>
      <x:c r="E28" s="44"/>
      <x:c r="F28" s="44"/>
    </x:row>
    <x:row r="30">
      <x:c r="A30" s="48" t="str">
        <x:v>Fuente feriados 2025–2030</x:v>
      </x:c>
      <x:c r="B30" s="50" t="str">
        <x:v>https://www.expreso.ec/uploads/files/2025/09/02/Calendario-feriados-nacionales-2025-2030.pdf</x:v>
      </x:c>
    </x:row>
    <x:row r="31">
      <x:c r="A31" s="48" t="str">
        <x:v>Fuente suspensión 20/11/2026</x:v>
      </x:c>
      <x:c r="B31" s="50" t="str">
        <x:v>https://gobernacionloja.gob.ec/suspension-de-jornada-laboral-este-20-de-noviembre-impulsara-el-turismo-y-el-fiavl-2026/</x:v>
      </x:c>
    </x:row>
    <x:row r="32">
      <x:c r="A32" s="48" t="str">
        <x:v>Fuente descanso 02/01/2026</x:v>
      </x:c>
      <x:c r="B32" s="50" t="str">
        <x:v>https://www.eluniverso.com/noticias/ecuador/este-es-calendario-oficial-de-feriados-para-ecuador-en-el-2026-nota/</x:v>
      </x:c>
    </x:row>
    <x:row r="34">
      <x:c r="A34" t="str">
        <x:v>Fuente calendario nacional 2025</x:v>
      </x:c>
      <x:c r="B34" t="str">
        <x:v>https://www.turismo.gob.ec/wp-content/uploads/2022/12/CALENDARIO-FERIADOS-2023-2025-06-12-2022-.pdf</x:v>
      </x:c>
    </x:row>
    <x:row r="35">
      <x:c r="A35" t="str">
        <x:v>Fuente descanso 02 y 03/01/2025</x:v>
      </x:c>
      <x:c r="B35" t="str">
        <x:v>https://www.registroficial.gob.ec/segundo-suplemento-al-registro-oficial-no-703/</x:v>
      </x:c>
    </x:row>
    <x:row r="36">
      <x:c r="A36" t="str">
        <x:v>Fuente descanso 17/04/2025</x:v>
      </x:c>
      <x:c r="B36" t="str">
        <x:v>https://www.primicias.ec/politica/suspension-jornada-laboral-17abril-feriado-semana-santa-ecuador-presidente-daniel-noboa-93868/</x:v>
      </x:c>
    </x:row>
  </x:sheetData>
  <x:mergeCells>
    <x:mergeCell ref="A1:F2"/>
    <x:mergeCell ref="A3:F3"/>
    <x:mergeCell ref="A5:B5"/>
    <x:mergeCell ref="D5:F5"/>
    <x:mergeCell ref="A7:B8"/>
    <x:mergeCell ref="A10:B11"/>
    <x:mergeCell ref="A13:B14"/>
    <x:mergeCell ref="A16:B17"/>
    <x:mergeCell ref="D7:F8"/>
    <x:mergeCell ref="D10:F11"/>
    <x:mergeCell ref="D13:F14"/>
    <x:mergeCell ref="D16:F17"/>
    <x:mergeCell ref="A19:F19"/>
    <x:mergeCell ref="A20:F21"/>
    <x:mergeCell ref="A23:F23"/>
    <x:mergeCell ref="A24:F25"/>
    <x:mergeCell ref="A27:F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61" hidden="0" customWidth="1"/>
    <x:col min="3" max="3" width="24" hidden="0" customWidth="1"/>
    <x:col min="4" max="4" width="36" hidden="0" customWidth="1"/>
    <x:col min="5" max="5" width="65" hidden="0" customWidth="1"/>
  </x:cols>
  <x:sheetData>
    <x:row r="1" ht="34" customHeight="1">
      <x:c r="A1" s="6" t="str">
        <x:v>FECHA_NO_LABORABLE</x:v>
      </x:c>
      <x:c r="B1" s="6" t="str">
        <x:v>FERIADO_O_MOTIVO</x:v>
      </x:c>
      <x:c r="C1" s="6" t="str">
        <x:v>TIPO</x:v>
      </x:c>
      <x:c r="D1" s="6" t="str">
        <x:v>ORIGEN</x:v>
      </x:c>
      <x:c r="E1" s="6" t="str">
        <x:v>URL_FUENTE</x:v>
      </x:c>
    </x:row>
    <x:row r="2" ht="19" customHeight="1">
      <x:c r="A2" s="2" t="n">
        <x:v>45658</x:v>
      </x:c>
      <x:c r="B2" t="str">
        <x:v>Año Nuevo</x:v>
      </x:c>
      <x:c r="C2" t="str">
        <x:v>Feriado nacional</x:v>
      </x:c>
      <x:c r="D2" t="str">
        <x:v>Ministerio de Turismo</x:v>
      </x:c>
      <x:c r="E2" t="str">
        <x:v>https://www.turismo.gob.ec/wp-content/uploads/2022/12/CALENDARIO-FERIADOS-2023-2025-06-12-2022-.pdf</x:v>
      </x:c>
    </x:row>
    <x:row r="3" ht="19" customHeight="1">
      <x:c r="A3" s="2" t="n">
        <x:v>45659</x:v>
      </x:c>
      <x:c r="B3" t="str">
        <x:v>Suspensión de jornada por Año Nuevo · Decreto 474</x:v>
      </x:c>
      <x:c r="C3" t="str">
        <x:v>Descanso adicional</x:v>
      </x:c>
      <x:c r="D3" t="str">
        <x:v>Decreto Ejecutivo 474</x:v>
      </x:c>
      <x:c r="E3" t="str">
        <x:v>https://www.registroficial.gob.ec/segundo-suplemento-al-registro-oficial-no-703/</x:v>
      </x:c>
    </x:row>
    <x:row r="4" ht="19" customHeight="1">
      <x:c r="A4" s="2" t="n">
        <x:v>45660</x:v>
      </x:c>
      <x:c r="B4" t="str">
        <x:v>Suspensión de jornada por Año Nuevo · Decreto 474</x:v>
      </x:c>
      <x:c r="C4" t="str">
        <x:v>Descanso adicional</x:v>
      </x:c>
      <x:c r="D4" t="str">
        <x:v>Decreto Ejecutivo 474</x:v>
      </x:c>
      <x:c r="E4" t="str">
        <x:v>https://www.registroficial.gob.ec/segundo-suplemento-al-registro-oficial-no-703/</x:v>
      </x:c>
    </x:row>
    <x:row r="5" ht="19" customHeight="1">
      <x:c r="A5" s="2" t="n">
        <x:v>45719</x:v>
      </x:c>
      <x:c r="B5" t="str">
        <x:v>Carnaval · lunes</x:v>
      </x:c>
      <x:c r="C5" t="str">
        <x:v>Feriado nacional</x:v>
      </x:c>
      <x:c r="D5" t="str">
        <x:v>Ministerio de Turismo</x:v>
      </x:c>
      <x:c r="E5" t="str">
        <x:v>https://www.turismo.gob.ec/wp-content/uploads/2022/12/CALENDARIO-FERIADOS-2023-2025-06-12-2022-.pdf</x:v>
      </x:c>
    </x:row>
    <x:row r="6" ht="19" customHeight="1">
      <x:c r="A6" s="2" t="n">
        <x:v>45720</x:v>
      </x:c>
      <x:c r="B6" t="str">
        <x:v>Carnaval · martes</x:v>
      </x:c>
      <x:c r="C6" t="str">
        <x:v>Feriado nacional</x:v>
      </x:c>
      <x:c r="D6" t="str">
        <x:v>Ministerio de Turismo</x:v>
      </x:c>
      <x:c r="E6" t="str">
        <x:v>https://www.turismo.gob.ec/wp-content/uploads/2022/12/CALENDARIO-FERIADOS-2023-2025-06-12-2022-.pdf</x:v>
      </x:c>
    </x:row>
    <x:row r="7" ht="19" customHeight="1">
      <x:c r="A7" s="2" t="n">
        <x:v>45764</x:v>
      </x:c>
      <x:c r="B7" t="str">
        <x:v>Suspensión de jornada Jueves Santo · Decreto 598</x:v>
      </x:c>
      <x:c r="C7" t="str">
        <x:v>Suspensión extraordinaria</x:v>
      </x:c>
      <x:c r="D7" t="str">
        <x:v>Decreto Ejecutivo 598</x:v>
      </x:c>
      <x:c r="E7" t="str">
        <x:v>https://www.primicias.ec/politica/suspension-jornada-laboral-17abril-feriado-semana-santa-ecuador-presidente-daniel-noboa-93868/</x:v>
      </x:c>
    </x:row>
    <x:row r="8" ht="19" customHeight="1">
      <x:c r="A8" s="2" t="n">
        <x:v>45765</x:v>
      </x:c>
      <x:c r="B8" t="str">
        <x:v>Viernes Santo</x:v>
      </x:c>
      <x:c r="C8" t="str">
        <x:v>Feriado nacional</x:v>
      </x:c>
      <x:c r="D8" t="str">
        <x:v>Ministerio de Turismo</x:v>
      </x:c>
      <x:c r="E8" t="str">
        <x:v>https://www.turismo.gob.ec/wp-content/uploads/2022/12/CALENDARIO-FERIADOS-2023-2025-06-12-2022-.pdf</x:v>
      </x:c>
    </x:row>
    <x:row r="9" ht="19" customHeight="1">
      <x:c r="A9" s="2" t="n">
        <x:v>45779</x:v>
      </x:c>
      <x:c r="B9" t="str">
        <x:v>Día del Trabajo · trasladado del 1 de mayo</x:v>
      </x:c>
      <x:c r="C9" t="str">
        <x:v>Feriado nacional</x:v>
      </x:c>
      <x:c r="D9" t="str">
        <x:v>Ministerio de Turismo</x:v>
      </x:c>
      <x:c r="E9" t="str">
        <x:v>https://www.turismo.gob.ec/wp-content/uploads/2022/12/CALENDARIO-FERIADOS-2023-2025-06-12-2022-.pdf</x:v>
      </x:c>
    </x:row>
    <x:row r="10" ht="19" customHeight="1">
      <x:c r="A10" s="2" t="n">
        <x:v>45800</x:v>
      </x:c>
      <x:c r="B10" t="str">
        <x:v>Batalla de Pichincha · trasladado del 24 de mayo</x:v>
      </x:c>
      <x:c r="C10" t="str">
        <x:v>Feriado nacional</x:v>
      </x:c>
      <x:c r="D10" t="str">
        <x:v>Ministerio de Turismo</x:v>
      </x:c>
      <x:c r="E10" t="str">
        <x:v>https://www.turismo.gob.ec/wp-content/uploads/2022/12/CALENDARIO-FERIADOS-2023-2025-06-12-2022-.pdf</x:v>
      </x:c>
    </x:row>
    <x:row r="11" ht="19" customHeight="1">
      <x:c r="A11" s="2" t="n">
        <x:v>45880</x:v>
      </x:c>
      <x:c r="B11" t="str">
        <x:v>Primer Grito de Independencia · trasladado del 10 de agosto</x:v>
      </x:c>
      <x:c r="C11" t="str">
        <x:v>Feriado nacional</x:v>
      </x:c>
      <x:c r="D11" t="str">
        <x:v>Ministerio de Turismo</x:v>
      </x:c>
      <x:c r="E11" t="str">
        <x:v>https://www.turismo.gob.ec/wp-content/uploads/2022/12/CALENDARIO-FERIADOS-2023-2025-06-12-2022-.pdf</x:v>
      </x:c>
    </x:row>
    <x:row r="12" ht="19" customHeight="1">
      <x:c r="A12" s="2" t="n">
        <x:v>45940</x:v>
      </x:c>
      <x:c r="B12" t="str">
        <x:v>Independencia de Guayaquil · trasladado del 9 de octubre</x:v>
      </x:c>
      <x:c r="C12" t="str">
        <x:v>Feriado nacional</x:v>
      </x:c>
      <x:c r="D12" t="str">
        <x:v>Ministerio de Turismo</x:v>
      </x:c>
      <x:c r="E12" t="str">
        <x:v>https://www.turismo.gob.ec/wp-content/uploads/2022/12/CALENDARIO-FERIADOS-2023-2025-06-12-2022-.pdf</x:v>
      </x:c>
    </x:row>
    <x:row r="13" ht="19" customHeight="1">
      <x:c r="A13" s="2" t="n">
        <x:v>45964</x:v>
      </x:c>
      <x:c r="B13" t="str">
        <x:v>Independencia de Cuenca</x:v>
      </x:c>
      <x:c r="C13" t="str">
        <x:v>Feriado nacional</x:v>
      </x:c>
      <x:c r="D13" t="str">
        <x:v>Ministerio de Turismo</x:v>
      </x:c>
      <x:c r="E13" t="str">
        <x:v>https://www.turismo.gob.ec/wp-content/uploads/2022/12/CALENDARIO-FERIADOS-2023-2025-06-12-2022-.pdf</x:v>
      </x:c>
    </x:row>
    <x:row r="14" ht="19" customHeight="1">
      <x:c r="A14" s="2" t="n">
        <x:v>45965</x:v>
      </x:c>
      <x:c r="B14" t="str">
        <x:v>Día de Difuntos · trasladado del 2 de noviembre</x:v>
      </x:c>
      <x:c r="C14" t="str">
        <x:v>Feriado nacional</x:v>
      </x:c>
      <x:c r="D14" t="str">
        <x:v>Ministerio de Turismo</x:v>
      </x:c>
      <x:c r="E14" t="str">
        <x:v>https://www.turismo.gob.ec/wp-content/uploads/2022/12/CALENDARIO-FERIADOS-2023-2025-06-12-2022-.pdf</x:v>
      </x:c>
    </x:row>
    <x:row r="15" ht="19" customHeight="1">
      <x:c r="A15" s="2" t="n">
        <x:v>46016</x:v>
      </x:c>
      <x:c r="B15" t="str">
        <x:v>Navidad</x:v>
      </x:c>
      <x:c r="C15" t="str">
        <x:v>Feriado nacional</x:v>
      </x:c>
      <x:c r="D15" t="str">
        <x:v>Ministerio de Turismo</x:v>
      </x:c>
      <x:c r="E15" t="str">
        <x:v>https://www.turismo.gob.ec/wp-content/uploads/2022/12/CALENDARIO-FERIADOS-2023-2025-06-12-2022-.pdf</x:v>
      </x:c>
    </x:row>
    <x:row r="16" ht="19" customHeight="1">
      <x:c r="A16" s="2" t="n">
        <x:v>46023</x:v>
      </x:c>
      <x:c r="B16" t="str">
        <x:v>Año Nuevo</x:v>
      </x:c>
      <x:c r="C16" t="str">
        <x:v>Feriado nacional</x:v>
      </x:c>
      <x:c r="D16" t="str">
        <x:v>Excel original · usuario</x:v>
      </x:c>
      <x:c r="E16" t="str">
        <x:v>https://www.expreso.ec/uploads/files/2025/09/02/Calendario-feriados-nacionales-2025-2030.pdf</x:v>
      </x:c>
    </x:row>
    <x:row r="17" ht="19" customHeight="1">
      <x:c r="A17" s="2" t="n">
        <x:v>46024</x:v>
      </x:c>
      <x:c r="B17" t="str">
        <x:v>Día adicional por Año Nuevo</x:v>
      </x:c>
      <x:c r="C17" t="str">
        <x:v>Descanso adicional</x:v>
      </x:c>
      <x:c r="D17" t="str">
        <x:v>Excel original · usuario</x:v>
      </x:c>
      <x:c r="E17" t="str">
        <x:v>https://www.eluniverso.com/noticias/ecuador/este-es-calendario-oficial-de-feriados-para-ecuador-en-el-2026-nota/</x:v>
      </x:c>
    </x:row>
    <x:row r="18" ht="19" customHeight="1">
      <x:c r="A18" s="2" t="n">
        <x:v>46069</x:v>
      </x:c>
      <x:c r="B18" t="str">
        <x:v>Carnaval</x:v>
      </x:c>
      <x:c r="C18" t="str">
        <x:v>Feriado nacional</x:v>
      </x:c>
      <x:c r="D18" t="str">
        <x:v>Excel original · usuario</x:v>
      </x:c>
      <x:c r="E18" t="str">
        <x:v>https://www.expreso.ec/uploads/files/2025/09/02/Calendario-feriados-nacionales-2025-2030.pdf</x:v>
      </x:c>
    </x:row>
    <x:row r="19" ht="19" customHeight="1">
      <x:c r="A19" s="2" t="n">
        <x:v>46070</x:v>
      </x:c>
      <x:c r="B19" t="str">
        <x:v>Carnaval</x:v>
      </x:c>
      <x:c r="C19" t="str">
        <x:v>Feriado nacional</x:v>
      </x:c>
      <x:c r="D19" t="str">
        <x:v>Excel original · usuario</x:v>
      </x:c>
      <x:c r="E19" t="str">
        <x:v>https://www.expreso.ec/uploads/files/2025/09/02/Calendario-feriados-nacionales-2025-2030.pdf</x:v>
      </x:c>
    </x:row>
    <x:row r="20" ht="19" customHeight="1">
      <x:c r="A20" s="2" t="n">
        <x:v>46115</x:v>
      </x:c>
      <x:c r="B20" t="str">
        <x:v>Viernes Santo</x:v>
      </x:c>
      <x:c r="C20" t="str">
        <x:v>Feriado nacional</x:v>
      </x:c>
      <x:c r="D20" t="str">
        <x:v>Excel original · usuario</x:v>
      </x:c>
      <x:c r="E20" t="str">
        <x:v>https://www.expreso.ec/uploads/files/2025/09/02/Calendario-feriados-nacionales-2025-2030.pdf</x:v>
      </x:c>
    </x:row>
    <x:row r="21" ht="19" customHeight="1">
      <x:c r="A21" s="2" t="n">
        <x:v>46143</x:v>
      </x:c>
      <x:c r="B21" t="str">
        <x:v>Día del Trabajo</x:v>
      </x:c>
      <x:c r="C21" t="str">
        <x:v>Feriado nacional</x:v>
      </x:c>
      <x:c r="D21" t="str">
        <x:v>Excel original · usuario</x:v>
      </x:c>
      <x:c r="E21" t="str">
        <x:v>https://www.expreso.ec/uploads/files/2025/09/02/Calendario-feriados-nacionales-2025-2030.pdf</x:v>
      </x:c>
    </x:row>
    <x:row r="22" ht="19" customHeight="1">
      <x:c r="A22" s="2" t="n">
        <x:v>46167</x:v>
      </x:c>
      <x:c r="B22" t="str">
        <x:v>Batalla del Pichincha (trasladado del 24 de mayo)</x:v>
      </x:c>
      <x:c r="C22" t="str">
        <x:v>Feriado nacional</x:v>
      </x:c>
      <x:c r="D22" t="str">
        <x:v>Excel original · usuario</x:v>
      </x:c>
      <x:c r="E22" t="str">
        <x:v>https://www.expreso.ec/uploads/files/2025/09/02/Calendario-feriados-nacionales-2025-2030.pdf</x:v>
      </x:c>
    </x:row>
    <x:row r="23" ht="19" customHeight="1">
      <x:c r="A23" s="2" t="n">
        <x:v>46244</x:v>
      </x:c>
      <x:c r="B23" t="str">
        <x:v>Primer Grito de Independencia</x:v>
      </x:c>
      <x:c r="C23" t="str">
        <x:v>Feriado nacional</x:v>
      </x:c>
      <x:c r="D23" t="str">
        <x:v>Excel original · usuario</x:v>
      </x:c>
      <x:c r="E23" t="str">
        <x:v>https://www.expreso.ec/uploads/files/2025/09/02/Calendario-feriados-nacionales-2025-2030.pdf</x:v>
      </x:c>
    </x:row>
    <x:row r="24" ht="19" customHeight="1">
      <x:c r="A24" s="2" t="n">
        <x:v>46304</x:v>
      </x:c>
      <x:c r="B24" t="str">
        <x:v>Independencia de Guayaquil</x:v>
      </x:c>
      <x:c r="C24" t="str">
        <x:v>Feriado nacional</x:v>
      </x:c>
      <x:c r="D24" t="str">
        <x:v>Excel original · usuario</x:v>
      </x:c>
      <x:c r="E24" t="str">
        <x:v>https://www.expreso.ec/uploads/files/2025/09/02/Calendario-feriados-nacionales-2025-2030.pdf</x:v>
      </x:c>
    </x:row>
    <x:row r="25" ht="19" customHeight="1">
      <x:c r="A25" s="2" t="n">
        <x:v>46328</x:v>
      </x:c>
      <x:c r="B25" t="str">
        <x:v>Día de los Difuntos</x:v>
      </x:c>
      <x:c r="C25" t="str">
        <x:v>Feriado nacional</x:v>
      </x:c>
      <x:c r="D25" t="str">
        <x:v>Excel original · usuario</x:v>
      </x:c>
      <x:c r="E25" t="str">
        <x:v>https://www.expreso.ec/uploads/files/2025/09/02/Calendario-feriados-nacionales-2025-2030.pdf</x:v>
      </x:c>
    </x:row>
    <x:row r="26" ht="19" customHeight="1">
      <x:c r="A26" s="2" t="n">
        <x:v>46329</x:v>
      </x:c>
      <x:c r="B26" t="str">
        <x:v>Independencia de Cuenca</x:v>
      </x:c>
      <x:c r="C26" t="str">
        <x:v>Feriado nacional</x:v>
      </x:c>
      <x:c r="D26" t="str">
        <x:v>Excel original · usuario</x:v>
      </x:c>
      <x:c r="E26" t="str">
        <x:v>https://www.expreso.ec/uploads/files/2025/09/02/Calendario-feriados-nacionales-2025-2030.pdf</x:v>
      </x:c>
    </x:row>
    <x:row r="27" ht="19" customHeight="1">
      <x:c r="A27" s="2" t="n">
        <x:v>46346</x:v>
      </x:c>
      <x:c r="B27" t="str">
        <x:v>Suspensión de jornada laboral (Decreto Ejecutivo 507)</x:v>
      </x:c>
      <x:c r="C27" t="str">
        <x:v>Suspensión nacional</x:v>
      </x:c>
      <x:c r="D27" t="str">
        <x:v>Excel original · usuario</x:v>
      </x:c>
      <x:c r="E27" t="str">
        <x:v>https://gobernacionloja.gob.ec/suspension-de-jornada-laboral-este-20-de-noviembre-impulsara-el-turismo-y-el-fiavl-2026/</x:v>
      </x:c>
    </x:row>
    <x:row r="28" ht="19" customHeight="1">
      <x:c r="A28" s="2" t="n">
        <x:v>46381</x:v>
      </x:c>
      <x:c r="B28" t="str">
        <x:v>Navidad</x:v>
      </x:c>
      <x:c r="C28" t="str">
        <x:v>Feriado nacional</x:v>
      </x:c>
      <x:c r="D28" t="str">
        <x:v>Excel original · usuario</x:v>
      </x:c>
      <x:c r="E28" t="str">
        <x:v>https://www.expreso.ec/uploads/files/2025/09/02/Calendario-feriados-nacionales-2025-2030.pdf</x:v>
      </x:c>
    </x:row>
    <x:row r="29" ht="19" customHeight="1">
      <x:c r="A29" s="2" t="n">
        <x:v>46388</x:v>
      </x:c>
      <x:c r="B29" t="str">
        <x:v>Año Nuevo</x:v>
      </x:c>
      <x:c r="C29" t="str">
        <x:v>Feriado nacional</x:v>
      </x:c>
      <x:c r="D29" t="str">
        <x:v>Calendario nacional 2025–2030</x:v>
      </x:c>
      <x:c r="E29" t="str">
        <x:v>https://www.expreso.ec/uploads/files/2025/09/02/Calendario-feriados-nacionales-2025-2030.pdf</x:v>
      </x:c>
    </x:row>
    <x:row r="30" ht="19" customHeight="1">
      <x:c r="A30" s="2" t="n">
        <x:v>46426</x:v>
      </x:c>
      <x:c r="B30" t="str">
        <x:v>Carnaval · lunes</x:v>
      </x:c>
      <x:c r="C30" t="str">
        <x:v>Feriado nacional</x:v>
      </x:c>
      <x:c r="D30" t="str">
        <x:v>Calendario nacional 2025–2030</x:v>
      </x:c>
      <x:c r="E30" t="str">
        <x:v>https://www.expreso.ec/uploads/files/2025/09/02/Calendario-feriados-nacionales-2025-2030.pdf</x:v>
      </x:c>
    </x:row>
    <x:row r="31" ht="19" customHeight="1">
      <x:c r="A31" s="2" t="n">
        <x:v>46427</x:v>
      </x:c>
      <x:c r="B31" t="str">
        <x:v>Carnaval · martes</x:v>
      </x:c>
      <x:c r="C31" t="str">
        <x:v>Feriado nacional</x:v>
      </x:c>
      <x:c r="D31" t="str">
        <x:v>Calendario nacional 2025–2030</x:v>
      </x:c>
      <x:c r="E31" t="str">
        <x:v>https://www.expreso.ec/uploads/files/2025/09/02/Calendario-feriados-nacionales-2025-2030.pdf</x:v>
      </x:c>
    </x:row>
    <x:row r="32" ht="19" customHeight="1">
      <x:c r="A32" s="2" t="n">
        <x:v>46472</x:v>
      </x:c>
      <x:c r="B32" t="str">
        <x:v>Viernes Santo</x:v>
      </x:c>
      <x:c r="C32" t="str">
        <x:v>Feriado nacional</x:v>
      </x:c>
      <x:c r="D32" t="str">
        <x:v>Calendario nacional 2025–2030</x:v>
      </x:c>
      <x:c r="E32" t="str">
        <x:v>https://www.expreso.ec/uploads/files/2025/09/02/Calendario-feriados-nacionales-2025-2030.pdf</x:v>
      </x:c>
    </x:row>
    <x:row r="33" ht="19" customHeight="1">
      <x:c r="A33" s="2" t="n">
        <x:v>46507</x:v>
      </x:c>
      <x:c r="B33" t="str">
        <x:v>Día del Trabajo · trasladado</x:v>
      </x:c>
      <x:c r="C33" t="str">
        <x:v>Feriado nacional</x:v>
      </x:c>
      <x:c r="D33" t="str">
        <x:v>Calendario nacional 2025–2030</x:v>
      </x:c>
      <x:c r="E33" t="str">
        <x:v>https://www.expreso.ec/uploads/files/2025/09/02/Calendario-feriados-nacionales-2025-2030.pdf</x:v>
      </x:c>
    </x:row>
    <x:row r="34" ht="19" customHeight="1">
      <x:c r="A34" s="2" t="n">
        <x:v>46531</x:v>
      </x:c>
      <x:c r="B34" t="str">
        <x:v>Batalla de Pichincha</x:v>
      </x:c>
      <x:c r="C34" t="str">
        <x:v>Feriado nacional</x:v>
      </x:c>
      <x:c r="D34" t="str">
        <x:v>Calendario nacional 2025–2030</x:v>
      </x:c>
      <x:c r="E34" t="str">
        <x:v>https://www.expreso.ec/uploads/files/2025/09/02/Calendario-feriados-nacionales-2025-2030.pdf</x:v>
      </x:c>
    </x:row>
    <x:row r="35" ht="19" customHeight="1">
      <x:c r="A35" s="2" t="n">
        <x:v>46608</x:v>
      </x:c>
      <x:c r="B35" t="str">
        <x:v>Primer Grito de Independencia · trasladado</x:v>
      </x:c>
      <x:c r="C35" t="str">
        <x:v>Feriado nacional</x:v>
      </x:c>
      <x:c r="D35" t="str">
        <x:v>Calendario nacional 2025–2030</x:v>
      </x:c>
      <x:c r="E35" t="str">
        <x:v>https://www.expreso.ec/uploads/files/2025/09/02/Calendario-feriados-nacionales-2025-2030.pdf</x:v>
      </x:c>
    </x:row>
    <x:row r="36" ht="19" customHeight="1">
      <x:c r="A36" s="2" t="n">
        <x:v>46668</x:v>
      </x:c>
      <x:c r="B36" t="str">
        <x:v>Independencia de Guayaquil · trasladado</x:v>
      </x:c>
      <x:c r="C36" t="str">
        <x:v>Feriado nacional</x:v>
      </x:c>
      <x:c r="D36" t="str">
        <x:v>Calendario nacional 2025–2030</x:v>
      </x:c>
      <x:c r="E36" t="str">
        <x:v>https://www.expreso.ec/uploads/files/2025/09/02/Calendario-feriados-nacionales-2025-2030.pdf</x:v>
      </x:c>
    </x:row>
    <x:row r="37" ht="19" customHeight="1">
      <x:c r="A37" s="2" t="n">
        <x:v>46692</x:v>
      </x:c>
      <x:c r="B37" t="str">
        <x:v>Independencia de Cuenca · trasladado</x:v>
      </x:c>
      <x:c r="C37" t="str">
        <x:v>Feriado nacional</x:v>
      </x:c>
      <x:c r="D37" t="str">
        <x:v>Calendario nacional 2025–2030</x:v>
      </x:c>
      <x:c r="E37" t="str">
        <x:v>https://www.expreso.ec/uploads/files/2025/09/02/Calendario-feriados-nacionales-2025-2030.pdf</x:v>
      </x:c>
    </x:row>
    <x:row r="38" ht="19" customHeight="1">
      <x:c r="A38" s="2" t="n">
        <x:v>46693</x:v>
      </x:c>
      <x:c r="B38" t="str">
        <x:v>Día de los Difuntos</x:v>
      </x:c>
      <x:c r="C38" t="str">
        <x:v>Feriado nacional</x:v>
      </x:c>
      <x:c r="D38" t="str">
        <x:v>Calendario nacional 2025–2030</x:v>
      </x:c>
      <x:c r="E38" t="str">
        <x:v>https://www.expreso.ec/uploads/files/2025/09/02/Calendario-feriados-nacionales-2025-2030.pdf</x:v>
      </x:c>
    </x:row>
    <x:row r="39" ht="19" customHeight="1">
      <x:c r="A39" s="2" t="n">
        <x:v>46746</x:v>
      </x:c>
      <x:c r="B39" t="str">
        <x:v>Navidad</x:v>
      </x:c>
      <x:c r="C39" t="str">
        <x:v>Feriado nacional</x:v>
      </x:c>
      <x:c r="D39" t="str">
        <x:v>Calendario nacional 2025–2030</x:v>
      </x:c>
      <x:c r="E39" t="str">
        <x:v>https://www.expreso.ec/uploads/files/2025/09/02/Calendario-feriados-nacionales-2025-2030.pdf</x:v>
      </x:c>
    </x:row>
    <x:row r="40" ht="19" customHeight="1">
      <x:c r="A40" s="2" t="n">
        <x:v>46753</x:v>
      </x:c>
      <x:c r="B40" t="str">
        <x:v>Año Nuevo</x:v>
      </x:c>
      <x:c r="C40" t="str">
        <x:v>Feriado nacional</x:v>
      </x:c>
      <x:c r="D40" t="str">
        <x:v>Calendario nacional 2025–2030</x:v>
      </x:c>
      <x:c r="E40" t="str">
        <x:v>https://www.expreso.ec/uploads/files/2025/09/02/Calendario-feriados-nacionales-2025-2030.pdf</x:v>
      </x:c>
    </x:row>
    <x:row r="41" ht="19" customHeight="1">
      <x:c r="A41" s="2" t="n">
        <x:v>46811</x:v>
      </x:c>
      <x:c r="B41" t="str">
        <x:v>Carnaval · lunes</x:v>
      </x:c>
      <x:c r="C41" t="str">
        <x:v>Feriado nacional</x:v>
      </x:c>
      <x:c r="D41" t="str">
        <x:v>Calendario nacional 2025–2030</x:v>
      </x:c>
      <x:c r="E41" t="str">
        <x:v>https://www.expreso.ec/uploads/files/2025/09/02/Calendario-feriados-nacionales-2025-2030.pdf</x:v>
      </x:c>
    </x:row>
    <x:row r="42" ht="19" customHeight="1">
      <x:c r="A42" s="2" t="n">
        <x:v>46812</x:v>
      </x:c>
      <x:c r="B42" t="str">
        <x:v>Carnaval · martes</x:v>
      </x:c>
      <x:c r="C42" t="str">
        <x:v>Feriado nacional</x:v>
      </x:c>
      <x:c r="D42" t="str">
        <x:v>Calendario nacional 2025–2030</x:v>
      </x:c>
      <x:c r="E42" t="str">
        <x:v>https://www.expreso.ec/uploads/files/2025/09/02/Calendario-feriados-nacionales-2025-2030.pdf</x:v>
      </x:c>
    </x:row>
    <x:row r="43" ht="19" customHeight="1">
      <x:c r="A43" s="2" t="n">
        <x:v>46857</x:v>
      </x:c>
      <x:c r="B43" t="str">
        <x:v>Viernes Santo</x:v>
      </x:c>
      <x:c r="C43" t="str">
        <x:v>Feriado nacional</x:v>
      </x:c>
      <x:c r="D43" t="str">
        <x:v>Calendario nacional 2025–2030</x:v>
      </x:c>
      <x:c r="E43" t="str">
        <x:v>https://www.expreso.ec/uploads/files/2025/09/02/Calendario-feriados-nacionales-2025-2030.pdf</x:v>
      </x:c>
    </x:row>
    <x:row r="44" ht="19" customHeight="1">
      <x:c r="A44" s="2" t="n">
        <x:v>46874</x:v>
      </x:c>
      <x:c r="B44" t="str">
        <x:v>Día del Trabajo</x:v>
      </x:c>
      <x:c r="C44" t="str">
        <x:v>Feriado nacional</x:v>
      </x:c>
      <x:c r="D44" t="str">
        <x:v>Calendario nacional 2025–2030</x:v>
      </x:c>
      <x:c r="E44" t="str">
        <x:v>https://www.expreso.ec/uploads/files/2025/09/02/Calendario-feriados-nacionales-2025-2030.pdf</x:v>
      </x:c>
    </x:row>
    <x:row r="45" ht="19" customHeight="1">
      <x:c r="A45" s="2" t="n">
        <x:v>46899</x:v>
      </x:c>
      <x:c r="B45" t="str">
        <x:v>Batalla de Pichincha · trasladado</x:v>
      </x:c>
      <x:c r="C45" t="str">
        <x:v>Feriado nacional</x:v>
      </x:c>
      <x:c r="D45" t="str">
        <x:v>Calendario nacional 2025–2030</x:v>
      </x:c>
      <x:c r="E45" t="str">
        <x:v>https://www.expreso.ec/uploads/files/2025/09/02/Calendario-feriados-nacionales-2025-2030.pdf</x:v>
      </x:c>
    </x:row>
    <x:row r="46" ht="19" customHeight="1">
      <x:c r="A46" s="2" t="n">
        <x:v>46976</x:v>
      </x:c>
      <x:c r="B46" t="str">
        <x:v>Primer Grito de Independencia · trasladado</x:v>
      </x:c>
      <x:c r="C46" t="str">
        <x:v>Feriado nacional</x:v>
      </x:c>
      <x:c r="D46" t="str">
        <x:v>Calendario nacional 2025–2030</x:v>
      </x:c>
      <x:c r="E46" t="str">
        <x:v>https://www.expreso.ec/uploads/files/2025/09/02/Calendario-feriados-nacionales-2025-2030.pdf</x:v>
      </x:c>
    </x:row>
    <x:row r="47" ht="19" customHeight="1">
      <x:c r="A47" s="2" t="n">
        <x:v>47035</x:v>
      </x:c>
      <x:c r="B47" t="str">
        <x:v>Independencia de Guayaquil</x:v>
      </x:c>
      <x:c r="C47" t="str">
        <x:v>Feriado nacional</x:v>
      </x:c>
      <x:c r="D47" t="str">
        <x:v>Calendario nacional 2025–2030</x:v>
      </x:c>
      <x:c r="E47" t="str">
        <x:v>https://www.expreso.ec/uploads/files/2025/09/02/Calendario-feriados-nacionales-2025-2030.pdf</x:v>
      </x:c>
    </x:row>
    <x:row r="48" ht="19" customHeight="1">
      <x:c r="A48" s="2" t="n">
        <x:v>47059</x:v>
      </x:c>
      <x:c r="B48" t="str">
        <x:v>Día de los Difuntos</x:v>
      </x:c>
      <x:c r="C48" t="str">
        <x:v>Feriado nacional</x:v>
      </x:c>
      <x:c r="D48" t="str">
        <x:v>Calendario nacional 2025–2030</x:v>
      </x:c>
      <x:c r="E48" t="str">
        <x:v>https://www.expreso.ec/uploads/files/2025/09/02/Calendario-feriados-nacionales-2025-2030.pdf</x:v>
      </x:c>
    </x:row>
    <x:row r="49" ht="19" customHeight="1">
      <x:c r="A49" s="2" t="n">
        <x:v>47060</x:v>
      </x:c>
      <x:c r="B49" t="str">
        <x:v>Independencia de Cuenca</x:v>
      </x:c>
      <x:c r="C49" t="str">
        <x:v>Feriado nacional</x:v>
      </x:c>
      <x:c r="D49" t="str">
        <x:v>Calendario nacional 2025–2030</x:v>
      </x:c>
      <x:c r="E49" t="str">
        <x:v>https://www.expreso.ec/uploads/files/2025/09/02/Calendario-feriados-nacionales-2025-2030.pdf</x:v>
      </x:c>
    </x:row>
    <x:row r="50" ht="19" customHeight="1">
      <x:c r="A50" s="2" t="n">
        <x:v>47112</x:v>
      </x:c>
      <x:c r="B50" t="str">
        <x:v>Navidad</x:v>
      </x:c>
      <x:c r="C50" t="str">
        <x:v>Feriado nacional</x:v>
      </x:c>
      <x:c r="D50" t="str">
        <x:v>Calendario nacional 2025–2030</x:v>
      </x:c>
      <x:c r="E50" t="str">
        <x:v>https://www.expreso.ec/uploads/files/2025/09/02/Calendario-feriados-nacionales-2025-2030.pdf</x:v>
      </x:c>
    </x:row>
    <x:row r="51" ht="19" customHeight="1">
      <x:c r="A51" s="2" t="n">
        <x:v>47119</x:v>
      </x:c>
      <x:c r="B51" t="str">
        <x:v>Año Nuevo</x:v>
      </x:c>
      <x:c r="C51" t="str">
        <x:v>Feriado nacional</x:v>
      </x:c>
      <x:c r="D51" t="str">
        <x:v>Calendario nacional 2025–2030</x:v>
      </x:c>
      <x:c r="E51" t="str">
        <x:v>https://www.expreso.ec/uploads/files/2025/09/02/Calendario-feriados-nacionales-2025-2030.pdf</x:v>
      </x:c>
    </x:row>
    <x:row r="52" ht="19" customHeight="1">
      <x:c r="A52" s="2" t="n">
        <x:v>47161</x:v>
      </x:c>
      <x:c r="B52" t="str">
        <x:v>Carnaval · lunes</x:v>
      </x:c>
      <x:c r="C52" t="str">
        <x:v>Feriado nacional</x:v>
      </x:c>
      <x:c r="D52" t="str">
        <x:v>Calendario nacional 2025–2030</x:v>
      </x:c>
      <x:c r="E52" t="str">
        <x:v>https://www.expreso.ec/uploads/files/2025/09/02/Calendario-feriados-nacionales-2025-2030.pdf</x:v>
      </x:c>
    </x:row>
    <x:row r="53" ht="19" customHeight="1">
      <x:c r="A53" s="2" t="n">
        <x:v>47162</x:v>
      </x:c>
      <x:c r="B53" t="str">
        <x:v>Carnaval · martes</x:v>
      </x:c>
      <x:c r="C53" t="str">
        <x:v>Feriado nacional</x:v>
      </x:c>
      <x:c r="D53" t="str">
        <x:v>Calendario nacional 2025–2030</x:v>
      </x:c>
      <x:c r="E53" t="str">
        <x:v>https://www.expreso.ec/uploads/files/2025/09/02/Calendario-feriados-nacionales-2025-2030.pdf</x:v>
      </x:c>
    </x:row>
    <x:row r="54" ht="19" customHeight="1">
      <x:c r="A54" s="2" t="n">
        <x:v>47207</x:v>
      </x:c>
      <x:c r="B54" t="str">
        <x:v>Viernes Santo</x:v>
      </x:c>
      <x:c r="C54" t="str">
        <x:v>Feriado nacional</x:v>
      </x:c>
      <x:c r="D54" t="str">
        <x:v>Calendario nacional 2025–2030</x:v>
      </x:c>
      <x:c r="E54" t="str">
        <x:v>https://www.expreso.ec/uploads/files/2025/09/02/Calendario-feriados-nacionales-2025-2030.pdf</x:v>
      </x:c>
    </x:row>
    <x:row r="55" ht="19" customHeight="1">
      <x:c r="A55" s="2" t="n">
        <x:v>47238</x:v>
      </x:c>
      <x:c r="B55" t="str">
        <x:v>Día del Trabajo · trasladado</x:v>
      </x:c>
      <x:c r="C55" t="str">
        <x:v>Feriado nacional</x:v>
      </x:c>
      <x:c r="D55" t="str">
        <x:v>Calendario nacional 2025–2030</x:v>
      </x:c>
      <x:c r="E55" t="str">
        <x:v>https://www.expreso.ec/uploads/files/2025/09/02/Calendario-feriados-nacionales-2025-2030.pdf</x:v>
      </x:c>
    </x:row>
    <x:row r="56" ht="19" customHeight="1">
      <x:c r="A56" s="2" t="n">
        <x:v>47263</x:v>
      </x:c>
      <x:c r="B56" t="str">
        <x:v>Batalla de Pichincha · trasladado</x:v>
      </x:c>
      <x:c r="C56" t="str">
        <x:v>Feriado nacional</x:v>
      </x:c>
      <x:c r="D56" t="str">
        <x:v>Calendario nacional 2025–2030</x:v>
      </x:c>
      <x:c r="E56" t="str">
        <x:v>https://www.expreso.ec/uploads/files/2025/09/02/Calendario-feriados-nacionales-2025-2030.pdf</x:v>
      </x:c>
    </x:row>
    <x:row r="57" ht="19" customHeight="1">
      <x:c r="A57" s="2" t="n">
        <x:v>47340</x:v>
      </x:c>
      <x:c r="B57" t="str">
        <x:v>Primer Grito de Independencia</x:v>
      </x:c>
      <x:c r="C57" t="str">
        <x:v>Feriado nacional</x:v>
      </x:c>
      <x:c r="D57" t="str">
        <x:v>Calendario nacional 2025–2030</x:v>
      </x:c>
      <x:c r="E57" t="str">
        <x:v>https://www.expreso.ec/uploads/files/2025/09/02/Calendario-feriados-nacionales-2025-2030.pdf</x:v>
      </x:c>
    </x:row>
    <x:row r="58" ht="19" customHeight="1">
      <x:c r="A58" s="2" t="n">
        <x:v>47399</x:v>
      </x:c>
      <x:c r="B58" t="str">
        <x:v>Independencia de Guayaquil · trasladado</x:v>
      </x:c>
      <x:c r="C58" t="str">
        <x:v>Feriado nacional</x:v>
      </x:c>
      <x:c r="D58" t="str">
        <x:v>Calendario nacional 2025–2030</x:v>
      </x:c>
      <x:c r="E58" t="str">
        <x:v>https://www.expreso.ec/uploads/files/2025/09/02/Calendario-feriados-nacionales-2025-2030.pdf</x:v>
      </x:c>
    </x:row>
    <x:row r="59" ht="19" customHeight="1">
      <x:c r="A59" s="2" t="n">
        <x:v>47423</x:v>
      </x:c>
      <x:c r="B59" t="str">
        <x:v>Independencia de Cuenca · trasladado</x:v>
      </x:c>
      <x:c r="C59" t="str">
        <x:v>Feriado nacional</x:v>
      </x:c>
      <x:c r="D59" t="str">
        <x:v>Calendario nacional 2025–2030</x:v>
      </x:c>
      <x:c r="E59" t="str">
        <x:v>https://www.expreso.ec/uploads/files/2025/09/02/Calendario-feriados-nacionales-2025-2030.pdf</x:v>
      </x:c>
    </x:row>
    <x:row r="60">
      <x:c r="A60" s="2" t="n">
        <x:v>47424</x:v>
      </x:c>
      <x:c r="B60" t="str">
        <x:v>Día de los Difuntos</x:v>
      </x:c>
      <x:c r="C60" t="str">
        <x:v>Feriado nacional</x:v>
      </x:c>
      <x:c r="D60" t="str">
        <x:v>Calendario nacional 2025–2030</x:v>
      </x:c>
      <x:c r="E60" t="str">
        <x:v>https://www.expreso.ec/uploads/files/2025/09/02/Calendario-feriados-nacionales-2025-2030.pdf</x:v>
      </x:c>
    </x:row>
    <x:row r="61">
      <x:c r="A61" s="2" t="n">
        <x:v>47477</x:v>
      </x:c>
      <x:c r="B61" t="str">
        <x:v>Navidad</x:v>
      </x:c>
      <x:c r="C61" t="str">
        <x:v>Feriado nacional</x:v>
      </x:c>
      <x:c r="D61" t="str">
        <x:v>Calendario nacional 2025–2030</x:v>
      </x:c>
      <x:c r="E61" t="str">
        <x:v>https://www.expreso.ec/uploads/files/2025/09/02/Calendario-feriados-nacionales-2025-2030.pdf</x:v>
      </x:c>
    </x:row>
    <x:row r="62">
      <x:c r="A62" s="2" t="n">
        <x:v>47484</x:v>
      </x:c>
      <x:c r="B62" t="str">
        <x:v>Año Nuevo</x:v>
      </x:c>
      <x:c r="C62" t="str">
        <x:v>Feriado nacional</x:v>
      </x:c>
      <x:c r="D62" t="str">
        <x:v>Calendario nacional 2025–2030</x:v>
      </x:c>
      <x:c r="E62" t="str">
        <x:v>https://www.expreso.ec/uploads/files/2025/09/02/Calendario-feriados-nacionales-2025-2030.pdf</x:v>
      </x:c>
    </x:row>
    <x:row r="63">
      <x:c r="A63" s="2" t="n">
        <x:v>47546</x:v>
      </x:c>
      <x:c r="B63" t="str">
        <x:v>Carnaval · lunes</x:v>
      </x:c>
      <x:c r="C63" t="str">
        <x:v>Feriado nacional</x:v>
      </x:c>
      <x:c r="D63" t="str">
        <x:v>Calendario nacional 2025–2030</x:v>
      </x:c>
      <x:c r="E63" t="str">
        <x:v>https://www.expreso.ec/uploads/files/2025/09/02/Calendario-feriados-nacionales-2025-2030.pdf</x:v>
      </x:c>
    </x:row>
    <x:row r="64">
      <x:c r="A64" s="2" t="n">
        <x:v>47547</x:v>
      </x:c>
      <x:c r="B64" t="str">
        <x:v>Carnaval · martes</x:v>
      </x:c>
      <x:c r="C64" t="str">
        <x:v>Feriado nacional</x:v>
      </x:c>
      <x:c r="D64" t="str">
        <x:v>Calendario nacional 2025–2030</x:v>
      </x:c>
      <x:c r="E64" t="str">
        <x:v>https://www.expreso.ec/uploads/files/2025/09/02/Calendario-feriados-nacionales-2025-2030.pdf</x:v>
      </x:c>
    </x:row>
    <x:row r="65">
      <x:c r="A65" s="2" t="n">
        <x:v>47592</x:v>
      </x:c>
      <x:c r="B65" t="str">
        <x:v>Viernes Santo</x:v>
      </x:c>
      <x:c r="C65" t="str">
        <x:v>Feriado nacional</x:v>
      </x:c>
      <x:c r="D65" t="str">
        <x:v>Calendario nacional 2025–2030</x:v>
      </x:c>
      <x:c r="E65" t="str">
        <x:v>https://www.expreso.ec/uploads/files/2025/09/02/Calendario-feriados-nacionales-2025-2030.pdf</x:v>
      </x:c>
    </x:row>
    <x:row r="66">
      <x:c r="A66" s="2" t="n">
        <x:v>47606</x:v>
      </x:c>
      <x:c r="B66" t="str">
        <x:v>Día del Trabajo · trasladado</x:v>
      </x:c>
      <x:c r="C66" t="str">
        <x:v>Feriado nacional</x:v>
      </x:c>
      <x:c r="D66" t="str">
        <x:v>Calendario nacional 2025–2030</x:v>
      </x:c>
      <x:c r="E66" t="str">
        <x:v>https://www.expreso.ec/uploads/files/2025/09/02/Calendario-feriados-nacionales-2025-2030.pdf</x:v>
      </x:c>
    </x:row>
    <x:row r="67">
      <x:c r="A67" s="2" t="n">
        <x:v>47627</x:v>
      </x:c>
      <x:c r="B67" t="str">
        <x:v>Batalla de Pichincha (fecha correcta, viernes)</x:v>
      </x:c>
      <x:c r="C67" t="str">
        <x:v>Feriado nacional</x:v>
      </x:c>
      <x:c r="D67" t="str">
        <x:v>Calendario nacional 2025–2030</x:v>
      </x:c>
      <x:c r="E67" t="str">
        <x:v>https://www.expreso.ec/uploads/files/2025/09/02/Calendario-feriados-nacionales-2025-2030.pdf</x:v>
      </x:c>
    </x:row>
    <x:row r="68">
      <x:c r="A68" s="2" t="n">
        <x:v>47704</x:v>
      </x:c>
      <x:c r="B68" t="str">
        <x:v>Primer Grito de Independencia · trasladado</x:v>
      </x:c>
      <x:c r="C68" t="str">
        <x:v>Feriado nacional</x:v>
      </x:c>
      <x:c r="D68" t="str">
        <x:v>Calendario nacional 2025–2030</x:v>
      </x:c>
      <x:c r="E68" t="str">
        <x:v>https://www.expreso.ec/uploads/files/2025/09/02/Calendario-feriados-nacionales-2025-2030.pdf</x:v>
      </x:c>
    </x:row>
    <x:row r="69">
      <x:c r="A69" s="2" t="n">
        <x:v>47767</x:v>
      </x:c>
      <x:c r="B69" t="str">
        <x:v>Independencia de Guayaquil · trasladado</x:v>
      </x:c>
      <x:c r="C69" t="str">
        <x:v>Feriado nacional</x:v>
      </x:c>
      <x:c r="D69" t="str">
        <x:v>Calendario nacional 2025–2030</x:v>
      </x:c>
      <x:c r="E69" t="str">
        <x:v>https://www.expreso.ec/uploads/files/2025/09/02/Calendario-feriados-nacionales-2025-2030.pdf</x:v>
      </x:c>
    </x:row>
    <x:row r="70">
      <x:c r="A70" s="2" t="n">
        <x:v>47788</x:v>
      </x:c>
      <x:c r="B70" t="str">
        <x:v>Día de los Difuntos · trasladado</x:v>
      </x:c>
      <x:c r="C70" t="str">
        <x:v>Feriado nacional</x:v>
      </x:c>
      <x:c r="D70" t="str">
        <x:v>Calendario nacional 2025–2030</x:v>
      </x:c>
      <x:c r="E70" t="str">
        <x:v>https://www.expreso.ec/uploads/files/2025/09/02/Calendario-feriados-nacionales-2025-2030.pdf</x:v>
      </x:c>
    </x:row>
    <x:row r="71">
      <x:c r="A71" s="2" t="n">
        <x:v>47791</x:v>
      </x:c>
      <x:c r="B71" t="str">
        <x:v>Independencia de Cuenca · trasladado</x:v>
      </x:c>
      <x:c r="C71" t="str">
        <x:v>Feriado nacional</x:v>
      </x:c>
      <x:c r="D71" t="str">
        <x:v>Calendario nacional 2025–2030</x:v>
      </x:c>
      <x:c r="E71" t="str">
        <x:v>https://www.expreso.ec/uploads/files/2025/09/02/Calendario-feriados-nacionales-2025-2030.pdf</x:v>
      </x:c>
    </x:row>
    <x:row r="72">
      <x:c r="A72" s="2" t="n">
        <x:v>47842</x:v>
      </x:c>
      <x:c r="B72" t="str">
        <x:v>Navidad</x:v>
      </x:c>
      <x:c r="C72" t="str">
        <x:v>Feriado nacional</x:v>
      </x:c>
      <x:c r="D72" t="str">
        <x:v>Calendario nacional 2025–2030</x:v>
      </x:c>
      <x:c r="E72" t="str">
        <x:v>https://www.expreso.ec/uploads/files/2025/09/02/Calendario-feriados-nacionales-2025-2030.pdf</x:v>
      </x:c>
    </x:row>
    <x:row r="73">
      <x:c r="A73" s="2" t="n">
        <x:v>47849</x:v>
      </x:c>
      <x:c r="B73" t="str">
        <x:v>Año Nuevo · fecha límite del calendario</x:v>
      </x:c>
      <x:c r="C73" t="str">
        <x:v>Feriado nacional</x:v>
      </x:c>
      <x:c r="D73" t="str">
        <x:v>Feriado anual (solo continuidad 2030)</x:v>
      </x:c>
      <x:c r="E73" t="str">
        <x:v>https://www.expreso.ec/uploads/files/2025/09/02/Calendario-feriados-nacionales-2025-2030.pdf</x:v>
      </x:c>
    </x:row>
  </x:sheetData>
  <x:conditionalFormatting sqref="C2:C59">
    <x:cfRule type="expression" dxfId="4" priority="1">
      <x:formula>OR(C2="Descanso adicional",C2="Suspensión nacional")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0285367f76b4129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8" hidden="0" customWidth="1"/>
    <x:col min="3" max="3" width="14" hidden="0" customWidth="1"/>
    <x:col min="4" max="4" width="16" hidden="0" customWidth="1"/>
    <x:col min="5" max="5" width="20" hidden="0" customWidth="1"/>
    <x:col min="6" max="6" width="24" hidden="0" customWidth="1"/>
    <x:col min="7" max="7" width="18" hidden="0" customWidth="1"/>
    <x:col min="8" max="8" width="31" hidden="0" customWidth="1"/>
    <x:col min="9" max="9" width="19" hidden="0" customWidth="1"/>
  </x:cols>
  <x:sheetData>
    <x:row r="1" ht="35" customHeight="1">
      <x:c r="A1" s="13" t="str">
        <x:v>FECHA_CALENDARIO</x:v>
      </x:c>
      <x:c r="B1" s="13" t="str">
        <x:v>DIA_SEMANA</x:v>
      </x:c>
      <x:c r="C1" s="13" t="str">
        <x:v>ES_FERIADO</x:v>
      </x:c>
      <x:c r="D1" s="13" t="str">
        <x:v>ES_LABORABLE</x:v>
      </x:c>
      <x:c r="E1" s="13" t="str">
        <x:v>FECHA_GESTION</x:v>
      </x:c>
      <x:c r="F1" s="13" t="str">
        <x:v>CIERRE_2_LABORABLES</x:v>
      </x:c>
      <x:c r="G1" s="13" t="str">
        <x:v>MES_REPORTE</x:v>
      </x:c>
      <x:c r="H1" s="13" t="str">
        <x:v>MOTIVO_AJUSTE</x:v>
      </x:c>
      <x:c r="I1" s="13" t="str">
        <x:v>PERIODO_REPORTE</x:v>
      </x:c>
    </x:row>
    <x:row r="2" ht="19" customHeight="1">
      <x:c r="A2" s="2" t="n">
        <x:v>45658</x:v>
      </x:c>
      <x:c r="B2" t="str">
        <x:f>CHOOSE(WEEKDAY(A2,2),"Lunes","Martes","Miércoles","Jueves","Viernes","Sábado","Domingo")</x:f>
        <x:v>Miércoles</x:v>
      </x:c>
      <x:c r="C2" t="str">
        <x:f>IF(COUNTIF(FERIADOS!$A$2:$A$250,A2)&gt;0,"SÍ","NO")</x:f>
        <x:v>SÍ</x:v>
      </x:c>
      <x:c r="D2" t="str">
        <x:f>IF(AND(WEEKDAY(A2,2)&lt;=5,C2="NO"),"SÍ","NO")</x:f>
        <x:v>NO</x:v>
      </x:c>
      <x:c r="E2" s="2" t="n">
        <x:f>WORKDAY.INTL(A2-1,1,1,FERIADOS!$A$2:$A$250)</x:f>
        <x:v>45663</x:v>
      </x:c>
      <x:c r="F2" t="str">
        <x:f>IF(E2&gt;=WORKDAY.INTL(EOMONTH(E2,0)+1,-2,1,FERIADOS!$A$2:$A$250),"SÍ","NO")</x:f>
        <x:v>NO</x:v>
      </x:c>
      <x:c r="G2" s="10" t="n">
        <x:f>IF(F2="SÍ",EOMONTH(E2,0)+1,DATE(YEAR(E2),MONTH(E2),1))</x:f>
        <x:v>45658</x:v>
      </x:c>
      <x:c r="H2" t="str">
        <x:f>IF(D2="NO",IF(C2="SÍ","FERIADO","FIN DE SEMANA"),"LABORABLE")&amp;IF(F2="SÍ"," + CIERRE","")</x:f>
        <x:v>FERIADO</x:v>
      </x:c>
      <x:c r="I2" t="str">
        <x:f>TEXT(G2,"yyyy-mm")</x:f>
        <x:v>2025-01</x:v>
      </x:c>
    </x:row>
    <x:row r="3" ht="19" customHeight="1">
      <x:c r="A3" s="2" t="n">
        <x:v>45659</x:v>
      </x:c>
      <x:c r="B3" t="str">
        <x:f>CHOOSE(WEEKDAY(A3,2),"Lunes","Martes","Miércoles","Jueves","Viernes","Sábado","Domingo")</x:f>
        <x:v>Jueves</x:v>
      </x:c>
      <x:c r="C3" t="str">
        <x:f>IF(COUNTIF(FERIADOS!$A$2:$A$250,A3)&gt;0,"SÍ","NO")</x:f>
        <x:v>SÍ</x:v>
      </x:c>
      <x:c r="D3" t="str">
        <x:f>IF(AND(WEEKDAY(A3,2)&lt;=5,C3="NO"),"SÍ","NO")</x:f>
        <x:v>NO</x:v>
      </x:c>
      <x:c r="E3" s="2" t="n">
        <x:f>WORKDAY.INTL(A3-1,1,1,FERIADOS!$A$2:$A$250)</x:f>
        <x:v>45663</x:v>
      </x:c>
      <x:c r="F3" t="str">
        <x:f>IF(E3&gt;=WORKDAY.INTL(EOMONTH(E3,0)+1,-2,1,FERIADOS!$A$2:$A$250),"SÍ","NO")</x:f>
        <x:v>NO</x:v>
      </x:c>
      <x:c r="G3" s="10" t="n">
        <x:f>IF(F3="SÍ",EOMONTH(E3,0)+1,DATE(YEAR(E3),MONTH(E3),1))</x:f>
        <x:v>45658</x:v>
      </x:c>
      <x:c r="H3" t="str">
        <x:f>IF(D3="NO",IF(C3="SÍ","FERIADO","FIN DE SEMANA"),"LABORABLE")&amp;IF(F3="SÍ"," + CIERRE","")</x:f>
        <x:v>FERIADO</x:v>
      </x:c>
      <x:c r="I3" t="str">
        <x:f>TEXT(G3,"yyyy-mm")</x:f>
        <x:v>2025-01</x:v>
      </x:c>
    </x:row>
    <x:row r="4" ht="19" customHeight="1">
      <x:c r="A4" s="2" t="n">
        <x:v>45660</x:v>
      </x:c>
      <x:c r="B4" t="str">
        <x:f>CHOOSE(WEEKDAY(A4,2),"Lunes","Martes","Miércoles","Jueves","Viernes","Sábado","Domingo")</x:f>
        <x:v>Viernes</x:v>
      </x:c>
      <x:c r="C4" t="str">
        <x:f>IF(COUNTIF(FERIADOS!$A$2:$A$250,A4)&gt;0,"SÍ","NO")</x:f>
        <x:v>SÍ</x:v>
      </x:c>
      <x:c r="D4" t="str">
        <x:f>IF(AND(WEEKDAY(A4,2)&lt;=5,C4="NO"),"SÍ","NO")</x:f>
        <x:v>NO</x:v>
      </x:c>
      <x:c r="E4" s="2" t="n">
        <x:f>WORKDAY.INTL(A4-1,1,1,FERIADOS!$A$2:$A$250)</x:f>
        <x:v>45663</x:v>
      </x:c>
      <x:c r="F4" t="str">
        <x:f>IF(E4&gt;=WORKDAY.INTL(EOMONTH(E4,0)+1,-2,1,FERIADOS!$A$2:$A$250),"SÍ","NO")</x:f>
        <x:v>NO</x:v>
      </x:c>
      <x:c r="G4" s="10" t="n">
        <x:f>IF(F4="SÍ",EOMONTH(E4,0)+1,DATE(YEAR(E4),MONTH(E4),1))</x:f>
        <x:v>45658</x:v>
      </x:c>
      <x:c r="H4" t="str">
        <x:f>IF(D4="NO",IF(C4="SÍ","FERIADO","FIN DE SEMANA"),"LABORABLE")&amp;IF(F4="SÍ"," + CIERRE","")</x:f>
        <x:v>FERIADO</x:v>
      </x:c>
      <x:c r="I4" t="str">
        <x:f>TEXT(G4,"yyyy-mm")</x:f>
        <x:v>2025-01</x:v>
      </x:c>
    </x:row>
    <x:row r="5" ht="19" customHeight="1">
      <x:c r="A5" s="2" t="n">
        <x:v>45661</x:v>
      </x:c>
      <x:c r="B5" t="str">
        <x:f>CHOOSE(WEEKDAY(A5,2),"Lunes","Martes","Miércoles","Jueves","Viernes","Sábado","Domingo")</x:f>
        <x:v>Sábado</x:v>
      </x:c>
      <x:c r="C5" t="str">
        <x:f>IF(COUNTIF(FERIADOS!$A$2:$A$250,A5)&gt;0,"SÍ","NO")</x:f>
        <x:v>NO</x:v>
      </x:c>
      <x:c r="D5" t="str">
        <x:f>IF(AND(WEEKDAY(A5,2)&lt;=5,C5="NO"),"SÍ","NO")</x:f>
        <x:v>NO</x:v>
      </x:c>
      <x:c r="E5" s="2" t="n">
        <x:f>WORKDAY.INTL(A5-1,1,1,FERIADOS!$A$2:$A$250)</x:f>
        <x:v>45663</x:v>
      </x:c>
      <x:c r="F5" t="str">
        <x:f>IF(E5&gt;=WORKDAY.INTL(EOMONTH(E5,0)+1,-2,1,FERIADOS!$A$2:$A$250),"SÍ","NO")</x:f>
        <x:v>NO</x:v>
      </x:c>
      <x:c r="G5" s="10" t="n">
        <x:f>IF(F5="SÍ",EOMONTH(E5,0)+1,DATE(YEAR(E5),MONTH(E5),1))</x:f>
        <x:v>45658</x:v>
      </x:c>
      <x:c r="H5" t="str">
        <x:f>IF(D5="NO",IF(C5="SÍ","FERIADO","FIN DE SEMANA"),"LABORABLE")&amp;IF(F5="SÍ"," + CIERRE","")</x:f>
        <x:v>FIN DE SEMANA</x:v>
      </x:c>
      <x:c r="I5" t="str">
        <x:f>TEXT(G5,"yyyy-mm")</x:f>
        <x:v>2025-01</x:v>
      </x:c>
    </x:row>
    <x:row r="6" ht="19" customHeight="1">
      <x:c r="A6" s="2" t="n">
        <x:v>45662</x:v>
      </x:c>
      <x:c r="B6" t="str">
        <x:f>CHOOSE(WEEKDAY(A6,2),"Lunes","Martes","Miércoles","Jueves","Viernes","Sábado","Domingo")</x:f>
        <x:v>Domingo</x:v>
      </x:c>
      <x:c r="C6" t="str">
        <x:f>IF(COUNTIF(FERIADOS!$A$2:$A$250,A6)&gt;0,"SÍ","NO")</x:f>
        <x:v>NO</x:v>
      </x:c>
      <x:c r="D6" t="str">
        <x:f>IF(AND(WEEKDAY(A6,2)&lt;=5,C6="NO"),"SÍ","NO")</x:f>
        <x:v>NO</x:v>
      </x:c>
      <x:c r="E6" s="2" t="n">
        <x:f>WORKDAY.INTL(A6-1,1,1,FERIADOS!$A$2:$A$250)</x:f>
        <x:v>45663</x:v>
      </x:c>
      <x:c r="F6" t="str">
        <x:f>IF(E6&gt;=WORKDAY.INTL(EOMONTH(E6,0)+1,-2,1,FERIADOS!$A$2:$A$250),"SÍ","NO")</x:f>
        <x:v>NO</x:v>
      </x:c>
      <x:c r="G6" s="10" t="n">
        <x:f>IF(F6="SÍ",EOMONTH(E6,0)+1,DATE(YEAR(E6),MONTH(E6),1))</x:f>
        <x:v>45658</x:v>
      </x:c>
      <x:c r="H6" t="str">
        <x:f>IF(D6="NO",IF(C6="SÍ","FERIADO","FIN DE SEMANA"),"LABORABLE")&amp;IF(F6="SÍ"," + CIERRE","")</x:f>
        <x:v>FIN DE SEMANA</x:v>
      </x:c>
      <x:c r="I6" t="str">
        <x:f>TEXT(G6,"yyyy-mm")</x:f>
        <x:v>2025-01</x:v>
      </x:c>
    </x:row>
    <x:row r="7" ht="19" customHeight="1">
      <x:c r="A7" s="2" t="n">
        <x:v>45663</x:v>
      </x:c>
      <x:c r="B7" t="str">
        <x:f>CHOOSE(WEEKDAY(A7,2),"Lunes","Martes","Miércoles","Jueves","Viernes","Sábado","Domingo")</x:f>
        <x:v>Lunes</x:v>
      </x:c>
      <x:c r="C7" t="str">
        <x:f>IF(COUNTIF(FERIADOS!$A$2:$A$250,A7)&gt;0,"SÍ","NO")</x:f>
        <x:v>NO</x:v>
      </x:c>
      <x:c r="D7" t="str">
        <x:f>IF(AND(WEEKDAY(A7,2)&lt;=5,C7="NO"),"SÍ","NO")</x:f>
        <x:v>SÍ</x:v>
      </x:c>
      <x:c r="E7" s="2" t="n">
        <x:f>WORKDAY.INTL(A7-1,1,1,FERIADOS!$A$2:$A$250)</x:f>
        <x:v>45663</x:v>
      </x:c>
      <x:c r="F7" t="str">
        <x:f>IF(E7&gt;=WORKDAY.INTL(EOMONTH(E7,0)+1,-2,1,FERIADOS!$A$2:$A$250),"SÍ","NO")</x:f>
        <x:v>NO</x:v>
      </x:c>
      <x:c r="G7" s="10" t="n">
        <x:f>IF(F7="SÍ",EOMONTH(E7,0)+1,DATE(YEAR(E7),MONTH(E7),1))</x:f>
        <x:v>45658</x:v>
      </x:c>
      <x:c r="H7" t="str">
        <x:f>IF(D7="NO",IF(C7="SÍ","FERIADO","FIN DE SEMANA"),"LABORABLE")&amp;IF(F7="SÍ"," + CIERRE","")</x:f>
        <x:v>LABORABLE</x:v>
      </x:c>
      <x:c r="I7" t="str">
        <x:f>TEXT(G7,"yyyy-mm")</x:f>
        <x:v>2025-01</x:v>
      </x:c>
    </x:row>
    <x:row r="8" ht="19" customHeight="1">
      <x:c r="A8" s="2" t="n">
        <x:v>45664</x:v>
      </x:c>
      <x:c r="B8" t="str">
        <x:f>CHOOSE(WEEKDAY(A8,2),"Lunes","Martes","Miércoles","Jueves","Viernes","Sábado","Domingo")</x:f>
        <x:v>Martes</x:v>
      </x:c>
      <x:c r="C8" t="str">
        <x:f>IF(COUNTIF(FERIADOS!$A$2:$A$250,A8)&gt;0,"SÍ","NO")</x:f>
        <x:v>NO</x:v>
      </x:c>
      <x:c r="D8" t="str">
        <x:f>IF(AND(WEEKDAY(A8,2)&lt;=5,C8="NO"),"SÍ","NO")</x:f>
        <x:v>SÍ</x:v>
      </x:c>
      <x:c r="E8" s="2" t="n">
        <x:f>WORKDAY.INTL(A8-1,1,1,FERIADOS!$A$2:$A$250)</x:f>
        <x:v>45664</x:v>
      </x:c>
      <x:c r="F8" t="str">
        <x:f>IF(E8&gt;=WORKDAY.INTL(EOMONTH(E8,0)+1,-2,1,FERIADOS!$A$2:$A$250),"SÍ","NO")</x:f>
        <x:v>NO</x:v>
      </x:c>
      <x:c r="G8" s="10" t="n">
        <x:f>IF(F8="SÍ",EOMONTH(E8,0)+1,DATE(YEAR(E8),MONTH(E8),1))</x:f>
        <x:v>45658</x:v>
      </x:c>
      <x:c r="H8" t="str">
        <x:f>IF(D8="NO",IF(C8="SÍ","FERIADO","FIN DE SEMANA"),"LABORABLE")&amp;IF(F8="SÍ"," + CIERRE","")</x:f>
        <x:v>LABORABLE</x:v>
      </x:c>
      <x:c r="I8" t="str">
        <x:f>TEXT(G8,"yyyy-mm")</x:f>
        <x:v>2025-01</x:v>
      </x:c>
    </x:row>
    <x:row r="9" ht="19" customHeight="1">
      <x:c r="A9" s="2" t="n">
        <x:v>45665</x:v>
      </x:c>
      <x:c r="B9" t="str">
        <x:f>CHOOSE(WEEKDAY(A9,2),"Lunes","Martes","Miércoles","Jueves","Viernes","Sábado","Domingo")</x:f>
        <x:v>Miércoles</x:v>
      </x:c>
      <x:c r="C9" t="str">
        <x:f>IF(COUNTIF(FERIADOS!$A$2:$A$250,A9)&gt;0,"SÍ","NO")</x:f>
        <x:v>NO</x:v>
      </x:c>
      <x:c r="D9" t="str">
        <x:f>IF(AND(WEEKDAY(A9,2)&lt;=5,C9="NO"),"SÍ","NO")</x:f>
        <x:v>SÍ</x:v>
      </x:c>
      <x:c r="E9" s="2" t="n">
        <x:f>WORKDAY.INTL(A9-1,1,1,FERIADOS!$A$2:$A$250)</x:f>
        <x:v>45665</x:v>
      </x:c>
      <x:c r="F9" t="str">
        <x:f>IF(E9&gt;=WORKDAY.INTL(EOMONTH(E9,0)+1,-2,1,FERIADOS!$A$2:$A$250),"SÍ","NO")</x:f>
        <x:v>NO</x:v>
      </x:c>
      <x:c r="G9" s="10" t="n">
        <x:f>IF(F9="SÍ",EOMONTH(E9,0)+1,DATE(YEAR(E9),MONTH(E9),1))</x:f>
        <x:v>45658</x:v>
      </x:c>
      <x:c r="H9" t="str">
        <x:f>IF(D9="NO",IF(C9="SÍ","FERIADO","FIN DE SEMANA"),"LABORABLE")&amp;IF(F9="SÍ"," + CIERRE","")</x:f>
        <x:v>LABORABLE</x:v>
      </x:c>
      <x:c r="I9" t="str">
        <x:f>TEXT(G9,"yyyy-mm")</x:f>
        <x:v>2025-01</x:v>
      </x:c>
    </x:row>
    <x:row r="10" ht="19" customHeight="1">
      <x:c r="A10" s="2" t="n">
        <x:v>45666</x:v>
      </x:c>
      <x:c r="B10" t="str">
        <x:f>CHOOSE(WEEKDAY(A10,2),"Lunes","Martes","Miércoles","Jueves","Viernes","Sábado","Domingo")</x:f>
        <x:v>Jueves</x:v>
      </x:c>
      <x:c r="C10" t="str">
        <x:f>IF(COUNTIF(FERIADOS!$A$2:$A$250,A10)&gt;0,"SÍ","NO")</x:f>
        <x:v>NO</x:v>
      </x:c>
      <x:c r="D10" t="str">
        <x:f>IF(AND(WEEKDAY(A10,2)&lt;=5,C10="NO"),"SÍ","NO")</x:f>
        <x:v>SÍ</x:v>
      </x:c>
      <x:c r="E10" s="2" t="n">
        <x:f>WORKDAY.INTL(A10-1,1,1,FERIADOS!$A$2:$A$250)</x:f>
        <x:v>45666</x:v>
      </x:c>
      <x:c r="F10" t="str">
        <x:f>IF(E10&gt;=WORKDAY.INTL(EOMONTH(E10,0)+1,-2,1,FERIADOS!$A$2:$A$250),"SÍ","NO")</x:f>
        <x:v>NO</x:v>
      </x:c>
      <x:c r="G10" s="10" t="n">
        <x:f>IF(F10="SÍ",EOMONTH(E10,0)+1,DATE(YEAR(E10),MONTH(E10),1))</x:f>
        <x:v>45658</x:v>
      </x:c>
      <x:c r="H10" t="str">
        <x:f>IF(D10="NO",IF(C10="SÍ","FERIADO","FIN DE SEMANA"),"LABORABLE")&amp;IF(F10="SÍ"," + CIERRE","")</x:f>
        <x:v>LABORABLE</x:v>
      </x:c>
      <x:c r="I10" t="str">
        <x:f>TEXT(G10,"yyyy-mm")</x:f>
        <x:v>2025-01</x:v>
      </x:c>
    </x:row>
    <x:row r="11" ht="19" customHeight="1">
      <x:c r="A11" s="2" t="n">
        <x:v>45667</x:v>
      </x:c>
      <x:c r="B11" t="str">
        <x:f>CHOOSE(WEEKDAY(A11,2),"Lunes","Martes","Miércoles","Jueves","Viernes","Sábado","Domingo")</x:f>
        <x:v>Viernes</x:v>
      </x:c>
      <x:c r="C11" t="str">
        <x:f>IF(COUNTIF(FERIADOS!$A$2:$A$250,A11)&gt;0,"SÍ","NO")</x:f>
        <x:v>NO</x:v>
      </x:c>
      <x:c r="D11" t="str">
        <x:f>IF(AND(WEEKDAY(A11,2)&lt;=5,C11="NO"),"SÍ","NO")</x:f>
        <x:v>SÍ</x:v>
      </x:c>
      <x:c r="E11" s="2" t="n">
        <x:f>WORKDAY.INTL(A11-1,1,1,FERIADOS!$A$2:$A$250)</x:f>
        <x:v>45667</x:v>
      </x:c>
      <x:c r="F11" t="str">
        <x:f>IF(E11&gt;=WORKDAY.INTL(EOMONTH(E11,0)+1,-2,1,FERIADOS!$A$2:$A$250),"SÍ","NO")</x:f>
        <x:v>NO</x:v>
      </x:c>
      <x:c r="G11" s="10" t="n">
        <x:f>IF(F11="SÍ",EOMONTH(E11,0)+1,DATE(YEAR(E11),MONTH(E11),1))</x:f>
        <x:v>45658</x:v>
      </x:c>
      <x:c r="H11" t="str">
        <x:f>IF(D11="NO",IF(C11="SÍ","FERIADO","FIN DE SEMANA"),"LABORABLE")&amp;IF(F11="SÍ"," + CIERRE","")</x:f>
        <x:v>LABORABLE</x:v>
      </x:c>
      <x:c r="I11" t="str">
        <x:f>TEXT(G11,"yyyy-mm")</x:f>
        <x:v>2025-01</x:v>
      </x:c>
    </x:row>
    <x:row r="12" ht="19" customHeight="1">
      <x:c r="A12" s="2" t="n">
        <x:v>45668</x:v>
      </x:c>
      <x:c r="B12" t="str">
        <x:f>CHOOSE(WEEKDAY(A12,2),"Lunes","Martes","Miércoles","Jueves","Viernes","Sábado","Domingo")</x:f>
        <x:v>Sábado</x:v>
      </x:c>
      <x:c r="C12" t="str">
        <x:f>IF(COUNTIF(FERIADOS!$A$2:$A$250,A12)&gt;0,"SÍ","NO")</x:f>
        <x:v>NO</x:v>
      </x:c>
      <x:c r="D12" t="str">
        <x:f>IF(AND(WEEKDAY(A12,2)&lt;=5,C12="NO"),"SÍ","NO")</x:f>
        <x:v>NO</x:v>
      </x:c>
      <x:c r="E12" s="2" t="n">
        <x:f>WORKDAY.INTL(A12-1,1,1,FERIADOS!$A$2:$A$250)</x:f>
        <x:v>45670</x:v>
      </x:c>
      <x:c r="F12" t="str">
        <x:f>IF(E12&gt;=WORKDAY.INTL(EOMONTH(E12,0)+1,-2,1,FERIADOS!$A$2:$A$250),"SÍ","NO")</x:f>
        <x:v>NO</x:v>
      </x:c>
      <x:c r="G12" s="10" t="n">
        <x:f>IF(F12="SÍ",EOMONTH(E12,0)+1,DATE(YEAR(E12),MONTH(E12),1))</x:f>
        <x:v>45658</x:v>
      </x:c>
      <x:c r="H12" t="str">
        <x:f>IF(D12="NO",IF(C12="SÍ","FERIADO","FIN DE SEMANA"),"LABORABLE")&amp;IF(F12="SÍ"," + CIERRE","")</x:f>
        <x:v>FIN DE SEMANA</x:v>
      </x:c>
      <x:c r="I12" t="str">
        <x:f>TEXT(G12,"yyyy-mm")</x:f>
        <x:v>2025-01</x:v>
      </x:c>
    </x:row>
    <x:row r="13" ht="19" customHeight="1">
      <x:c r="A13" s="2" t="n">
        <x:v>45669</x:v>
      </x:c>
      <x:c r="B13" t="str">
        <x:f>CHOOSE(WEEKDAY(A13,2),"Lunes","Martes","Miércoles","Jueves","Viernes","Sábado","Domingo")</x:f>
        <x:v>Domingo</x:v>
      </x:c>
      <x:c r="C13" t="str">
        <x:f>IF(COUNTIF(FERIADOS!$A$2:$A$250,A13)&gt;0,"SÍ","NO")</x:f>
        <x:v>NO</x:v>
      </x:c>
      <x:c r="D13" t="str">
        <x:f>IF(AND(WEEKDAY(A13,2)&lt;=5,C13="NO"),"SÍ","NO")</x:f>
        <x:v>NO</x:v>
      </x:c>
      <x:c r="E13" s="2" t="n">
        <x:f>WORKDAY.INTL(A13-1,1,1,FERIADOS!$A$2:$A$250)</x:f>
        <x:v>45670</x:v>
      </x:c>
      <x:c r="F13" t="str">
        <x:f>IF(E13&gt;=WORKDAY.INTL(EOMONTH(E13,0)+1,-2,1,FERIADOS!$A$2:$A$250),"SÍ","NO")</x:f>
        <x:v>NO</x:v>
      </x:c>
      <x:c r="G13" s="10" t="n">
        <x:f>IF(F13="SÍ",EOMONTH(E13,0)+1,DATE(YEAR(E13),MONTH(E13),1))</x:f>
        <x:v>45658</x:v>
      </x:c>
      <x:c r="H13" t="str">
        <x:f>IF(D13="NO",IF(C13="SÍ","FERIADO","FIN DE SEMANA"),"LABORABLE")&amp;IF(F13="SÍ"," + CIERRE","")</x:f>
        <x:v>FIN DE SEMANA</x:v>
      </x:c>
      <x:c r="I13" t="str">
        <x:f>TEXT(G13,"yyyy-mm")</x:f>
        <x:v>2025-01</x:v>
      </x:c>
    </x:row>
    <x:row r="14" ht="19" customHeight="1">
      <x:c r="A14" s="2" t="n">
        <x:v>45670</x:v>
      </x:c>
      <x:c r="B14" t="str">
        <x:f>CHOOSE(WEEKDAY(A14,2),"Lunes","Martes","Miércoles","Jueves","Viernes","Sábado","Domingo")</x:f>
        <x:v>Lunes</x:v>
      </x:c>
      <x:c r="C14" t="str">
        <x:f>IF(COUNTIF(FERIADOS!$A$2:$A$250,A14)&gt;0,"SÍ","NO")</x:f>
        <x:v>NO</x:v>
      </x:c>
      <x:c r="D14" t="str">
        <x:f>IF(AND(WEEKDAY(A14,2)&lt;=5,C14="NO"),"SÍ","NO")</x:f>
        <x:v>SÍ</x:v>
      </x:c>
      <x:c r="E14" s="2" t="n">
        <x:f>WORKDAY.INTL(A14-1,1,1,FERIADOS!$A$2:$A$250)</x:f>
        <x:v>45670</x:v>
      </x:c>
      <x:c r="F14" t="str">
        <x:f>IF(E14&gt;=WORKDAY.INTL(EOMONTH(E14,0)+1,-2,1,FERIADOS!$A$2:$A$250),"SÍ","NO")</x:f>
        <x:v>NO</x:v>
      </x:c>
      <x:c r="G14" s="10" t="n">
        <x:f>IF(F14="SÍ",EOMONTH(E14,0)+1,DATE(YEAR(E14),MONTH(E14),1))</x:f>
        <x:v>45658</x:v>
      </x:c>
      <x:c r="H14" t="str">
        <x:f>IF(D14="NO",IF(C14="SÍ","FERIADO","FIN DE SEMANA"),"LABORABLE")&amp;IF(F14="SÍ"," + CIERRE","")</x:f>
        <x:v>LABORABLE</x:v>
      </x:c>
      <x:c r="I14" t="str">
        <x:f>TEXT(G14,"yyyy-mm")</x:f>
        <x:v>2025-01</x:v>
      </x:c>
    </x:row>
    <x:row r="15" ht="19" customHeight="1">
      <x:c r="A15" s="2" t="n">
        <x:v>45671</x:v>
      </x:c>
      <x:c r="B15" t="str">
        <x:f>CHOOSE(WEEKDAY(A15,2),"Lunes","Martes","Miércoles","Jueves","Viernes","Sábado","Domingo")</x:f>
        <x:v>Martes</x:v>
      </x:c>
      <x:c r="C15" t="str">
        <x:f>IF(COUNTIF(FERIADOS!$A$2:$A$250,A15)&gt;0,"SÍ","NO")</x:f>
        <x:v>NO</x:v>
      </x:c>
      <x:c r="D15" t="str">
        <x:f>IF(AND(WEEKDAY(A15,2)&lt;=5,C15="NO"),"SÍ","NO")</x:f>
        <x:v>SÍ</x:v>
      </x:c>
      <x:c r="E15" s="2" t="n">
        <x:f>WORKDAY.INTL(A15-1,1,1,FERIADOS!$A$2:$A$250)</x:f>
        <x:v>45671</x:v>
      </x:c>
      <x:c r="F15" t="str">
        <x:f>IF(E15&gt;=WORKDAY.INTL(EOMONTH(E15,0)+1,-2,1,FERIADOS!$A$2:$A$250),"SÍ","NO")</x:f>
        <x:v>NO</x:v>
      </x:c>
      <x:c r="G15" s="10" t="n">
        <x:f>IF(F15="SÍ",EOMONTH(E15,0)+1,DATE(YEAR(E15),MONTH(E15),1))</x:f>
        <x:v>45658</x:v>
      </x:c>
      <x:c r="H15" t="str">
        <x:f>IF(D15="NO",IF(C15="SÍ","FERIADO","FIN DE SEMANA"),"LABORABLE")&amp;IF(F15="SÍ"," + CIERRE","")</x:f>
        <x:v>LABORABLE</x:v>
      </x:c>
      <x:c r="I15" t="str">
        <x:f>TEXT(G15,"yyyy-mm")</x:f>
        <x:v>2025-01</x:v>
      </x:c>
    </x:row>
    <x:row r="16" ht="19" customHeight="1">
      <x:c r="A16" s="2" t="n">
        <x:v>45672</x:v>
      </x:c>
      <x:c r="B16" t="str">
        <x:f>CHOOSE(WEEKDAY(A16,2),"Lunes","Martes","Miércoles","Jueves","Viernes","Sábado","Domingo")</x:f>
        <x:v>Miércoles</x:v>
      </x:c>
      <x:c r="C16" t="str">
        <x:f>IF(COUNTIF(FERIADOS!$A$2:$A$250,A16)&gt;0,"SÍ","NO")</x:f>
        <x:v>NO</x:v>
      </x:c>
      <x:c r="D16" t="str">
        <x:f>IF(AND(WEEKDAY(A16,2)&lt;=5,C16="NO"),"SÍ","NO")</x:f>
        <x:v>SÍ</x:v>
      </x:c>
      <x:c r="E16" s="2" t="n">
        <x:f>WORKDAY.INTL(A16-1,1,1,FERIADOS!$A$2:$A$250)</x:f>
        <x:v>45672</x:v>
      </x:c>
      <x:c r="F16" t="str">
        <x:f>IF(E16&gt;=WORKDAY.INTL(EOMONTH(E16,0)+1,-2,1,FERIADOS!$A$2:$A$250),"SÍ","NO")</x:f>
        <x:v>NO</x:v>
      </x:c>
      <x:c r="G16" s="10" t="n">
        <x:f>IF(F16="SÍ",EOMONTH(E16,0)+1,DATE(YEAR(E16),MONTH(E16),1))</x:f>
        <x:v>45658</x:v>
      </x:c>
      <x:c r="H16" t="str">
        <x:f>IF(D16="NO",IF(C16="SÍ","FERIADO","FIN DE SEMANA"),"LABORABLE")&amp;IF(F16="SÍ"," + CIERRE","")</x:f>
        <x:v>LABORABLE</x:v>
      </x:c>
      <x:c r="I16" t="str">
        <x:f>TEXT(G16,"yyyy-mm")</x:f>
        <x:v>2025-01</x:v>
      </x:c>
    </x:row>
    <x:row r="17" ht="19" customHeight="1">
      <x:c r="A17" s="2" t="n">
        <x:v>45673</x:v>
      </x:c>
      <x:c r="B17" t="str">
        <x:f>CHOOSE(WEEKDAY(A17,2),"Lunes","Martes","Miércoles","Jueves","Viernes","Sábado","Domingo")</x:f>
        <x:v>Jueves</x:v>
      </x:c>
      <x:c r="C17" t="str">
        <x:f>IF(COUNTIF(FERIADOS!$A$2:$A$250,A17)&gt;0,"SÍ","NO")</x:f>
        <x:v>NO</x:v>
      </x:c>
      <x:c r="D17" t="str">
        <x:f>IF(AND(WEEKDAY(A17,2)&lt;=5,C17="NO"),"SÍ","NO")</x:f>
        <x:v>SÍ</x:v>
      </x:c>
      <x:c r="E17" s="2" t="n">
        <x:f>WORKDAY.INTL(A17-1,1,1,FERIADOS!$A$2:$A$250)</x:f>
        <x:v>45673</x:v>
      </x:c>
      <x:c r="F17" t="str">
        <x:f>IF(E17&gt;=WORKDAY.INTL(EOMONTH(E17,0)+1,-2,1,FERIADOS!$A$2:$A$250),"SÍ","NO")</x:f>
        <x:v>NO</x:v>
      </x:c>
      <x:c r="G17" s="10" t="n">
        <x:f>IF(F17="SÍ",EOMONTH(E17,0)+1,DATE(YEAR(E17),MONTH(E17),1))</x:f>
        <x:v>45658</x:v>
      </x:c>
      <x:c r="H17" t="str">
        <x:f>IF(D17="NO",IF(C17="SÍ","FERIADO","FIN DE SEMANA"),"LABORABLE")&amp;IF(F17="SÍ"," + CIERRE","")</x:f>
        <x:v>LABORABLE</x:v>
      </x:c>
      <x:c r="I17" t="str">
        <x:f>TEXT(G17,"yyyy-mm")</x:f>
        <x:v>2025-01</x:v>
      </x:c>
    </x:row>
    <x:row r="18" ht="19" customHeight="1">
      <x:c r="A18" s="2" t="n">
        <x:v>45674</x:v>
      </x:c>
      <x:c r="B18" t="str">
        <x:f>CHOOSE(WEEKDAY(A18,2),"Lunes","Martes","Miércoles","Jueves","Viernes","Sábado","Domingo")</x:f>
        <x:v>Viernes</x:v>
      </x:c>
      <x:c r="C18" t="str">
        <x:f>IF(COUNTIF(FERIADOS!$A$2:$A$250,A18)&gt;0,"SÍ","NO")</x:f>
        <x:v>NO</x:v>
      </x:c>
      <x:c r="D18" t="str">
        <x:f>IF(AND(WEEKDAY(A18,2)&lt;=5,C18="NO"),"SÍ","NO")</x:f>
        <x:v>SÍ</x:v>
      </x:c>
      <x:c r="E18" s="2" t="n">
        <x:f>WORKDAY.INTL(A18-1,1,1,FERIADOS!$A$2:$A$250)</x:f>
        <x:v>45674</x:v>
      </x:c>
      <x:c r="F18" t="str">
        <x:f>IF(E18&gt;=WORKDAY.INTL(EOMONTH(E18,0)+1,-2,1,FERIADOS!$A$2:$A$250),"SÍ","NO")</x:f>
        <x:v>NO</x:v>
      </x:c>
      <x:c r="G18" s="10" t="n">
        <x:f>IF(F18="SÍ",EOMONTH(E18,0)+1,DATE(YEAR(E18),MONTH(E18),1))</x:f>
        <x:v>45658</x:v>
      </x:c>
      <x:c r="H18" t="str">
        <x:f>IF(D18="NO",IF(C18="SÍ","FERIADO","FIN DE SEMANA"),"LABORABLE")&amp;IF(F18="SÍ"," + CIERRE","")</x:f>
        <x:v>LABORABLE</x:v>
      </x:c>
      <x:c r="I18" t="str">
        <x:f>TEXT(G18,"yyyy-mm")</x:f>
        <x:v>2025-01</x:v>
      </x:c>
    </x:row>
    <x:row r="19" ht="19" customHeight="1">
      <x:c r="A19" s="2" t="n">
        <x:v>45675</x:v>
      </x:c>
      <x:c r="B19" t="str">
        <x:f>CHOOSE(WEEKDAY(A19,2),"Lunes","Martes","Miércoles","Jueves","Viernes","Sábado","Domingo")</x:f>
        <x:v>Sábado</x:v>
      </x:c>
      <x:c r="C19" t="str">
        <x:f>IF(COUNTIF(FERIADOS!$A$2:$A$250,A19)&gt;0,"SÍ","NO")</x:f>
        <x:v>NO</x:v>
      </x:c>
      <x:c r="D19" t="str">
        <x:f>IF(AND(WEEKDAY(A19,2)&lt;=5,C19="NO"),"SÍ","NO")</x:f>
        <x:v>NO</x:v>
      </x:c>
      <x:c r="E19" s="2" t="n">
        <x:f>WORKDAY.INTL(A19-1,1,1,FERIADOS!$A$2:$A$250)</x:f>
        <x:v>45677</x:v>
      </x:c>
      <x:c r="F19" t="str">
        <x:f>IF(E19&gt;=WORKDAY.INTL(EOMONTH(E19,0)+1,-2,1,FERIADOS!$A$2:$A$250),"SÍ","NO")</x:f>
        <x:v>NO</x:v>
      </x:c>
      <x:c r="G19" s="10" t="n">
        <x:f>IF(F19="SÍ",EOMONTH(E19,0)+1,DATE(YEAR(E19),MONTH(E19),1))</x:f>
        <x:v>45658</x:v>
      </x:c>
      <x:c r="H19" t="str">
        <x:f>IF(D19="NO",IF(C19="SÍ","FERIADO","FIN DE SEMANA"),"LABORABLE")&amp;IF(F19="SÍ"," + CIERRE","")</x:f>
        <x:v>FIN DE SEMANA</x:v>
      </x:c>
      <x:c r="I19" t="str">
        <x:f>TEXT(G19,"yyyy-mm")</x:f>
        <x:v>2025-01</x:v>
      </x:c>
    </x:row>
    <x:row r="20" ht="19" customHeight="1">
      <x:c r="A20" s="2" t="n">
        <x:v>45676</x:v>
      </x:c>
      <x:c r="B20" t="str">
        <x:f>CHOOSE(WEEKDAY(A20,2),"Lunes","Martes","Miércoles","Jueves","Viernes","Sábado","Domingo")</x:f>
        <x:v>Domingo</x:v>
      </x:c>
      <x:c r="C20" t="str">
        <x:f>IF(COUNTIF(FERIADOS!$A$2:$A$250,A20)&gt;0,"SÍ","NO")</x:f>
        <x:v>NO</x:v>
      </x:c>
      <x:c r="D20" t="str">
        <x:f>IF(AND(WEEKDAY(A20,2)&lt;=5,C20="NO"),"SÍ","NO")</x:f>
        <x:v>NO</x:v>
      </x:c>
      <x:c r="E20" s="2" t="n">
        <x:f>WORKDAY.INTL(A20-1,1,1,FERIADOS!$A$2:$A$250)</x:f>
        <x:v>45677</x:v>
      </x:c>
      <x:c r="F20" t="str">
        <x:f>IF(E20&gt;=WORKDAY.INTL(EOMONTH(E20,0)+1,-2,1,FERIADOS!$A$2:$A$250),"SÍ","NO")</x:f>
        <x:v>NO</x:v>
      </x:c>
      <x:c r="G20" s="10" t="n">
        <x:f>IF(F20="SÍ",EOMONTH(E20,0)+1,DATE(YEAR(E20),MONTH(E20),1))</x:f>
        <x:v>45658</x:v>
      </x:c>
      <x:c r="H20" t="str">
        <x:f>IF(D20="NO",IF(C20="SÍ","FERIADO","FIN DE SEMANA"),"LABORABLE")&amp;IF(F20="SÍ"," + CIERRE","")</x:f>
        <x:v>FIN DE SEMANA</x:v>
      </x:c>
      <x:c r="I20" t="str">
        <x:f>TEXT(G20,"yyyy-mm")</x:f>
        <x:v>2025-01</x:v>
      </x:c>
    </x:row>
    <x:row r="21" ht="19" customHeight="1">
      <x:c r="A21" s="2" t="n">
        <x:v>45677</x:v>
      </x:c>
      <x:c r="B21" t="str">
        <x:f>CHOOSE(WEEKDAY(A21,2),"Lunes","Martes","Miércoles","Jueves","Viernes","Sábado","Domingo")</x:f>
        <x:v>Lunes</x:v>
      </x:c>
      <x:c r="C21" t="str">
        <x:f>IF(COUNTIF(FERIADOS!$A$2:$A$250,A21)&gt;0,"SÍ","NO")</x:f>
        <x:v>NO</x:v>
      </x:c>
      <x:c r="D21" t="str">
        <x:f>IF(AND(WEEKDAY(A21,2)&lt;=5,C21="NO"),"SÍ","NO")</x:f>
        <x:v>SÍ</x:v>
      </x:c>
      <x:c r="E21" s="2" t="n">
        <x:f>WORKDAY.INTL(A21-1,1,1,FERIADOS!$A$2:$A$250)</x:f>
        <x:v>45677</x:v>
      </x:c>
      <x:c r="F21" t="str">
        <x:f>IF(E21&gt;=WORKDAY.INTL(EOMONTH(E21,0)+1,-2,1,FERIADOS!$A$2:$A$250),"SÍ","NO")</x:f>
        <x:v>NO</x:v>
      </x:c>
      <x:c r="G21" s="10" t="n">
        <x:f>IF(F21="SÍ",EOMONTH(E21,0)+1,DATE(YEAR(E21),MONTH(E21),1))</x:f>
        <x:v>45658</x:v>
      </x:c>
      <x:c r="H21" t="str">
        <x:f>IF(D21="NO",IF(C21="SÍ","FERIADO","FIN DE SEMANA"),"LABORABLE")&amp;IF(F21="SÍ"," + CIERRE","")</x:f>
        <x:v>LABORABLE</x:v>
      </x:c>
      <x:c r="I21" t="str">
        <x:f>TEXT(G21,"yyyy-mm")</x:f>
        <x:v>2025-01</x:v>
      </x:c>
    </x:row>
    <x:row r="22" ht="19" customHeight="1">
      <x:c r="A22" s="2" t="n">
        <x:v>45678</x:v>
      </x:c>
      <x:c r="B22" t="str">
        <x:f>CHOOSE(WEEKDAY(A22,2),"Lunes","Martes","Miércoles","Jueves","Viernes","Sábado","Domingo")</x:f>
        <x:v>Martes</x:v>
      </x:c>
      <x:c r="C22" t="str">
        <x:f>IF(COUNTIF(FERIADOS!$A$2:$A$250,A22)&gt;0,"SÍ","NO")</x:f>
        <x:v>NO</x:v>
      </x:c>
      <x:c r="D22" t="str">
        <x:f>IF(AND(WEEKDAY(A22,2)&lt;=5,C22="NO"),"SÍ","NO")</x:f>
        <x:v>SÍ</x:v>
      </x:c>
      <x:c r="E22" s="2" t="n">
        <x:f>WORKDAY.INTL(A22-1,1,1,FERIADOS!$A$2:$A$250)</x:f>
        <x:v>45678</x:v>
      </x:c>
      <x:c r="F22" t="str">
        <x:f>IF(E22&gt;=WORKDAY.INTL(EOMONTH(E22,0)+1,-2,1,FERIADOS!$A$2:$A$250),"SÍ","NO")</x:f>
        <x:v>NO</x:v>
      </x:c>
      <x:c r="G22" s="10" t="n">
        <x:f>IF(F22="SÍ",EOMONTH(E22,0)+1,DATE(YEAR(E22),MONTH(E22),1))</x:f>
        <x:v>45658</x:v>
      </x:c>
      <x:c r="H22" t="str">
        <x:f>IF(D22="NO",IF(C22="SÍ","FERIADO","FIN DE SEMANA"),"LABORABLE")&amp;IF(F22="SÍ"," + CIERRE","")</x:f>
        <x:v>LABORABLE</x:v>
      </x:c>
      <x:c r="I22" t="str">
        <x:f>TEXT(G22,"yyyy-mm")</x:f>
        <x:v>2025-01</x:v>
      </x:c>
    </x:row>
    <x:row r="23" ht="19" customHeight="1">
      <x:c r="A23" s="2" t="n">
        <x:v>45679</x:v>
      </x:c>
      <x:c r="B23" t="str">
        <x:f>CHOOSE(WEEKDAY(A23,2),"Lunes","Martes","Miércoles","Jueves","Viernes","Sábado","Domingo")</x:f>
        <x:v>Miércoles</x:v>
      </x:c>
      <x:c r="C23" t="str">
        <x:f>IF(COUNTIF(FERIADOS!$A$2:$A$250,A23)&gt;0,"SÍ","NO")</x:f>
        <x:v>NO</x:v>
      </x:c>
      <x:c r="D23" t="str">
        <x:f>IF(AND(WEEKDAY(A23,2)&lt;=5,C23="NO"),"SÍ","NO")</x:f>
        <x:v>SÍ</x:v>
      </x:c>
      <x:c r="E23" s="2" t="n">
        <x:f>WORKDAY.INTL(A23-1,1,1,FERIADOS!$A$2:$A$250)</x:f>
        <x:v>45679</x:v>
      </x:c>
      <x:c r="F23" t="str">
        <x:f>IF(E23&gt;=WORKDAY.INTL(EOMONTH(E23,0)+1,-2,1,FERIADOS!$A$2:$A$250),"SÍ","NO")</x:f>
        <x:v>NO</x:v>
      </x:c>
      <x:c r="G23" s="10" t="n">
        <x:f>IF(F23="SÍ",EOMONTH(E23,0)+1,DATE(YEAR(E23),MONTH(E23),1))</x:f>
        <x:v>45658</x:v>
      </x:c>
      <x:c r="H23" t="str">
        <x:f>IF(D23="NO",IF(C23="SÍ","FERIADO","FIN DE SEMANA"),"LABORABLE")&amp;IF(F23="SÍ"," + CIERRE","")</x:f>
        <x:v>LABORABLE</x:v>
      </x:c>
      <x:c r="I23" t="str">
        <x:f>TEXT(G23,"yyyy-mm")</x:f>
        <x:v>2025-01</x:v>
      </x:c>
    </x:row>
    <x:row r="24" ht="19" customHeight="1">
      <x:c r="A24" s="2" t="n">
        <x:v>45680</x:v>
      </x:c>
      <x:c r="B24" t="str">
        <x:f>CHOOSE(WEEKDAY(A24,2),"Lunes","Martes","Miércoles","Jueves","Viernes","Sábado","Domingo")</x:f>
        <x:v>Jueves</x:v>
      </x:c>
      <x:c r="C24" t="str">
        <x:f>IF(COUNTIF(FERIADOS!$A$2:$A$250,A24)&gt;0,"SÍ","NO")</x:f>
        <x:v>NO</x:v>
      </x:c>
      <x:c r="D24" t="str">
        <x:f>IF(AND(WEEKDAY(A24,2)&lt;=5,C24="NO"),"SÍ","NO")</x:f>
        <x:v>SÍ</x:v>
      </x:c>
      <x:c r="E24" s="2" t="n">
        <x:f>WORKDAY.INTL(A24-1,1,1,FERIADOS!$A$2:$A$250)</x:f>
        <x:v>45680</x:v>
      </x:c>
      <x:c r="F24" t="str">
        <x:f>IF(E24&gt;=WORKDAY.INTL(EOMONTH(E24,0)+1,-2,1,FERIADOS!$A$2:$A$250),"SÍ","NO")</x:f>
        <x:v>NO</x:v>
      </x:c>
      <x:c r="G24" s="10" t="n">
        <x:f>IF(F24="SÍ",EOMONTH(E24,0)+1,DATE(YEAR(E24),MONTH(E24),1))</x:f>
        <x:v>45658</x:v>
      </x:c>
      <x:c r="H24" t="str">
        <x:f>IF(D24="NO",IF(C24="SÍ","FERIADO","FIN DE SEMANA"),"LABORABLE")&amp;IF(F24="SÍ"," + CIERRE","")</x:f>
        <x:v>LABORABLE</x:v>
      </x:c>
      <x:c r="I24" t="str">
        <x:f>TEXT(G24,"yyyy-mm")</x:f>
        <x:v>2025-01</x:v>
      </x:c>
    </x:row>
    <x:row r="25" ht="19" customHeight="1">
      <x:c r="A25" s="2" t="n">
        <x:v>45681</x:v>
      </x:c>
      <x:c r="B25" t="str">
        <x:f>CHOOSE(WEEKDAY(A25,2),"Lunes","Martes","Miércoles","Jueves","Viernes","Sábado","Domingo")</x:f>
        <x:v>Viernes</x:v>
      </x:c>
      <x:c r="C25" t="str">
        <x:f>IF(COUNTIF(FERIADOS!$A$2:$A$250,A25)&gt;0,"SÍ","NO")</x:f>
        <x:v>NO</x:v>
      </x:c>
      <x:c r="D25" t="str">
        <x:f>IF(AND(WEEKDAY(A25,2)&lt;=5,C25="NO"),"SÍ","NO")</x:f>
        <x:v>SÍ</x:v>
      </x:c>
      <x:c r="E25" s="2" t="n">
        <x:f>WORKDAY.INTL(A25-1,1,1,FERIADOS!$A$2:$A$250)</x:f>
        <x:v>45681</x:v>
      </x:c>
      <x:c r="F25" t="str">
        <x:f>IF(E25&gt;=WORKDAY.INTL(EOMONTH(E25,0)+1,-2,1,FERIADOS!$A$2:$A$250),"SÍ","NO")</x:f>
        <x:v>NO</x:v>
      </x:c>
      <x:c r="G25" s="10" t="n">
        <x:f>IF(F25="SÍ",EOMONTH(E25,0)+1,DATE(YEAR(E25),MONTH(E25),1))</x:f>
        <x:v>45658</x:v>
      </x:c>
      <x:c r="H25" t="str">
        <x:f>IF(D25="NO",IF(C25="SÍ","FERIADO","FIN DE SEMANA"),"LABORABLE")&amp;IF(F25="SÍ"," + CIERRE","")</x:f>
        <x:v>LABORABLE</x:v>
      </x:c>
      <x:c r="I25" t="str">
        <x:f>TEXT(G25,"yyyy-mm")</x:f>
        <x:v>2025-01</x:v>
      </x:c>
    </x:row>
    <x:row r="26" ht="19" customHeight="1">
      <x:c r="A26" s="2" t="n">
        <x:v>45682</x:v>
      </x:c>
      <x:c r="B26" t="str">
        <x:f>CHOOSE(WEEKDAY(A26,2),"Lunes","Martes","Miércoles","Jueves","Viernes","Sábado","Domingo")</x:f>
        <x:v>Sábado</x:v>
      </x:c>
      <x:c r="C26" t="str">
        <x:f>IF(COUNTIF(FERIADOS!$A$2:$A$250,A26)&gt;0,"SÍ","NO")</x:f>
        <x:v>NO</x:v>
      </x:c>
      <x:c r="D26" t="str">
        <x:f>IF(AND(WEEKDAY(A26,2)&lt;=5,C26="NO"),"SÍ","NO")</x:f>
        <x:v>NO</x:v>
      </x:c>
      <x:c r="E26" s="2" t="n">
        <x:f>WORKDAY.INTL(A26-1,1,1,FERIADOS!$A$2:$A$250)</x:f>
        <x:v>45684</x:v>
      </x:c>
      <x:c r="F26" t="str">
        <x:f>IF(E26&gt;=WORKDAY.INTL(EOMONTH(E26,0)+1,-2,1,FERIADOS!$A$2:$A$250),"SÍ","NO")</x:f>
        <x:v>NO</x:v>
      </x:c>
      <x:c r="G26" s="10" t="n">
        <x:f>IF(F26="SÍ",EOMONTH(E26,0)+1,DATE(YEAR(E26),MONTH(E26),1))</x:f>
        <x:v>45658</x:v>
      </x:c>
      <x:c r="H26" t="str">
        <x:f>IF(D26="NO",IF(C26="SÍ","FERIADO","FIN DE SEMANA"),"LABORABLE")&amp;IF(F26="SÍ"," + CIERRE","")</x:f>
        <x:v>FIN DE SEMANA</x:v>
      </x:c>
      <x:c r="I26" t="str">
        <x:f>TEXT(G26,"yyyy-mm")</x:f>
        <x:v>2025-01</x:v>
      </x:c>
    </x:row>
    <x:row r="27" ht="19" customHeight="1">
      <x:c r="A27" s="2" t="n">
        <x:v>45683</x:v>
      </x:c>
      <x:c r="B27" t="str">
        <x:f>CHOOSE(WEEKDAY(A27,2),"Lunes","Martes","Miércoles","Jueves","Viernes","Sábado","Domingo")</x:f>
        <x:v>Domingo</x:v>
      </x:c>
      <x:c r="C27" t="str">
        <x:f>IF(COUNTIF(FERIADOS!$A$2:$A$250,A27)&gt;0,"SÍ","NO")</x:f>
        <x:v>NO</x:v>
      </x:c>
      <x:c r="D27" t="str">
        <x:f>IF(AND(WEEKDAY(A27,2)&lt;=5,C27="NO"),"SÍ","NO")</x:f>
        <x:v>NO</x:v>
      </x:c>
      <x:c r="E27" s="2" t="n">
        <x:f>WORKDAY.INTL(A27-1,1,1,FERIADOS!$A$2:$A$250)</x:f>
        <x:v>45684</x:v>
      </x:c>
      <x:c r="F27" t="str">
        <x:f>IF(E27&gt;=WORKDAY.INTL(EOMONTH(E27,0)+1,-2,1,FERIADOS!$A$2:$A$250),"SÍ","NO")</x:f>
        <x:v>NO</x:v>
      </x:c>
      <x:c r="G27" s="10" t="n">
        <x:f>IF(F27="SÍ",EOMONTH(E27,0)+1,DATE(YEAR(E27),MONTH(E27),1))</x:f>
        <x:v>45658</x:v>
      </x:c>
      <x:c r="H27" t="str">
        <x:f>IF(D27="NO",IF(C27="SÍ","FERIADO","FIN DE SEMANA"),"LABORABLE")&amp;IF(F27="SÍ"," + CIERRE","")</x:f>
        <x:v>FIN DE SEMANA</x:v>
      </x:c>
      <x:c r="I27" t="str">
        <x:f>TEXT(G27,"yyyy-mm")</x:f>
        <x:v>2025-01</x:v>
      </x:c>
    </x:row>
    <x:row r="28" ht="19" customHeight="1">
      <x:c r="A28" s="2" t="n">
        <x:v>45684</x:v>
      </x:c>
      <x:c r="B28" t="str">
        <x:f>CHOOSE(WEEKDAY(A28,2),"Lunes","Martes","Miércoles","Jueves","Viernes","Sábado","Domingo")</x:f>
        <x:v>Lunes</x:v>
      </x:c>
      <x:c r="C28" t="str">
        <x:f>IF(COUNTIF(FERIADOS!$A$2:$A$250,A28)&gt;0,"SÍ","NO")</x:f>
        <x:v>NO</x:v>
      </x:c>
      <x:c r="D28" t="str">
        <x:f>IF(AND(WEEKDAY(A28,2)&lt;=5,C28="NO"),"SÍ","NO")</x:f>
        <x:v>SÍ</x:v>
      </x:c>
      <x:c r="E28" s="2" t="n">
        <x:f>WORKDAY.INTL(A28-1,1,1,FERIADOS!$A$2:$A$250)</x:f>
        <x:v>45684</x:v>
      </x:c>
      <x:c r="F28" t="str">
        <x:f>IF(E28&gt;=WORKDAY.INTL(EOMONTH(E28,0)+1,-2,1,FERIADOS!$A$2:$A$250),"SÍ","NO")</x:f>
        <x:v>NO</x:v>
      </x:c>
      <x:c r="G28" s="10" t="n">
        <x:f>IF(F28="SÍ",EOMONTH(E28,0)+1,DATE(YEAR(E28),MONTH(E28),1))</x:f>
        <x:v>45658</x:v>
      </x:c>
      <x:c r="H28" t="str">
        <x:f>IF(D28="NO",IF(C28="SÍ","FERIADO","FIN DE SEMANA"),"LABORABLE")&amp;IF(F28="SÍ"," + CIERRE","")</x:f>
        <x:v>LABORABLE</x:v>
      </x:c>
      <x:c r="I28" t="str">
        <x:f>TEXT(G28,"yyyy-mm")</x:f>
        <x:v>2025-01</x:v>
      </x:c>
    </x:row>
    <x:row r="29" ht="19" customHeight="1">
      <x:c r="A29" s="2" t="n">
        <x:v>45685</x:v>
      </x:c>
      <x:c r="B29" t="str">
        <x:f>CHOOSE(WEEKDAY(A29,2),"Lunes","Martes","Miércoles","Jueves","Viernes","Sábado","Domingo")</x:f>
        <x:v>Martes</x:v>
      </x:c>
      <x:c r="C29" t="str">
        <x:f>IF(COUNTIF(FERIADOS!$A$2:$A$250,A29)&gt;0,"SÍ","NO")</x:f>
        <x:v>NO</x:v>
      </x:c>
      <x:c r="D29" t="str">
        <x:f>IF(AND(WEEKDAY(A29,2)&lt;=5,C29="NO"),"SÍ","NO")</x:f>
        <x:v>SÍ</x:v>
      </x:c>
      <x:c r="E29" s="2" t="n">
        <x:f>WORKDAY.INTL(A29-1,1,1,FERIADOS!$A$2:$A$250)</x:f>
        <x:v>45685</x:v>
      </x:c>
      <x:c r="F29" t="str">
        <x:f>IF(E29&gt;=WORKDAY.INTL(EOMONTH(E29,0)+1,-2,1,FERIADOS!$A$2:$A$250),"SÍ","NO")</x:f>
        <x:v>NO</x:v>
      </x:c>
      <x:c r="G29" s="10" t="n">
        <x:f>IF(F29="SÍ",EOMONTH(E29,0)+1,DATE(YEAR(E29),MONTH(E29),1))</x:f>
        <x:v>45658</x:v>
      </x:c>
      <x:c r="H29" t="str">
        <x:f>IF(D29="NO",IF(C29="SÍ","FERIADO","FIN DE SEMANA"),"LABORABLE")&amp;IF(F29="SÍ"," + CIERRE","")</x:f>
        <x:v>LABORABLE</x:v>
      </x:c>
      <x:c r="I29" t="str">
        <x:f>TEXT(G29,"yyyy-mm")</x:f>
        <x:v>2025-01</x:v>
      </x:c>
    </x:row>
    <x:row r="30" ht="19" customHeight="1">
      <x:c r="A30" s="2" t="n">
        <x:v>45686</x:v>
      </x:c>
      <x:c r="B30" t="str">
        <x:f>CHOOSE(WEEKDAY(A30,2),"Lunes","Martes","Miércoles","Jueves","Viernes","Sábado","Domingo")</x:f>
        <x:v>Miércoles</x:v>
      </x:c>
      <x:c r="C30" t="str">
        <x:f>IF(COUNTIF(FERIADOS!$A$2:$A$250,A30)&gt;0,"SÍ","NO")</x:f>
        <x:v>NO</x:v>
      </x:c>
      <x:c r="D30" t="str">
        <x:f>IF(AND(WEEKDAY(A30,2)&lt;=5,C30="NO"),"SÍ","NO")</x:f>
        <x:v>SÍ</x:v>
      </x:c>
      <x:c r="E30" s="2" t="n">
        <x:f>WORKDAY.INTL(A30-1,1,1,FERIADOS!$A$2:$A$250)</x:f>
        <x:v>45686</x:v>
      </x:c>
      <x:c r="F30" t="str">
        <x:f>IF(E30&gt;=WORKDAY.INTL(EOMONTH(E30,0)+1,-2,1,FERIADOS!$A$2:$A$250),"SÍ","NO")</x:f>
        <x:v>NO</x:v>
      </x:c>
      <x:c r="G30" s="10" t="n">
        <x:f>IF(F30="SÍ",EOMONTH(E30,0)+1,DATE(YEAR(E30),MONTH(E30),1))</x:f>
        <x:v>45658</x:v>
      </x:c>
      <x:c r="H30" t="str">
        <x:f>IF(D30="NO",IF(C30="SÍ","FERIADO","FIN DE SEMANA"),"LABORABLE")&amp;IF(F30="SÍ"," + CIERRE","")</x:f>
        <x:v>LABORABLE</x:v>
      </x:c>
      <x:c r="I30" t="str">
        <x:f>TEXT(G30,"yyyy-mm")</x:f>
        <x:v>2025-01</x:v>
      </x:c>
    </x:row>
    <x:row r="31" ht="19" customHeight="1">
      <x:c r="A31" s="2" t="n">
        <x:v>45687</x:v>
      </x:c>
      <x:c r="B31" t="str">
        <x:f>CHOOSE(WEEKDAY(A31,2),"Lunes","Martes","Miércoles","Jueves","Viernes","Sábado","Domingo")</x:f>
        <x:v>Jueves</x:v>
      </x:c>
      <x:c r="C31" t="str">
        <x:f>IF(COUNTIF(FERIADOS!$A$2:$A$250,A31)&gt;0,"SÍ","NO")</x:f>
        <x:v>NO</x:v>
      </x:c>
      <x:c r="D31" t="str">
        <x:f>IF(AND(WEEKDAY(A31,2)&lt;=5,C31="NO"),"SÍ","NO")</x:f>
        <x:v>SÍ</x:v>
      </x:c>
      <x:c r="E31" s="2" t="n">
        <x:f>WORKDAY.INTL(A31-1,1,1,FERIADOS!$A$2:$A$250)</x:f>
        <x:v>45687</x:v>
      </x:c>
      <x:c r="F31" t="str">
        <x:f>IF(E31&gt;=WORKDAY.INTL(EOMONTH(E31,0)+1,-2,1,FERIADOS!$A$2:$A$250),"SÍ","NO")</x:f>
        <x:v>SÍ</x:v>
      </x:c>
      <x:c r="G31" s="10" t="n">
        <x:f>IF(F31="SÍ",EOMONTH(E31,0)+1,DATE(YEAR(E31),MONTH(E31),1))</x:f>
        <x:v>45689</x:v>
      </x:c>
      <x:c r="H31" t="str">
        <x:f>IF(D31="NO",IF(C31="SÍ","FERIADO","FIN DE SEMANA"),"LABORABLE")&amp;IF(F31="SÍ"," + CIERRE","")</x:f>
        <x:v>LABORABLE + CIERRE</x:v>
      </x:c>
      <x:c r="I31" t="str">
        <x:f>TEXT(G31,"yyyy-mm")</x:f>
        <x:v>2025-02</x:v>
      </x:c>
    </x:row>
    <x:row r="32" ht="19" customHeight="1">
      <x:c r="A32" s="2" t="n">
        <x:v>45688</x:v>
      </x:c>
      <x:c r="B32" t="str">
        <x:f>CHOOSE(WEEKDAY(A32,2),"Lunes","Martes","Miércoles","Jueves","Viernes","Sábado","Domingo")</x:f>
        <x:v>Viernes</x:v>
      </x:c>
      <x:c r="C32" t="str">
        <x:f>IF(COUNTIF(FERIADOS!$A$2:$A$250,A32)&gt;0,"SÍ","NO")</x:f>
        <x:v>NO</x:v>
      </x:c>
      <x:c r="D32" t="str">
        <x:f>IF(AND(WEEKDAY(A32,2)&lt;=5,C32="NO"),"SÍ","NO")</x:f>
        <x:v>SÍ</x:v>
      </x:c>
      <x:c r="E32" s="2" t="n">
        <x:f>WORKDAY.INTL(A32-1,1,1,FERIADOS!$A$2:$A$250)</x:f>
        <x:v>45688</x:v>
      </x:c>
      <x:c r="F32" t="str">
        <x:f>IF(E32&gt;=WORKDAY.INTL(EOMONTH(E32,0)+1,-2,1,FERIADOS!$A$2:$A$250),"SÍ","NO")</x:f>
        <x:v>SÍ</x:v>
      </x:c>
      <x:c r="G32" s="10" t="n">
        <x:f>IF(F32="SÍ",EOMONTH(E32,0)+1,DATE(YEAR(E32),MONTH(E32),1))</x:f>
        <x:v>45689</x:v>
      </x:c>
      <x:c r="H32" t="str">
        <x:f>IF(D32="NO",IF(C32="SÍ","FERIADO","FIN DE SEMANA"),"LABORABLE")&amp;IF(F32="SÍ"," + CIERRE","")</x:f>
        <x:v>LABORABLE + CIERRE</x:v>
      </x:c>
      <x:c r="I32" t="str">
        <x:f>TEXT(G32,"yyyy-mm")</x:f>
        <x:v>2025-02</x:v>
      </x:c>
    </x:row>
    <x:row r="33" ht="19" customHeight="1">
      <x:c r="A33" s="2" t="n">
        <x:v>45689</x:v>
      </x:c>
      <x:c r="B33" t="str">
        <x:f>CHOOSE(WEEKDAY(A33,2),"Lunes","Martes","Miércoles","Jueves","Viernes","Sábado","Domingo")</x:f>
        <x:v>Sábado</x:v>
      </x:c>
      <x:c r="C33" t="str">
        <x:f>IF(COUNTIF(FERIADOS!$A$2:$A$250,A33)&gt;0,"SÍ","NO")</x:f>
        <x:v>NO</x:v>
      </x:c>
      <x:c r="D33" t="str">
        <x:f>IF(AND(WEEKDAY(A33,2)&lt;=5,C33="NO"),"SÍ","NO")</x:f>
        <x:v>NO</x:v>
      </x:c>
      <x:c r="E33" s="2" t="n">
        <x:f>WORKDAY.INTL(A33-1,1,1,FERIADOS!$A$2:$A$250)</x:f>
        <x:v>45691</x:v>
      </x:c>
      <x:c r="F33" t="str">
        <x:f>IF(E33&gt;=WORKDAY.INTL(EOMONTH(E33,0)+1,-2,1,FERIADOS!$A$2:$A$250),"SÍ","NO")</x:f>
        <x:v>NO</x:v>
      </x:c>
      <x:c r="G33" s="10" t="n">
        <x:f>IF(F33="SÍ",EOMONTH(E33,0)+1,DATE(YEAR(E33),MONTH(E33),1))</x:f>
        <x:v>45689</x:v>
      </x:c>
      <x:c r="H33" t="str">
        <x:f>IF(D33="NO",IF(C33="SÍ","FERIADO","FIN DE SEMANA"),"LABORABLE")&amp;IF(F33="SÍ"," + CIERRE","")</x:f>
        <x:v>FIN DE SEMANA</x:v>
      </x:c>
      <x:c r="I33" t="str">
        <x:f>TEXT(G33,"yyyy-mm")</x:f>
        <x:v>2025-02</x:v>
      </x:c>
    </x:row>
    <x:row r="34" ht="19" customHeight="1">
      <x:c r="A34" s="2" t="n">
        <x:v>45690</x:v>
      </x:c>
      <x:c r="B34" t="str">
        <x:f>CHOOSE(WEEKDAY(A34,2),"Lunes","Martes","Miércoles","Jueves","Viernes","Sábado","Domingo")</x:f>
        <x:v>Domingo</x:v>
      </x:c>
      <x:c r="C34" t="str">
        <x:f>IF(COUNTIF(FERIADOS!$A$2:$A$250,A34)&gt;0,"SÍ","NO")</x:f>
        <x:v>NO</x:v>
      </x:c>
      <x:c r="D34" t="str">
        <x:f>IF(AND(WEEKDAY(A34,2)&lt;=5,C34="NO"),"SÍ","NO")</x:f>
        <x:v>NO</x:v>
      </x:c>
      <x:c r="E34" s="2" t="n">
        <x:f>WORKDAY.INTL(A34-1,1,1,FERIADOS!$A$2:$A$250)</x:f>
        <x:v>45691</x:v>
      </x:c>
      <x:c r="F34" t="str">
        <x:f>IF(E34&gt;=WORKDAY.INTL(EOMONTH(E34,0)+1,-2,1,FERIADOS!$A$2:$A$250),"SÍ","NO")</x:f>
        <x:v>NO</x:v>
      </x:c>
      <x:c r="G34" s="10" t="n">
        <x:f>IF(F34="SÍ",EOMONTH(E34,0)+1,DATE(YEAR(E34),MONTH(E34),1))</x:f>
        <x:v>45689</x:v>
      </x:c>
      <x:c r="H34" t="str">
        <x:f>IF(D34="NO",IF(C34="SÍ","FERIADO","FIN DE SEMANA"),"LABORABLE")&amp;IF(F34="SÍ"," + CIERRE","")</x:f>
        <x:v>FIN DE SEMANA</x:v>
      </x:c>
      <x:c r="I34" t="str">
        <x:f>TEXT(G34,"yyyy-mm")</x:f>
        <x:v>2025-02</x:v>
      </x:c>
    </x:row>
    <x:row r="35" ht="19" customHeight="1">
      <x:c r="A35" s="2" t="n">
        <x:v>45691</x:v>
      </x:c>
      <x:c r="B35" t="str">
        <x:f>CHOOSE(WEEKDAY(A35,2),"Lunes","Martes","Miércoles","Jueves","Viernes","Sábado","Domingo")</x:f>
        <x:v>Lunes</x:v>
      </x:c>
      <x:c r="C35" t="str">
        <x:f>IF(COUNTIF(FERIADOS!$A$2:$A$250,A35)&gt;0,"SÍ","NO")</x:f>
        <x:v>NO</x:v>
      </x:c>
      <x:c r="D35" t="str">
        <x:f>IF(AND(WEEKDAY(A35,2)&lt;=5,C35="NO"),"SÍ","NO")</x:f>
        <x:v>SÍ</x:v>
      </x:c>
      <x:c r="E35" s="2" t="n">
        <x:f>WORKDAY.INTL(A35-1,1,1,FERIADOS!$A$2:$A$250)</x:f>
        <x:v>45691</x:v>
      </x:c>
      <x:c r="F35" t="str">
        <x:f>IF(E35&gt;=WORKDAY.INTL(EOMONTH(E35,0)+1,-2,1,FERIADOS!$A$2:$A$250),"SÍ","NO")</x:f>
        <x:v>NO</x:v>
      </x:c>
      <x:c r="G35" s="10" t="n">
        <x:f>IF(F35="SÍ",EOMONTH(E35,0)+1,DATE(YEAR(E35),MONTH(E35),1))</x:f>
        <x:v>45689</x:v>
      </x:c>
      <x:c r="H35" t="str">
        <x:f>IF(D35="NO",IF(C35="SÍ","FERIADO","FIN DE SEMANA"),"LABORABLE")&amp;IF(F35="SÍ"," + CIERRE","")</x:f>
        <x:v>LABORABLE</x:v>
      </x:c>
      <x:c r="I35" t="str">
        <x:f>TEXT(G35,"yyyy-mm")</x:f>
        <x:v>2025-02</x:v>
      </x:c>
    </x:row>
    <x:row r="36" ht="19" customHeight="1">
      <x:c r="A36" s="2" t="n">
        <x:v>45692</x:v>
      </x:c>
      <x:c r="B36" t="str">
        <x:f>CHOOSE(WEEKDAY(A36,2),"Lunes","Martes","Miércoles","Jueves","Viernes","Sábado","Domingo")</x:f>
        <x:v>Martes</x:v>
      </x:c>
      <x:c r="C36" t="str">
        <x:f>IF(COUNTIF(FERIADOS!$A$2:$A$250,A36)&gt;0,"SÍ","NO")</x:f>
        <x:v>NO</x:v>
      </x:c>
      <x:c r="D36" t="str">
        <x:f>IF(AND(WEEKDAY(A36,2)&lt;=5,C36="NO"),"SÍ","NO")</x:f>
        <x:v>SÍ</x:v>
      </x:c>
      <x:c r="E36" s="2" t="n">
        <x:f>WORKDAY.INTL(A36-1,1,1,FERIADOS!$A$2:$A$250)</x:f>
        <x:v>45692</x:v>
      </x:c>
      <x:c r="F36" t="str">
        <x:f>IF(E36&gt;=WORKDAY.INTL(EOMONTH(E36,0)+1,-2,1,FERIADOS!$A$2:$A$250),"SÍ","NO")</x:f>
        <x:v>NO</x:v>
      </x:c>
      <x:c r="G36" s="10" t="n">
        <x:f>IF(F36="SÍ",EOMONTH(E36,0)+1,DATE(YEAR(E36),MONTH(E36),1))</x:f>
        <x:v>45689</x:v>
      </x:c>
      <x:c r="H36" t="str">
        <x:f>IF(D36="NO",IF(C36="SÍ","FERIADO","FIN DE SEMANA"),"LABORABLE")&amp;IF(F36="SÍ"," + CIERRE","")</x:f>
        <x:v>LABORABLE</x:v>
      </x:c>
      <x:c r="I36" t="str">
        <x:f>TEXT(G36,"yyyy-mm")</x:f>
        <x:v>2025-02</x:v>
      </x:c>
    </x:row>
    <x:row r="37" ht="19" customHeight="1">
      <x:c r="A37" s="2" t="n">
        <x:v>45693</x:v>
      </x:c>
      <x:c r="B37" t="str">
        <x:f>CHOOSE(WEEKDAY(A37,2),"Lunes","Martes","Miércoles","Jueves","Viernes","Sábado","Domingo")</x:f>
        <x:v>Miércoles</x:v>
      </x:c>
      <x:c r="C37" t="str">
        <x:f>IF(COUNTIF(FERIADOS!$A$2:$A$250,A37)&gt;0,"SÍ","NO")</x:f>
        <x:v>NO</x:v>
      </x:c>
      <x:c r="D37" t="str">
        <x:f>IF(AND(WEEKDAY(A37,2)&lt;=5,C37="NO"),"SÍ","NO")</x:f>
        <x:v>SÍ</x:v>
      </x:c>
      <x:c r="E37" s="2" t="n">
        <x:f>WORKDAY.INTL(A37-1,1,1,FERIADOS!$A$2:$A$250)</x:f>
        <x:v>45693</x:v>
      </x:c>
      <x:c r="F37" t="str">
        <x:f>IF(E37&gt;=WORKDAY.INTL(EOMONTH(E37,0)+1,-2,1,FERIADOS!$A$2:$A$250),"SÍ","NO")</x:f>
        <x:v>NO</x:v>
      </x:c>
      <x:c r="G37" s="10" t="n">
        <x:f>IF(F37="SÍ",EOMONTH(E37,0)+1,DATE(YEAR(E37),MONTH(E37),1))</x:f>
        <x:v>45689</x:v>
      </x:c>
      <x:c r="H37" t="str">
        <x:f>IF(D37="NO",IF(C37="SÍ","FERIADO","FIN DE SEMANA"),"LABORABLE")&amp;IF(F37="SÍ"," + CIERRE","")</x:f>
        <x:v>LABORABLE</x:v>
      </x:c>
      <x:c r="I37" t="str">
        <x:f>TEXT(G37,"yyyy-mm")</x:f>
        <x:v>2025-02</x:v>
      </x:c>
    </x:row>
    <x:row r="38" ht="19" customHeight="1">
      <x:c r="A38" s="2" t="n">
        <x:v>45694</x:v>
      </x:c>
      <x:c r="B38" t="str">
        <x:f>CHOOSE(WEEKDAY(A38,2),"Lunes","Martes","Miércoles","Jueves","Viernes","Sábado","Domingo")</x:f>
        <x:v>Jueves</x:v>
      </x:c>
      <x:c r="C38" t="str">
        <x:f>IF(COUNTIF(FERIADOS!$A$2:$A$250,A38)&gt;0,"SÍ","NO")</x:f>
        <x:v>NO</x:v>
      </x:c>
      <x:c r="D38" t="str">
        <x:f>IF(AND(WEEKDAY(A38,2)&lt;=5,C38="NO"),"SÍ","NO")</x:f>
        <x:v>SÍ</x:v>
      </x:c>
      <x:c r="E38" s="2" t="n">
        <x:f>WORKDAY.INTL(A38-1,1,1,FERIADOS!$A$2:$A$250)</x:f>
        <x:v>45694</x:v>
      </x:c>
      <x:c r="F38" t="str">
        <x:f>IF(E38&gt;=WORKDAY.INTL(EOMONTH(E38,0)+1,-2,1,FERIADOS!$A$2:$A$250),"SÍ","NO")</x:f>
        <x:v>NO</x:v>
      </x:c>
      <x:c r="G38" s="10" t="n">
        <x:f>IF(F38="SÍ",EOMONTH(E38,0)+1,DATE(YEAR(E38),MONTH(E38),1))</x:f>
        <x:v>45689</x:v>
      </x:c>
      <x:c r="H38" t="str">
        <x:f>IF(D38="NO",IF(C38="SÍ","FERIADO","FIN DE SEMANA"),"LABORABLE")&amp;IF(F38="SÍ"," + CIERRE","")</x:f>
        <x:v>LABORABLE</x:v>
      </x:c>
      <x:c r="I38" t="str">
        <x:f>TEXT(G38,"yyyy-mm")</x:f>
        <x:v>2025-02</x:v>
      </x:c>
    </x:row>
    <x:row r="39" ht="19" customHeight="1">
      <x:c r="A39" s="2" t="n">
        <x:v>45695</x:v>
      </x:c>
      <x:c r="B39" t="str">
        <x:f>CHOOSE(WEEKDAY(A39,2),"Lunes","Martes","Miércoles","Jueves","Viernes","Sábado","Domingo")</x:f>
        <x:v>Viernes</x:v>
      </x:c>
      <x:c r="C39" t="str">
        <x:f>IF(COUNTIF(FERIADOS!$A$2:$A$250,A39)&gt;0,"SÍ","NO")</x:f>
        <x:v>NO</x:v>
      </x:c>
      <x:c r="D39" t="str">
        <x:f>IF(AND(WEEKDAY(A39,2)&lt;=5,C39="NO"),"SÍ","NO")</x:f>
        <x:v>SÍ</x:v>
      </x:c>
      <x:c r="E39" s="2" t="n">
        <x:f>WORKDAY.INTL(A39-1,1,1,FERIADOS!$A$2:$A$250)</x:f>
        <x:v>45695</x:v>
      </x:c>
      <x:c r="F39" t="str">
        <x:f>IF(E39&gt;=WORKDAY.INTL(EOMONTH(E39,0)+1,-2,1,FERIADOS!$A$2:$A$250),"SÍ","NO")</x:f>
        <x:v>NO</x:v>
      </x:c>
      <x:c r="G39" s="10" t="n">
        <x:f>IF(F39="SÍ",EOMONTH(E39,0)+1,DATE(YEAR(E39),MONTH(E39),1))</x:f>
        <x:v>45689</x:v>
      </x:c>
      <x:c r="H39" t="str">
        <x:f>IF(D39="NO",IF(C39="SÍ","FERIADO","FIN DE SEMANA"),"LABORABLE")&amp;IF(F39="SÍ"," + CIERRE","")</x:f>
        <x:v>LABORABLE</x:v>
      </x:c>
      <x:c r="I39" t="str">
        <x:f>TEXT(G39,"yyyy-mm")</x:f>
        <x:v>2025-02</x:v>
      </x:c>
    </x:row>
    <x:row r="40" ht="19" customHeight="1">
      <x:c r="A40" s="2" t="n">
        <x:v>45696</x:v>
      </x:c>
      <x:c r="B40" t="str">
        <x:f>CHOOSE(WEEKDAY(A40,2),"Lunes","Martes","Miércoles","Jueves","Viernes","Sábado","Domingo")</x:f>
        <x:v>Sábado</x:v>
      </x:c>
      <x:c r="C40" t="str">
        <x:f>IF(COUNTIF(FERIADOS!$A$2:$A$250,A40)&gt;0,"SÍ","NO")</x:f>
        <x:v>NO</x:v>
      </x:c>
      <x:c r="D40" t="str">
        <x:f>IF(AND(WEEKDAY(A40,2)&lt;=5,C40="NO"),"SÍ","NO")</x:f>
        <x:v>NO</x:v>
      </x:c>
      <x:c r="E40" s="2" t="n">
        <x:f>WORKDAY.INTL(A40-1,1,1,FERIADOS!$A$2:$A$250)</x:f>
        <x:v>45698</x:v>
      </x:c>
      <x:c r="F40" t="str">
        <x:f>IF(E40&gt;=WORKDAY.INTL(EOMONTH(E40,0)+1,-2,1,FERIADOS!$A$2:$A$250),"SÍ","NO")</x:f>
        <x:v>NO</x:v>
      </x:c>
      <x:c r="G40" s="10" t="n">
        <x:f>IF(F40="SÍ",EOMONTH(E40,0)+1,DATE(YEAR(E40),MONTH(E40),1))</x:f>
        <x:v>45689</x:v>
      </x:c>
      <x:c r="H40" t="str">
        <x:f>IF(D40="NO",IF(C40="SÍ","FERIADO","FIN DE SEMANA"),"LABORABLE")&amp;IF(F40="SÍ"," + CIERRE","")</x:f>
        <x:v>FIN DE SEMANA</x:v>
      </x:c>
      <x:c r="I40" t="str">
        <x:f>TEXT(G40,"yyyy-mm")</x:f>
        <x:v>2025-02</x:v>
      </x:c>
    </x:row>
    <x:row r="41" ht="19" customHeight="1">
      <x:c r="A41" s="2" t="n">
        <x:v>45697</x:v>
      </x:c>
      <x:c r="B41" t="str">
        <x:f>CHOOSE(WEEKDAY(A41,2),"Lunes","Martes","Miércoles","Jueves","Viernes","Sábado","Domingo")</x:f>
        <x:v>Domingo</x:v>
      </x:c>
      <x:c r="C41" t="str">
        <x:f>IF(COUNTIF(FERIADOS!$A$2:$A$250,A41)&gt;0,"SÍ","NO")</x:f>
        <x:v>NO</x:v>
      </x:c>
      <x:c r="D41" t="str">
        <x:f>IF(AND(WEEKDAY(A41,2)&lt;=5,C41="NO"),"SÍ","NO")</x:f>
        <x:v>NO</x:v>
      </x:c>
      <x:c r="E41" s="2" t="n">
        <x:f>WORKDAY.INTL(A41-1,1,1,FERIADOS!$A$2:$A$250)</x:f>
        <x:v>45698</x:v>
      </x:c>
      <x:c r="F41" t="str">
        <x:f>IF(E41&gt;=WORKDAY.INTL(EOMONTH(E41,0)+1,-2,1,FERIADOS!$A$2:$A$250),"SÍ","NO")</x:f>
        <x:v>NO</x:v>
      </x:c>
      <x:c r="G41" s="10" t="n">
        <x:f>IF(F41="SÍ",EOMONTH(E41,0)+1,DATE(YEAR(E41),MONTH(E41),1))</x:f>
        <x:v>45689</x:v>
      </x:c>
      <x:c r="H41" t="str">
        <x:f>IF(D41="NO",IF(C41="SÍ","FERIADO","FIN DE SEMANA"),"LABORABLE")&amp;IF(F41="SÍ"," + CIERRE","")</x:f>
        <x:v>FIN DE SEMANA</x:v>
      </x:c>
      <x:c r="I41" t="str">
        <x:f>TEXT(G41,"yyyy-mm")</x:f>
        <x:v>2025-02</x:v>
      </x:c>
    </x:row>
    <x:row r="42" ht="19" customHeight="1">
      <x:c r="A42" s="2" t="n">
        <x:v>45698</x:v>
      </x:c>
      <x:c r="B42" t="str">
        <x:f>CHOOSE(WEEKDAY(A42,2),"Lunes","Martes","Miércoles","Jueves","Viernes","Sábado","Domingo")</x:f>
        <x:v>Lunes</x:v>
      </x:c>
      <x:c r="C42" t="str">
        <x:f>IF(COUNTIF(FERIADOS!$A$2:$A$250,A42)&gt;0,"SÍ","NO")</x:f>
        <x:v>NO</x:v>
      </x:c>
      <x:c r="D42" t="str">
        <x:f>IF(AND(WEEKDAY(A42,2)&lt;=5,C42="NO"),"SÍ","NO")</x:f>
        <x:v>SÍ</x:v>
      </x:c>
      <x:c r="E42" s="2" t="n">
        <x:f>WORKDAY.INTL(A42-1,1,1,FERIADOS!$A$2:$A$250)</x:f>
        <x:v>45698</x:v>
      </x:c>
      <x:c r="F42" t="str">
        <x:f>IF(E42&gt;=WORKDAY.INTL(EOMONTH(E42,0)+1,-2,1,FERIADOS!$A$2:$A$250),"SÍ","NO")</x:f>
        <x:v>NO</x:v>
      </x:c>
      <x:c r="G42" s="10" t="n">
        <x:f>IF(F42="SÍ",EOMONTH(E42,0)+1,DATE(YEAR(E42),MONTH(E42),1))</x:f>
        <x:v>45689</x:v>
      </x:c>
      <x:c r="H42" t="str">
        <x:f>IF(D42="NO",IF(C42="SÍ","FERIADO","FIN DE SEMANA"),"LABORABLE")&amp;IF(F42="SÍ"," + CIERRE","")</x:f>
        <x:v>LABORABLE</x:v>
      </x:c>
      <x:c r="I42" t="str">
        <x:f>TEXT(G42,"yyyy-mm")</x:f>
        <x:v>2025-02</x:v>
      </x:c>
    </x:row>
    <x:row r="43" ht="19" customHeight="1">
      <x:c r="A43" s="2" t="n">
        <x:v>45699</x:v>
      </x:c>
      <x:c r="B43" t="str">
        <x:f>CHOOSE(WEEKDAY(A43,2),"Lunes","Martes","Miércoles","Jueves","Viernes","Sábado","Domingo")</x:f>
        <x:v>Martes</x:v>
      </x:c>
      <x:c r="C43" t="str">
        <x:f>IF(COUNTIF(FERIADOS!$A$2:$A$250,A43)&gt;0,"SÍ","NO")</x:f>
        <x:v>NO</x:v>
      </x:c>
      <x:c r="D43" t="str">
        <x:f>IF(AND(WEEKDAY(A43,2)&lt;=5,C43="NO"),"SÍ","NO")</x:f>
        <x:v>SÍ</x:v>
      </x:c>
      <x:c r="E43" s="2" t="n">
        <x:f>WORKDAY.INTL(A43-1,1,1,FERIADOS!$A$2:$A$250)</x:f>
        <x:v>45699</x:v>
      </x:c>
      <x:c r="F43" t="str">
        <x:f>IF(E43&gt;=WORKDAY.INTL(EOMONTH(E43,0)+1,-2,1,FERIADOS!$A$2:$A$250),"SÍ","NO")</x:f>
        <x:v>NO</x:v>
      </x:c>
      <x:c r="G43" s="10" t="n">
        <x:f>IF(F43="SÍ",EOMONTH(E43,0)+1,DATE(YEAR(E43),MONTH(E43),1))</x:f>
        <x:v>45689</x:v>
      </x:c>
      <x:c r="H43" t="str">
        <x:f>IF(D43="NO",IF(C43="SÍ","FERIADO","FIN DE SEMANA"),"LABORABLE")&amp;IF(F43="SÍ"," + CIERRE","")</x:f>
        <x:v>LABORABLE</x:v>
      </x:c>
      <x:c r="I43" t="str">
        <x:f>TEXT(G43,"yyyy-mm")</x:f>
        <x:v>2025-02</x:v>
      </x:c>
    </x:row>
    <x:row r="44" ht="19" customHeight="1">
      <x:c r="A44" s="2" t="n">
        <x:v>45700</x:v>
      </x:c>
      <x:c r="B44" t="str">
        <x:f>CHOOSE(WEEKDAY(A44,2),"Lunes","Martes","Miércoles","Jueves","Viernes","Sábado","Domingo")</x:f>
        <x:v>Miércoles</x:v>
      </x:c>
      <x:c r="C44" t="str">
        <x:f>IF(COUNTIF(FERIADOS!$A$2:$A$250,A44)&gt;0,"SÍ","NO")</x:f>
        <x:v>NO</x:v>
      </x:c>
      <x:c r="D44" t="str">
        <x:f>IF(AND(WEEKDAY(A44,2)&lt;=5,C44="NO"),"SÍ","NO")</x:f>
        <x:v>SÍ</x:v>
      </x:c>
      <x:c r="E44" s="2" t="n">
        <x:f>WORKDAY.INTL(A44-1,1,1,FERIADOS!$A$2:$A$250)</x:f>
        <x:v>45700</x:v>
      </x:c>
      <x:c r="F44" t="str">
        <x:f>IF(E44&gt;=WORKDAY.INTL(EOMONTH(E44,0)+1,-2,1,FERIADOS!$A$2:$A$250),"SÍ","NO")</x:f>
        <x:v>NO</x:v>
      </x:c>
      <x:c r="G44" s="10" t="n">
        <x:f>IF(F44="SÍ",EOMONTH(E44,0)+1,DATE(YEAR(E44),MONTH(E44),1))</x:f>
        <x:v>45689</x:v>
      </x:c>
      <x:c r="H44" t="str">
        <x:f>IF(D44="NO",IF(C44="SÍ","FERIADO","FIN DE SEMANA"),"LABORABLE")&amp;IF(F44="SÍ"," + CIERRE","")</x:f>
        <x:v>LABORABLE</x:v>
      </x:c>
      <x:c r="I44" t="str">
        <x:f>TEXT(G44,"yyyy-mm")</x:f>
        <x:v>2025-02</x:v>
      </x:c>
    </x:row>
    <x:row r="45" ht="19" customHeight="1">
      <x:c r="A45" s="2" t="n">
        <x:v>45701</x:v>
      </x:c>
      <x:c r="B45" t="str">
        <x:f>CHOOSE(WEEKDAY(A45,2),"Lunes","Martes","Miércoles","Jueves","Viernes","Sábado","Domingo")</x:f>
        <x:v>Jueves</x:v>
      </x:c>
      <x:c r="C45" t="str">
        <x:f>IF(COUNTIF(FERIADOS!$A$2:$A$250,A45)&gt;0,"SÍ","NO")</x:f>
        <x:v>NO</x:v>
      </x:c>
      <x:c r="D45" t="str">
        <x:f>IF(AND(WEEKDAY(A45,2)&lt;=5,C45="NO"),"SÍ","NO")</x:f>
        <x:v>SÍ</x:v>
      </x:c>
      <x:c r="E45" s="2" t="n">
        <x:f>WORKDAY.INTL(A45-1,1,1,FERIADOS!$A$2:$A$250)</x:f>
        <x:v>45701</x:v>
      </x:c>
      <x:c r="F45" t="str">
        <x:f>IF(E45&gt;=WORKDAY.INTL(EOMONTH(E45,0)+1,-2,1,FERIADOS!$A$2:$A$250),"SÍ","NO")</x:f>
        <x:v>NO</x:v>
      </x:c>
      <x:c r="G45" s="10" t="n">
        <x:f>IF(F45="SÍ",EOMONTH(E45,0)+1,DATE(YEAR(E45),MONTH(E45),1))</x:f>
        <x:v>45689</x:v>
      </x:c>
      <x:c r="H45" t="str">
        <x:f>IF(D45="NO",IF(C45="SÍ","FERIADO","FIN DE SEMANA"),"LABORABLE")&amp;IF(F45="SÍ"," + CIERRE","")</x:f>
        <x:v>LABORABLE</x:v>
      </x:c>
      <x:c r="I45" t="str">
        <x:f>TEXT(G45,"yyyy-mm")</x:f>
        <x:v>2025-02</x:v>
      </x:c>
    </x:row>
    <x:row r="46" ht="19" customHeight="1">
      <x:c r="A46" s="2" t="n">
        <x:v>45702</x:v>
      </x:c>
      <x:c r="B46" t="str">
        <x:f>CHOOSE(WEEKDAY(A46,2),"Lunes","Martes","Miércoles","Jueves","Viernes","Sábado","Domingo")</x:f>
        <x:v>Viernes</x:v>
      </x:c>
      <x:c r="C46" t="str">
        <x:f>IF(COUNTIF(FERIADOS!$A$2:$A$250,A46)&gt;0,"SÍ","NO")</x:f>
        <x:v>NO</x:v>
      </x:c>
      <x:c r="D46" t="str">
        <x:f>IF(AND(WEEKDAY(A46,2)&lt;=5,C46="NO"),"SÍ","NO")</x:f>
        <x:v>SÍ</x:v>
      </x:c>
      <x:c r="E46" s="2" t="n">
        <x:f>WORKDAY.INTL(A46-1,1,1,FERIADOS!$A$2:$A$250)</x:f>
        <x:v>45702</x:v>
      </x:c>
      <x:c r="F46" t="str">
        <x:f>IF(E46&gt;=WORKDAY.INTL(EOMONTH(E46,0)+1,-2,1,FERIADOS!$A$2:$A$250),"SÍ","NO")</x:f>
        <x:v>NO</x:v>
      </x:c>
      <x:c r="G46" s="10" t="n">
        <x:f>IF(F46="SÍ",EOMONTH(E46,0)+1,DATE(YEAR(E46),MONTH(E46),1))</x:f>
        <x:v>45689</x:v>
      </x:c>
      <x:c r="H46" t="str">
        <x:f>IF(D46="NO",IF(C46="SÍ","FERIADO","FIN DE SEMANA"),"LABORABLE")&amp;IF(F46="SÍ"," + CIERRE","")</x:f>
        <x:v>LABORABLE</x:v>
      </x:c>
      <x:c r="I46" t="str">
        <x:f>TEXT(G46,"yyyy-mm")</x:f>
        <x:v>2025-02</x:v>
      </x:c>
    </x:row>
    <x:row r="47" ht="19" customHeight="1">
      <x:c r="A47" s="2" t="n">
        <x:v>45703</x:v>
      </x:c>
      <x:c r="B47" t="str">
        <x:f>CHOOSE(WEEKDAY(A47,2),"Lunes","Martes","Miércoles","Jueves","Viernes","Sábado","Domingo")</x:f>
        <x:v>Sábado</x:v>
      </x:c>
      <x:c r="C47" t="str">
        <x:f>IF(COUNTIF(FERIADOS!$A$2:$A$250,A47)&gt;0,"SÍ","NO")</x:f>
        <x:v>NO</x:v>
      </x:c>
      <x:c r="D47" t="str">
        <x:f>IF(AND(WEEKDAY(A47,2)&lt;=5,C47="NO"),"SÍ","NO")</x:f>
        <x:v>NO</x:v>
      </x:c>
      <x:c r="E47" s="2" t="n">
        <x:f>WORKDAY.INTL(A47-1,1,1,FERIADOS!$A$2:$A$250)</x:f>
        <x:v>45705</x:v>
      </x:c>
      <x:c r="F47" t="str">
        <x:f>IF(E47&gt;=WORKDAY.INTL(EOMONTH(E47,0)+1,-2,1,FERIADOS!$A$2:$A$250),"SÍ","NO")</x:f>
        <x:v>NO</x:v>
      </x:c>
      <x:c r="G47" s="10" t="n">
        <x:f>IF(F47="SÍ",EOMONTH(E47,0)+1,DATE(YEAR(E47),MONTH(E47),1))</x:f>
        <x:v>45689</x:v>
      </x:c>
      <x:c r="H47" t="str">
        <x:f>IF(D47="NO",IF(C47="SÍ","FERIADO","FIN DE SEMANA"),"LABORABLE")&amp;IF(F47="SÍ"," + CIERRE","")</x:f>
        <x:v>FIN DE SEMANA</x:v>
      </x:c>
      <x:c r="I47" t="str">
        <x:f>TEXT(G47,"yyyy-mm")</x:f>
        <x:v>2025-02</x:v>
      </x:c>
    </x:row>
    <x:row r="48" ht="19" customHeight="1">
      <x:c r="A48" s="2" t="n">
        <x:v>45704</x:v>
      </x:c>
      <x:c r="B48" t="str">
        <x:f>CHOOSE(WEEKDAY(A48,2),"Lunes","Martes","Miércoles","Jueves","Viernes","Sábado","Domingo")</x:f>
        <x:v>Domingo</x:v>
      </x:c>
      <x:c r="C48" t="str">
        <x:f>IF(COUNTIF(FERIADOS!$A$2:$A$250,A48)&gt;0,"SÍ","NO")</x:f>
        <x:v>NO</x:v>
      </x:c>
      <x:c r="D48" t="str">
        <x:f>IF(AND(WEEKDAY(A48,2)&lt;=5,C48="NO"),"SÍ","NO")</x:f>
        <x:v>NO</x:v>
      </x:c>
      <x:c r="E48" s="2" t="n">
        <x:f>WORKDAY.INTL(A48-1,1,1,FERIADOS!$A$2:$A$250)</x:f>
        <x:v>45705</x:v>
      </x:c>
      <x:c r="F48" t="str">
        <x:f>IF(E48&gt;=WORKDAY.INTL(EOMONTH(E48,0)+1,-2,1,FERIADOS!$A$2:$A$250),"SÍ","NO")</x:f>
        <x:v>NO</x:v>
      </x:c>
      <x:c r="G48" s="10" t="n">
        <x:f>IF(F48="SÍ",EOMONTH(E48,0)+1,DATE(YEAR(E48),MONTH(E48),1))</x:f>
        <x:v>45689</x:v>
      </x:c>
      <x:c r="H48" t="str">
        <x:f>IF(D48="NO",IF(C48="SÍ","FERIADO","FIN DE SEMANA"),"LABORABLE")&amp;IF(F48="SÍ"," + CIERRE","")</x:f>
        <x:v>FIN DE SEMANA</x:v>
      </x:c>
      <x:c r="I48" t="str">
        <x:f>TEXT(G48,"yyyy-mm")</x:f>
        <x:v>2025-02</x:v>
      </x:c>
    </x:row>
    <x:row r="49" ht="19" customHeight="1">
      <x:c r="A49" s="2" t="n">
        <x:v>45705</x:v>
      </x:c>
      <x:c r="B49" t="str">
        <x:f>CHOOSE(WEEKDAY(A49,2),"Lunes","Martes","Miércoles","Jueves","Viernes","Sábado","Domingo")</x:f>
        <x:v>Lunes</x:v>
      </x:c>
      <x:c r="C49" t="str">
        <x:f>IF(COUNTIF(FERIADOS!$A$2:$A$250,A49)&gt;0,"SÍ","NO")</x:f>
        <x:v>NO</x:v>
      </x:c>
      <x:c r="D49" t="str">
        <x:f>IF(AND(WEEKDAY(A49,2)&lt;=5,C49="NO"),"SÍ","NO")</x:f>
        <x:v>SÍ</x:v>
      </x:c>
      <x:c r="E49" s="2" t="n">
        <x:f>WORKDAY.INTL(A49-1,1,1,FERIADOS!$A$2:$A$250)</x:f>
        <x:v>45705</x:v>
      </x:c>
      <x:c r="F49" t="str">
        <x:f>IF(E49&gt;=WORKDAY.INTL(EOMONTH(E49,0)+1,-2,1,FERIADOS!$A$2:$A$250),"SÍ","NO")</x:f>
        <x:v>NO</x:v>
      </x:c>
      <x:c r="G49" s="10" t="n">
        <x:f>IF(F49="SÍ",EOMONTH(E49,0)+1,DATE(YEAR(E49),MONTH(E49),1))</x:f>
        <x:v>45689</x:v>
      </x:c>
      <x:c r="H49" t="str">
        <x:f>IF(D49="NO",IF(C49="SÍ","FERIADO","FIN DE SEMANA"),"LABORABLE")&amp;IF(F49="SÍ"," + CIERRE","")</x:f>
        <x:v>LABORABLE</x:v>
      </x:c>
      <x:c r="I49" t="str">
        <x:f>TEXT(G49,"yyyy-mm")</x:f>
        <x:v>2025-02</x:v>
      </x:c>
    </x:row>
    <x:row r="50" ht="19" customHeight="1">
      <x:c r="A50" s="2" t="n">
        <x:v>45706</x:v>
      </x:c>
      <x:c r="B50" t="str">
        <x:f>CHOOSE(WEEKDAY(A50,2),"Lunes","Martes","Miércoles","Jueves","Viernes","Sábado","Domingo")</x:f>
        <x:v>Martes</x:v>
      </x:c>
      <x:c r="C50" t="str">
        <x:f>IF(COUNTIF(FERIADOS!$A$2:$A$250,A50)&gt;0,"SÍ","NO")</x:f>
        <x:v>NO</x:v>
      </x:c>
      <x:c r="D50" t="str">
        <x:f>IF(AND(WEEKDAY(A50,2)&lt;=5,C50="NO"),"SÍ","NO")</x:f>
        <x:v>SÍ</x:v>
      </x:c>
      <x:c r="E50" s="2" t="n">
        <x:f>WORKDAY.INTL(A50-1,1,1,FERIADOS!$A$2:$A$250)</x:f>
        <x:v>45706</x:v>
      </x:c>
      <x:c r="F50" t="str">
        <x:f>IF(E50&gt;=WORKDAY.INTL(EOMONTH(E50,0)+1,-2,1,FERIADOS!$A$2:$A$250),"SÍ","NO")</x:f>
        <x:v>NO</x:v>
      </x:c>
      <x:c r="G50" s="10" t="n">
        <x:f>IF(F50="SÍ",EOMONTH(E50,0)+1,DATE(YEAR(E50),MONTH(E50),1))</x:f>
        <x:v>45689</x:v>
      </x:c>
      <x:c r="H50" t="str">
        <x:f>IF(D50="NO",IF(C50="SÍ","FERIADO","FIN DE SEMANA"),"LABORABLE")&amp;IF(F50="SÍ"," + CIERRE","")</x:f>
        <x:v>LABORABLE</x:v>
      </x:c>
      <x:c r="I50" t="str">
        <x:f>TEXT(G50,"yyyy-mm")</x:f>
        <x:v>2025-02</x:v>
      </x:c>
    </x:row>
    <x:row r="51" ht="19" customHeight="1">
      <x:c r="A51" s="2" t="n">
        <x:v>45707</x:v>
      </x:c>
      <x:c r="B51" t="str">
        <x:f>CHOOSE(WEEKDAY(A51,2),"Lunes","Martes","Miércoles","Jueves","Viernes","Sábado","Domingo")</x:f>
        <x:v>Miércoles</x:v>
      </x:c>
      <x:c r="C51" t="str">
        <x:f>IF(COUNTIF(FERIADOS!$A$2:$A$250,A51)&gt;0,"SÍ","NO")</x:f>
        <x:v>NO</x:v>
      </x:c>
      <x:c r="D51" t="str">
        <x:f>IF(AND(WEEKDAY(A51,2)&lt;=5,C51="NO"),"SÍ","NO")</x:f>
        <x:v>SÍ</x:v>
      </x:c>
      <x:c r="E51" s="2" t="n">
        <x:f>WORKDAY.INTL(A51-1,1,1,FERIADOS!$A$2:$A$250)</x:f>
        <x:v>45707</x:v>
      </x:c>
      <x:c r="F51" t="str">
        <x:f>IF(E51&gt;=WORKDAY.INTL(EOMONTH(E51,0)+1,-2,1,FERIADOS!$A$2:$A$250),"SÍ","NO")</x:f>
        <x:v>NO</x:v>
      </x:c>
      <x:c r="G51" s="10" t="n">
        <x:f>IF(F51="SÍ",EOMONTH(E51,0)+1,DATE(YEAR(E51),MONTH(E51),1))</x:f>
        <x:v>45689</x:v>
      </x:c>
      <x:c r="H51" t="str">
        <x:f>IF(D51="NO",IF(C51="SÍ","FERIADO","FIN DE SEMANA"),"LABORABLE")&amp;IF(F51="SÍ"," + CIERRE","")</x:f>
        <x:v>LABORABLE</x:v>
      </x:c>
      <x:c r="I51" t="str">
        <x:f>TEXT(G51,"yyyy-mm")</x:f>
        <x:v>2025-02</x:v>
      </x:c>
    </x:row>
    <x:row r="52" ht="19" customHeight="1">
      <x:c r="A52" s="2" t="n">
        <x:v>45708</x:v>
      </x:c>
      <x:c r="B52" t="str">
        <x:f>CHOOSE(WEEKDAY(A52,2),"Lunes","Martes","Miércoles","Jueves","Viernes","Sábado","Domingo")</x:f>
        <x:v>Jueves</x:v>
      </x:c>
      <x:c r="C52" t="str">
        <x:f>IF(COUNTIF(FERIADOS!$A$2:$A$250,A52)&gt;0,"SÍ","NO")</x:f>
        <x:v>NO</x:v>
      </x:c>
      <x:c r="D52" t="str">
        <x:f>IF(AND(WEEKDAY(A52,2)&lt;=5,C52="NO"),"SÍ","NO")</x:f>
        <x:v>SÍ</x:v>
      </x:c>
      <x:c r="E52" s="2" t="n">
        <x:f>WORKDAY.INTL(A52-1,1,1,FERIADOS!$A$2:$A$250)</x:f>
        <x:v>45708</x:v>
      </x:c>
      <x:c r="F52" t="str">
        <x:f>IF(E52&gt;=WORKDAY.INTL(EOMONTH(E52,0)+1,-2,1,FERIADOS!$A$2:$A$250),"SÍ","NO")</x:f>
        <x:v>NO</x:v>
      </x:c>
      <x:c r="G52" s="10" t="n">
        <x:f>IF(F52="SÍ",EOMONTH(E52,0)+1,DATE(YEAR(E52),MONTH(E52),1))</x:f>
        <x:v>45689</x:v>
      </x:c>
      <x:c r="H52" t="str">
        <x:f>IF(D52="NO",IF(C52="SÍ","FERIADO","FIN DE SEMANA"),"LABORABLE")&amp;IF(F52="SÍ"," + CIERRE","")</x:f>
        <x:v>LABORABLE</x:v>
      </x:c>
      <x:c r="I52" t="str">
        <x:f>TEXT(G52,"yyyy-mm")</x:f>
        <x:v>2025-02</x:v>
      </x:c>
    </x:row>
    <x:row r="53" ht="19" customHeight="1">
      <x:c r="A53" s="2" t="n">
        <x:v>45709</x:v>
      </x:c>
      <x:c r="B53" t="str">
        <x:f>CHOOSE(WEEKDAY(A53,2),"Lunes","Martes","Miércoles","Jueves","Viernes","Sábado","Domingo")</x:f>
        <x:v>Viernes</x:v>
      </x:c>
      <x:c r="C53" t="str">
        <x:f>IF(COUNTIF(FERIADOS!$A$2:$A$250,A53)&gt;0,"SÍ","NO")</x:f>
        <x:v>NO</x:v>
      </x:c>
      <x:c r="D53" t="str">
        <x:f>IF(AND(WEEKDAY(A53,2)&lt;=5,C53="NO"),"SÍ","NO")</x:f>
        <x:v>SÍ</x:v>
      </x:c>
      <x:c r="E53" s="2" t="n">
        <x:f>WORKDAY.INTL(A53-1,1,1,FERIADOS!$A$2:$A$250)</x:f>
        <x:v>45709</x:v>
      </x:c>
      <x:c r="F53" t="str">
        <x:f>IF(E53&gt;=WORKDAY.INTL(EOMONTH(E53,0)+1,-2,1,FERIADOS!$A$2:$A$250),"SÍ","NO")</x:f>
        <x:v>NO</x:v>
      </x:c>
      <x:c r="G53" s="10" t="n">
        <x:f>IF(F53="SÍ",EOMONTH(E53,0)+1,DATE(YEAR(E53),MONTH(E53),1))</x:f>
        <x:v>45689</x:v>
      </x:c>
      <x:c r="H53" t="str">
        <x:f>IF(D53="NO",IF(C53="SÍ","FERIADO","FIN DE SEMANA"),"LABORABLE")&amp;IF(F53="SÍ"," + CIERRE","")</x:f>
        <x:v>LABORABLE</x:v>
      </x:c>
      <x:c r="I53" t="str">
        <x:f>TEXT(G53,"yyyy-mm")</x:f>
        <x:v>2025-02</x:v>
      </x:c>
    </x:row>
    <x:row r="54" ht="19" customHeight="1">
      <x:c r="A54" s="2" t="n">
        <x:v>45710</x:v>
      </x:c>
      <x:c r="B54" t="str">
        <x:f>CHOOSE(WEEKDAY(A54,2),"Lunes","Martes","Miércoles","Jueves","Viernes","Sábado","Domingo")</x:f>
        <x:v>Sábado</x:v>
      </x:c>
      <x:c r="C54" t="str">
        <x:f>IF(COUNTIF(FERIADOS!$A$2:$A$250,A54)&gt;0,"SÍ","NO")</x:f>
        <x:v>NO</x:v>
      </x:c>
      <x:c r="D54" t="str">
        <x:f>IF(AND(WEEKDAY(A54,2)&lt;=5,C54="NO"),"SÍ","NO")</x:f>
        <x:v>NO</x:v>
      </x:c>
      <x:c r="E54" s="2" t="n">
        <x:f>WORKDAY.INTL(A54-1,1,1,FERIADOS!$A$2:$A$250)</x:f>
        <x:v>45712</x:v>
      </x:c>
      <x:c r="F54" t="str">
        <x:f>IF(E54&gt;=WORKDAY.INTL(EOMONTH(E54,0)+1,-2,1,FERIADOS!$A$2:$A$250),"SÍ","NO")</x:f>
        <x:v>NO</x:v>
      </x:c>
      <x:c r="G54" s="10" t="n">
        <x:f>IF(F54="SÍ",EOMONTH(E54,0)+1,DATE(YEAR(E54),MONTH(E54),1))</x:f>
        <x:v>45689</x:v>
      </x:c>
      <x:c r="H54" t="str">
        <x:f>IF(D54="NO",IF(C54="SÍ","FERIADO","FIN DE SEMANA"),"LABORABLE")&amp;IF(F54="SÍ"," + CIERRE","")</x:f>
        <x:v>FIN DE SEMANA</x:v>
      </x:c>
      <x:c r="I54" t="str">
        <x:f>TEXT(G54,"yyyy-mm")</x:f>
        <x:v>2025-02</x:v>
      </x:c>
    </x:row>
    <x:row r="55" ht="19" customHeight="1">
      <x:c r="A55" s="2" t="n">
        <x:v>45711</x:v>
      </x:c>
      <x:c r="B55" t="str">
        <x:f>CHOOSE(WEEKDAY(A55,2),"Lunes","Martes","Miércoles","Jueves","Viernes","Sábado","Domingo")</x:f>
        <x:v>Domingo</x:v>
      </x:c>
      <x:c r="C55" t="str">
        <x:f>IF(COUNTIF(FERIADOS!$A$2:$A$250,A55)&gt;0,"SÍ","NO")</x:f>
        <x:v>NO</x:v>
      </x:c>
      <x:c r="D55" t="str">
        <x:f>IF(AND(WEEKDAY(A55,2)&lt;=5,C55="NO"),"SÍ","NO")</x:f>
        <x:v>NO</x:v>
      </x:c>
      <x:c r="E55" s="2" t="n">
        <x:f>WORKDAY.INTL(A55-1,1,1,FERIADOS!$A$2:$A$250)</x:f>
        <x:v>45712</x:v>
      </x:c>
      <x:c r="F55" t="str">
        <x:f>IF(E55&gt;=WORKDAY.INTL(EOMONTH(E55,0)+1,-2,1,FERIADOS!$A$2:$A$250),"SÍ","NO")</x:f>
        <x:v>NO</x:v>
      </x:c>
      <x:c r="G55" s="10" t="n">
        <x:f>IF(F55="SÍ",EOMONTH(E55,0)+1,DATE(YEAR(E55),MONTH(E55),1))</x:f>
        <x:v>45689</x:v>
      </x:c>
      <x:c r="H55" t="str">
        <x:f>IF(D55="NO",IF(C55="SÍ","FERIADO","FIN DE SEMANA"),"LABORABLE")&amp;IF(F55="SÍ"," + CIERRE","")</x:f>
        <x:v>FIN DE SEMANA</x:v>
      </x:c>
      <x:c r="I55" t="str">
        <x:f>TEXT(G55,"yyyy-mm")</x:f>
        <x:v>2025-02</x:v>
      </x:c>
    </x:row>
    <x:row r="56" ht="19" customHeight="1">
      <x:c r="A56" s="2" t="n">
        <x:v>45712</x:v>
      </x:c>
      <x:c r="B56" t="str">
        <x:f>CHOOSE(WEEKDAY(A56,2),"Lunes","Martes","Miércoles","Jueves","Viernes","Sábado","Domingo")</x:f>
        <x:v>Lunes</x:v>
      </x:c>
      <x:c r="C56" t="str">
        <x:f>IF(COUNTIF(FERIADOS!$A$2:$A$250,A56)&gt;0,"SÍ","NO")</x:f>
        <x:v>NO</x:v>
      </x:c>
      <x:c r="D56" t="str">
        <x:f>IF(AND(WEEKDAY(A56,2)&lt;=5,C56="NO"),"SÍ","NO")</x:f>
        <x:v>SÍ</x:v>
      </x:c>
      <x:c r="E56" s="2" t="n">
        <x:f>WORKDAY.INTL(A56-1,1,1,FERIADOS!$A$2:$A$250)</x:f>
        <x:v>45712</x:v>
      </x:c>
      <x:c r="F56" t="str">
        <x:f>IF(E56&gt;=WORKDAY.INTL(EOMONTH(E56,0)+1,-2,1,FERIADOS!$A$2:$A$250),"SÍ","NO")</x:f>
        <x:v>NO</x:v>
      </x:c>
      <x:c r="G56" s="10" t="n">
        <x:f>IF(F56="SÍ",EOMONTH(E56,0)+1,DATE(YEAR(E56),MONTH(E56),1))</x:f>
        <x:v>45689</x:v>
      </x:c>
      <x:c r="H56" t="str">
        <x:f>IF(D56="NO",IF(C56="SÍ","FERIADO","FIN DE SEMANA"),"LABORABLE")&amp;IF(F56="SÍ"," + CIERRE","")</x:f>
        <x:v>LABORABLE</x:v>
      </x:c>
      <x:c r="I56" t="str">
        <x:f>TEXT(G56,"yyyy-mm")</x:f>
        <x:v>2025-02</x:v>
      </x:c>
    </x:row>
    <x:row r="57" ht="19" customHeight="1">
      <x:c r="A57" s="2" t="n">
        <x:v>45713</x:v>
      </x:c>
      <x:c r="B57" t="str">
        <x:f>CHOOSE(WEEKDAY(A57,2),"Lunes","Martes","Miércoles","Jueves","Viernes","Sábado","Domingo")</x:f>
        <x:v>Martes</x:v>
      </x:c>
      <x:c r="C57" t="str">
        <x:f>IF(COUNTIF(FERIADOS!$A$2:$A$250,A57)&gt;0,"SÍ","NO")</x:f>
        <x:v>NO</x:v>
      </x:c>
      <x:c r="D57" t="str">
        <x:f>IF(AND(WEEKDAY(A57,2)&lt;=5,C57="NO"),"SÍ","NO")</x:f>
        <x:v>SÍ</x:v>
      </x:c>
      <x:c r="E57" s="2" t="n">
        <x:f>WORKDAY.INTL(A57-1,1,1,FERIADOS!$A$2:$A$250)</x:f>
        <x:v>45713</x:v>
      </x:c>
      <x:c r="F57" t="str">
        <x:f>IF(E57&gt;=WORKDAY.INTL(EOMONTH(E57,0)+1,-2,1,FERIADOS!$A$2:$A$250),"SÍ","NO")</x:f>
        <x:v>NO</x:v>
      </x:c>
      <x:c r="G57" s="10" t="n">
        <x:f>IF(F57="SÍ",EOMONTH(E57,0)+1,DATE(YEAR(E57),MONTH(E57),1))</x:f>
        <x:v>45689</x:v>
      </x:c>
      <x:c r="H57" t="str">
        <x:f>IF(D57="NO",IF(C57="SÍ","FERIADO","FIN DE SEMANA"),"LABORABLE")&amp;IF(F57="SÍ"," + CIERRE","")</x:f>
        <x:v>LABORABLE</x:v>
      </x:c>
      <x:c r="I57" t="str">
        <x:f>TEXT(G57,"yyyy-mm")</x:f>
        <x:v>2025-02</x:v>
      </x:c>
    </x:row>
    <x:row r="58" ht="19" customHeight="1">
      <x:c r="A58" s="2" t="n">
        <x:v>45714</x:v>
      </x:c>
      <x:c r="B58" t="str">
        <x:f>CHOOSE(WEEKDAY(A58,2),"Lunes","Martes","Miércoles","Jueves","Viernes","Sábado","Domingo")</x:f>
        <x:v>Miércoles</x:v>
      </x:c>
      <x:c r="C58" t="str">
        <x:f>IF(COUNTIF(FERIADOS!$A$2:$A$250,A58)&gt;0,"SÍ","NO")</x:f>
        <x:v>NO</x:v>
      </x:c>
      <x:c r="D58" t="str">
        <x:f>IF(AND(WEEKDAY(A58,2)&lt;=5,C58="NO"),"SÍ","NO")</x:f>
        <x:v>SÍ</x:v>
      </x:c>
      <x:c r="E58" s="2" t="n">
        <x:f>WORKDAY.INTL(A58-1,1,1,FERIADOS!$A$2:$A$250)</x:f>
        <x:v>45714</x:v>
      </x:c>
      <x:c r="F58" t="str">
        <x:f>IF(E58&gt;=WORKDAY.INTL(EOMONTH(E58,0)+1,-2,1,FERIADOS!$A$2:$A$250),"SÍ","NO")</x:f>
        <x:v>NO</x:v>
      </x:c>
      <x:c r="G58" s="10" t="n">
        <x:f>IF(F58="SÍ",EOMONTH(E58,0)+1,DATE(YEAR(E58),MONTH(E58),1))</x:f>
        <x:v>45689</x:v>
      </x:c>
      <x:c r="H58" t="str">
        <x:f>IF(D58="NO",IF(C58="SÍ","FERIADO","FIN DE SEMANA"),"LABORABLE")&amp;IF(F58="SÍ"," + CIERRE","")</x:f>
        <x:v>LABORABLE</x:v>
      </x:c>
      <x:c r="I58" t="str">
        <x:f>TEXT(G58,"yyyy-mm")</x:f>
        <x:v>2025-02</x:v>
      </x:c>
    </x:row>
    <x:row r="59" ht="19" customHeight="1">
      <x:c r="A59" s="2" t="n">
        <x:v>45715</x:v>
      </x:c>
      <x:c r="B59" t="str">
        <x:f>CHOOSE(WEEKDAY(A59,2),"Lunes","Martes","Miércoles","Jueves","Viernes","Sábado","Domingo")</x:f>
        <x:v>Jueves</x:v>
      </x:c>
      <x:c r="C59" t="str">
        <x:f>IF(COUNTIF(FERIADOS!$A$2:$A$250,A59)&gt;0,"SÍ","NO")</x:f>
        <x:v>NO</x:v>
      </x:c>
      <x:c r="D59" t="str">
        <x:f>IF(AND(WEEKDAY(A59,2)&lt;=5,C59="NO"),"SÍ","NO")</x:f>
        <x:v>SÍ</x:v>
      </x:c>
      <x:c r="E59" s="2" t="n">
        <x:f>WORKDAY.INTL(A59-1,1,1,FERIADOS!$A$2:$A$250)</x:f>
        <x:v>45715</x:v>
      </x:c>
      <x:c r="F59" t="str">
        <x:f>IF(E59&gt;=WORKDAY.INTL(EOMONTH(E59,0)+1,-2,1,FERIADOS!$A$2:$A$250),"SÍ","NO")</x:f>
        <x:v>SÍ</x:v>
      </x:c>
      <x:c r="G59" s="10" t="n">
        <x:f>IF(F59="SÍ",EOMONTH(E59,0)+1,DATE(YEAR(E59),MONTH(E59),1))</x:f>
        <x:v>45717</x:v>
      </x:c>
      <x:c r="H59" t="str">
        <x:f>IF(D59="NO",IF(C59="SÍ","FERIADO","FIN DE SEMANA"),"LABORABLE")&amp;IF(F59="SÍ"," + CIERRE","")</x:f>
        <x:v>LABORABLE + CIERRE</x:v>
      </x:c>
      <x:c r="I59" t="str">
        <x:f>TEXT(G59,"yyyy-mm")</x:f>
        <x:v>2025-03</x:v>
      </x:c>
    </x:row>
    <x:row r="60" ht="19" customHeight="1">
      <x:c r="A60" s="2" t="n">
        <x:v>45716</x:v>
      </x:c>
      <x:c r="B60" t="str">
        <x:f>CHOOSE(WEEKDAY(A60,2),"Lunes","Martes","Miércoles","Jueves","Viernes","Sábado","Domingo")</x:f>
        <x:v>Viernes</x:v>
      </x:c>
      <x:c r="C60" t="str">
        <x:f>IF(COUNTIF(FERIADOS!$A$2:$A$250,A60)&gt;0,"SÍ","NO")</x:f>
        <x:v>NO</x:v>
      </x:c>
      <x:c r="D60" t="str">
        <x:f>IF(AND(WEEKDAY(A60,2)&lt;=5,C60="NO"),"SÍ","NO")</x:f>
        <x:v>SÍ</x:v>
      </x:c>
      <x:c r="E60" s="2" t="n">
        <x:f>WORKDAY.INTL(A60-1,1,1,FERIADOS!$A$2:$A$250)</x:f>
        <x:v>45716</x:v>
      </x:c>
      <x:c r="F60" t="str">
        <x:f>IF(E60&gt;=WORKDAY.INTL(EOMONTH(E60,0)+1,-2,1,FERIADOS!$A$2:$A$250),"SÍ","NO")</x:f>
        <x:v>SÍ</x:v>
      </x:c>
      <x:c r="G60" s="10" t="n">
        <x:f>IF(F60="SÍ",EOMONTH(E60,0)+1,DATE(YEAR(E60),MONTH(E60),1))</x:f>
        <x:v>45717</x:v>
      </x:c>
      <x:c r="H60" t="str">
        <x:f>IF(D60="NO",IF(C60="SÍ","FERIADO","FIN DE SEMANA"),"LABORABLE")&amp;IF(F60="SÍ"," + CIERRE","")</x:f>
        <x:v>LABORABLE + CIERRE</x:v>
      </x:c>
      <x:c r="I60" t="str">
        <x:f>TEXT(G60,"yyyy-mm")</x:f>
        <x:v>2025-03</x:v>
      </x:c>
    </x:row>
    <x:row r="61" ht="19" customHeight="1">
      <x:c r="A61" s="2" t="n">
        <x:v>45717</x:v>
      </x:c>
      <x:c r="B61" t="str">
        <x:f>CHOOSE(WEEKDAY(A61,2),"Lunes","Martes","Miércoles","Jueves","Viernes","Sábado","Domingo")</x:f>
        <x:v>Sábado</x:v>
      </x:c>
      <x:c r="C61" t="str">
        <x:f>IF(COUNTIF(FERIADOS!$A$2:$A$250,A61)&gt;0,"SÍ","NO")</x:f>
        <x:v>NO</x:v>
      </x:c>
      <x:c r="D61" t="str">
        <x:f>IF(AND(WEEKDAY(A61,2)&lt;=5,C61="NO"),"SÍ","NO")</x:f>
        <x:v>NO</x:v>
      </x:c>
      <x:c r="E61" s="2" t="n">
        <x:f>WORKDAY.INTL(A61-1,1,1,FERIADOS!$A$2:$A$250)</x:f>
        <x:v>45721</x:v>
      </x:c>
      <x:c r="F61" t="str">
        <x:f>IF(E61&gt;=WORKDAY.INTL(EOMONTH(E61,0)+1,-2,1,FERIADOS!$A$2:$A$250),"SÍ","NO")</x:f>
        <x:v>NO</x:v>
      </x:c>
      <x:c r="G61" s="10" t="n">
        <x:f>IF(F61="SÍ",EOMONTH(E61,0)+1,DATE(YEAR(E61),MONTH(E61),1))</x:f>
        <x:v>45717</x:v>
      </x:c>
      <x:c r="H61" t="str">
        <x:f>IF(D61="NO",IF(C61="SÍ","FERIADO","FIN DE SEMANA"),"LABORABLE")&amp;IF(F61="SÍ"," + CIERRE","")</x:f>
        <x:v>FIN DE SEMANA</x:v>
      </x:c>
      <x:c r="I61" t="str">
        <x:f>TEXT(G61,"yyyy-mm")</x:f>
        <x:v>2025-03</x:v>
      </x:c>
    </x:row>
    <x:row r="62" ht="19" customHeight="1">
      <x:c r="A62" s="2" t="n">
        <x:v>45718</x:v>
      </x:c>
      <x:c r="B62" t="str">
        <x:f>CHOOSE(WEEKDAY(A62,2),"Lunes","Martes","Miércoles","Jueves","Viernes","Sábado","Domingo")</x:f>
        <x:v>Domingo</x:v>
      </x:c>
      <x:c r="C62" t="str">
        <x:f>IF(COUNTIF(FERIADOS!$A$2:$A$250,A62)&gt;0,"SÍ","NO")</x:f>
        <x:v>NO</x:v>
      </x:c>
      <x:c r="D62" t="str">
        <x:f>IF(AND(WEEKDAY(A62,2)&lt;=5,C62="NO"),"SÍ","NO")</x:f>
        <x:v>NO</x:v>
      </x:c>
      <x:c r="E62" s="2" t="n">
        <x:f>WORKDAY.INTL(A62-1,1,1,FERIADOS!$A$2:$A$250)</x:f>
        <x:v>45721</x:v>
      </x:c>
      <x:c r="F62" t="str">
        <x:f>IF(E62&gt;=WORKDAY.INTL(EOMONTH(E62,0)+1,-2,1,FERIADOS!$A$2:$A$250),"SÍ","NO")</x:f>
        <x:v>NO</x:v>
      </x:c>
      <x:c r="G62" s="10" t="n">
        <x:f>IF(F62="SÍ",EOMONTH(E62,0)+1,DATE(YEAR(E62),MONTH(E62),1))</x:f>
        <x:v>45717</x:v>
      </x:c>
      <x:c r="H62" t="str">
        <x:f>IF(D62="NO",IF(C62="SÍ","FERIADO","FIN DE SEMANA"),"LABORABLE")&amp;IF(F62="SÍ"," + CIERRE","")</x:f>
        <x:v>FIN DE SEMANA</x:v>
      </x:c>
      <x:c r="I62" t="str">
        <x:f>TEXT(G62,"yyyy-mm")</x:f>
        <x:v>2025-03</x:v>
      </x:c>
    </x:row>
    <x:row r="63" ht="19" customHeight="1">
      <x:c r="A63" s="2" t="n">
        <x:v>45719</x:v>
      </x:c>
      <x:c r="B63" t="str">
        <x:f>CHOOSE(WEEKDAY(A63,2),"Lunes","Martes","Miércoles","Jueves","Viernes","Sábado","Domingo")</x:f>
        <x:v>Lunes</x:v>
      </x:c>
      <x:c r="C63" t="str">
        <x:f>IF(COUNTIF(FERIADOS!$A$2:$A$250,A63)&gt;0,"SÍ","NO")</x:f>
        <x:v>SÍ</x:v>
      </x:c>
      <x:c r="D63" t="str">
        <x:f>IF(AND(WEEKDAY(A63,2)&lt;=5,C63="NO"),"SÍ","NO")</x:f>
        <x:v>NO</x:v>
      </x:c>
      <x:c r="E63" s="2" t="n">
        <x:f>WORKDAY.INTL(A63-1,1,1,FERIADOS!$A$2:$A$250)</x:f>
        <x:v>45721</x:v>
      </x:c>
      <x:c r="F63" t="str">
        <x:f>IF(E63&gt;=WORKDAY.INTL(EOMONTH(E63,0)+1,-2,1,FERIADOS!$A$2:$A$250),"SÍ","NO")</x:f>
        <x:v>NO</x:v>
      </x:c>
      <x:c r="G63" s="10" t="n">
        <x:f>IF(F63="SÍ",EOMONTH(E63,0)+1,DATE(YEAR(E63),MONTH(E63),1))</x:f>
        <x:v>45717</x:v>
      </x:c>
      <x:c r="H63" t="str">
        <x:f>IF(D63="NO",IF(C63="SÍ","FERIADO","FIN DE SEMANA"),"LABORABLE")&amp;IF(F63="SÍ"," + CIERRE","")</x:f>
        <x:v>FERIADO</x:v>
      </x:c>
      <x:c r="I63" t="str">
        <x:f>TEXT(G63,"yyyy-mm")</x:f>
        <x:v>2025-03</x:v>
      </x:c>
    </x:row>
    <x:row r="64" ht="19" customHeight="1">
      <x:c r="A64" s="2" t="n">
        <x:v>45720</x:v>
      </x:c>
      <x:c r="B64" t="str">
        <x:f>CHOOSE(WEEKDAY(A64,2),"Lunes","Martes","Miércoles","Jueves","Viernes","Sábado","Domingo")</x:f>
        <x:v>Martes</x:v>
      </x:c>
      <x:c r="C64" t="str">
        <x:f>IF(COUNTIF(FERIADOS!$A$2:$A$250,A64)&gt;0,"SÍ","NO")</x:f>
        <x:v>SÍ</x:v>
      </x:c>
      <x:c r="D64" t="str">
        <x:f>IF(AND(WEEKDAY(A64,2)&lt;=5,C64="NO"),"SÍ","NO")</x:f>
        <x:v>NO</x:v>
      </x:c>
      <x:c r="E64" s="2" t="n">
        <x:f>WORKDAY.INTL(A64-1,1,1,FERIADOS!$A$2:$A$250)</x:f>
        <x:v>45721</x:v>
      </x:c>
      <x:c r="F64" t="str">
        <x:f>IF(E64&gt;=WORKDAY.INTL(EOMONTH(E64,0)+1,-2,1,FERIADOS!$A$2:$A$250),"SÍ","NO")</x:f>
        <x:v>NO</x:v>
      </x:c>
      <x:c r="G64" s="10" t="n">
        <x:f>IF(F64="SÍ",EOMONTH(E64,0)+1,DATE(YEAR(E64),MONTH(E64),1))</x:f>
        <x:v>45717</x:v>
      </x:c>
      <x:c r="H64" t="str">
        <x:f>IF(D64="NO",IF(C64="SÍ","FERIADO","FIN DE SEMANA"),"LABORABLE")&amp;IF(F64="SÍ"," + CIERRE","")</x:f>
        <x:v>FERIADO</x:v>
      </x:c>
      <x:c r="I64" t="str">
        <x:f>TEXT(G64,"yyyy-mm")</x:f>
        <x:v>2025-03</x:v>
      </x:c>
    </x:row>
    <x:row r="65" ht="19" customHeight="1">
      <x:c r="A65" s="2" t="n">
        <x:v>45721</x:v>
      </x:c>
      <x:c r="B65" t="str">
        <x:f>CHOOSE(WEEKDAY(A65,2),"Lunes","Martes","Miércoles","Jueves","Viernes","Sábado","Domingo")</x:f>
        <x:v>Miércoles</x:v>
      </x:c>
      <x:c r="C65" t="str">
        <x:f>IF(COUNTIF(FERIADOS!$A$2:$A$250,A65)&gt;0,"SÍ","NO")</x:f>
        <x:v>NO</x:v>
      </x:c>
      <x:c r="D65" t="str">
        <x:f>IF(AND(WEEKDAY(A65,2)&lt;=5,C65="NO"),"SÍ","NO")</x:f>
        <x:v>SÍ</x:v>
      </x:c>
      <x:c r="E65" s="2" t="n">
        <x:f>WORKDAY.INTL(A65-1,1,1,FERIADOS!$A$2:$A$250)</x:f>
        <x:v>45721</x:v>
      </x:c>
      <x:c r="F65" t="str">
        <x:f>IF(E65&gt;=WORKDAY.INTL(EOMONTH(E65,0)+1,-2,1,FERIADOS!$A$2:$A$250),"SÍ","NO")</x:f>
        <x:v>NO</x:v>
      </x:c>
      <x:c r="G65" s="10" t="n">
        <x:f>IF(F65="SÍ",EOMONTH(E65,0)+1,DATE(YEAR(E65),MONTH(E65),1))</x:f>
        <x:v>45717</x:v>
      </x:c>
      <x:c r="H65" t="str">
        <x:f>IF(D65="NO",IF(C65="SÍ","FERIADO","FIN DE SEMANA"),"LABORABLE")&amp;IF(F65="SÍ"," + CIERRE","")</x:f>
        <x:v>LABORABLE</x:v>
      </x:c>
      <x:c r="I65" t="str">
        <x:f>TEXT(G65,"yyyy-mm")</x:f>
        <x:v>2025-03</x:v>
      </x:c>
    </x:row>
    <x:row r="66" ht="19" customHeight="1">
      <x:c r="A66" s="2" t="n">
        <x:v>45722</x:v>
      </x:c>
      <x:c r="B66" t="str">
        <x:f>CHOOSE(WEEKDAY(A66,2),"Lunes","Martes","Miércoles","Jueves","Viernes","Sábado","Domingo")</x:f>
        <x:v>Jueves</x:v>
      </x:c>
      <x:c r="C66" t="str">
        <x:f>IF(COUNTIF(FERIADOS!$A$2:$A$250,A66)&gt;0,"SÍ","NO")</x:f>
        <x:v>NO</x:v>
      </x:c>
      <x:c r="D66" t="str">
        <x:f>IF(AND(WEEKDAY(A66,2)&lt;=5,C66="NO"),"SÍ","NO")</x:f>
        <x:v>SÍ</x:v>
      </x:c>
      <x:c r="E66" s="2" t="n">
        <x:f>WORKDAY.INTL(A66-1,1,1,FERIADOS!$A$2:$A$250)</x:f>
        <x:v>45722</x:v>
      </x:c>
      <x:c r="F66" t="str">
        <x:f>IF(E66&gt;=WORKDAY.INTL(EOMONTH(E66,0)+1,-2,1,FERIADOS!$A$2:$A$250),"SÍ","NO")</x:f>
        <x:v>NO</x:v>
      </x:c>
      <x:c r="G66" s="10" t="n">
        <x:f>IF(F66="SÍ",EOMONTH(E66,0)+1,DATE(YEAR(E66),MONTH(E66),1))</x:f>
        <x:v>45717</x:v>
      </x:c>
      <x:c r="H66" t="str">
        <x:f>IF(D66="NO",IF(C66="SÍ","FERIADO","FIN DE SEMANA"),"LABORABLE")&amp;IF(F66="SÍ"," + CIERRE","")</x:f>
        <x:v>LABORABLE</x:v>
      </x:c>
      <x:c r="I66" t="str">
        <x:f>TEXT(G66,"yyyy-mm")</x:f>
        <x:v>2025-03</x:v>
      </x:c>
    </x:row>
    <x:row r="67" ht="19" customHeight="1">
      <x:c r="A67" s="2" t="n">
        <x:v>45723</x:v>
      </x:c>
      <x:c r="B67" t="str">
        <x:f>CHOOSE(WEEKDAY(A67,2),"Lunes","Martes","Miércoles","Jueves","Viernes","Sábado","Domingo")</x:f>
        <x:v>Viernes</x:v>
      </x:c>
      <x:c r="C67" t="str">
        <x:f>IF(COUNTIF(FERIADOS!$A$2:$A$250,A67)&gt;0,"SÍ","NO")</x:f>
        <x:v>NO</x:v>
      </x:c>
      <x:c r="D67" t="str">
        <x:f>IF(AND(WEEKDAY(A67,2)&lt;=5,C67="NO"),"SÍ","NO")</x:f>
        <x:v>SÍ</x:v>
      </x:c>
      <x:c r="E67" s="2" t="n">
        <x:f>WORKDAY.INTL(A67-1,1,1,FERIADOS!$A$2:$A$250)</x:f>
        <x:v>45723</x:v>
      </x:c>
      <x:c r="F67" t="str">
        <x:f>IF(E67&gt;=WORKDAY.INTL(EOMONTH(E67,0)+1,-2,1,FERIADOS!$A$2:$A$250),"SÍ","NO")</x:f>
        <x:v>NO</x:v>
      </x:c>
      <x:c r="G67" s="10" t="n">
        <x:f>IF(F67="SÍ",EOMONTH(E67,0)+1,DATE(YEAR(E67),MONTH(E67),1))</x:f>
        <x:v>45717</x:v>
      </x:c>
      <x:c r="H67" t="str">
        <x:f>IF(D67="NO",IF(C67="SÍ","FERIADO","FIN DE SEMANA"),"LABORABLE")&amp;IF(F67="SÍ"," + CIERRE","")</x:f>
        <x:v>LABORABLE</x:v>
      </x:c>
      <x:c r="I67" t="str">
        <x:f>TEXT(G67,"yyyy-mm")</x:f>
        <x:v>2025-03</x:v>
      </x:c>
    </x:row>
    <x:row r="68" ht="19" customHeight="1">
      <x:c r="A68" s="2" t="n">
        <x:v>45724</x:v>
      </x:c>
      <x:c r="B68" t="str">
        <x:f>CHOOSE(WEEKDAY(A68,2),"Lunes","Martes","Miércoles","Jueves","Viernes","Sábado","Domingo")</x:f>
        <x:v>Sábado</x:v>
      </x:c>
      <x:c r="C68" t="str">
        <x:f>IF(COUNTIF(FERIADOS!$A$2:$A$250,A68)&gt;0,"SÍ","NO")</x:f>
        <x:v>NO</x:v>
      </x:c>
      <x:c r="D68" t="str">
        <x:f>IF(AND(WEEKDAY(A68,2)&lt;=5,C68="NO"),"SÍ","NO")</x:f>
        <x:v>NO</x:v>
      </x:c>
      <x:c r="E68" s="2" t="n">
        <x:f>WORKDAY.INTL(A68-1,1,1,FERIADOS!$A$2:$A$250)</x:f>
        <x:v>45726</x:v>
      </x:c>
      <x:c r="F68" t="str">
        <x:f>IF(E68&gt;=WORKDAY.INTL(EOMONTH(E68,0)+1,-2,1,FERIADOS!$A$2:$A$250),"SÍ","NO")</x:f>
        <x:v>NO</x:v>
      </x:c>
      <x:c r="G68" s="10" t="n">
        <x:f>IF(F68="SÍ",EOMONTH(E68,0)+1,DATE(YEAR(E68),MONTH(E68),1))</x:f>
        <x:v>45717</x:v>
      </x:c>
      <x:c r="H68" t="str">
        <x:f>IF(D68="NO",IF(C68="SÍ","FERIADO","FIN DE SEMANA"),"LABORABLE")&amp;IF(F68="SÍ"," + CIERRE","")</x:f>
        <x:v>FIN DE SEMANA</x:v>
      </x:c>
      <x:c r="I68" t="str">
        <x:f>TEXT(G68,"yyyy-mm")</x:f>
        <x:v>2025-03</x:v>
      </x:c>
    </x:row>
    <x:row r="69" ht="19" customHeight="1">
      <x:c r="A69" s="2" t="n">
        <x:v>45725</x:v>
      </x:c>
      <x:c r="B69" t="str">
        <x:f>CHOOSE(WEEKDAY(A69,2),"Lunes","Martes","Miércoles","Jueves","Viernes","Sábado","Domingo")</x:f>
        <x:v>Domingo</x:v>
      </x:c>
      <x:c r="C69" t="str">
        <x:f>IF(COUNTIF(FERIADOS!$A$2:$A$250,A69)&gt;0,"SÍ","NO")</x:f>
        <x:v>NO</x:v>
      </x:c>
      <x:c r="D69" t="str">
        <x:f>IF(AND(WEEKDAY(A69,2)&lt;=5,C69="NO"),"SÍ","NO")</x:f>
        <x:v>NO</x:v>
      </x:c>
      <x:c r="E69" s="2" t="n">
        <x:f>WORKDAY.INTL(A69-1,1,1,FERIADOS!$A$2:$A$250)</x:f>
        <x:v>45726</x:v>
      </x:c>
      <x:c r="F69" t="str">
        <x:f>IF(E69&gt;=WORKDAY.INTL(EOMONTH(E69,0)+1,-2,1,FERIADOS!$A$2:$A$250),"SÍ","NO")</x:f>
        <x:v>NO</x:v>
      </x:c>
      <x:c r="G69" s="10" t="n">
        <x:f>IF(F69="SÍ",EOMONTH(E69,0)+1,DATE(YEAR(E69),MONTH(E69),1))</x:f>
        <x:v>45717</x:v>
      </x:c>
      <x:c r="H69" t="str">
        <x:f>IF(D69="NO",IF(C69="SÍ","FERIADO","FIN DE SEMANA"),"LABORABLE")&amp;IF(F69="SÍ"," + CIERRE","")</x:f>
        <x:v>FIN DE SEMANA</x:v>
      </x:c>
      <x:c r="I69" t="str">
        <x:f>TEXT(G69,"yyyy-mm")</x:f>
        <x:v>2025-03</x:v>
      </x:c>
    </x:row>
    <x:row r="70" ht="19" customHeight="1">
      <x:c r="A70" s="2" t="n">
        <x:v>45726</x:v>
      </x:c>
      <x:c r="B70" t="str">
        <x:f>CHOOSE(WEEKDAY(A70,2),"Lunes","Martes","Miércoles","Jueves","Viernes","Sábado","Domingo")</x:f>
        <x:v>Lunes</x:v>
      </x:c>
      <x:c r="C70" t="str">
        <x:f>IF(COUNTIF(FERIADOS!$A$2:$A$250,A70)&gt;0,"SÍ","NO")</x:f>
        <x:v>NO</x:v>
      </x:c>
      <x:c r="D70" t="str">
        <x:f>IF(AND(WEEKDAY(A70,2)&lt;=5,C70="NO"),"SÍ","NO")</x:f>
        <x:v>SÍ</x:v>
      </x:c>
      <x:c r="E70" s="2" t="n">
        <x:f>WORKDAY.INTL(A70-1,1,1,FERIADOS!$A$2:$A$250)</x:f>
        <x:v>45726</x:v>
      </x:c>
      <x:c r="F70" t="str">
        <x:f>IF(E70&gt;=WORKDAY.INTL(EOMONTH(E70,0)+1,-2,1,FERIADOS!$A$2:$A$250),"SÍ","NO")</x:f>
        <x:v>NO</x:v>
      </x:c>
      <x:c r="G70" s="10" t="n">
        <x:f>IF(F70="SÍ",EOMONTH(E70,0)+1,DATE(YEAR(E70),MONTH(E70),1))</x:f>
        <x:v>45717</x:v>
      </x:c>
      <x:c r="H70" t="str">
        <x:f>IF(D70="NO",IF(C70="SÍ","FERIADO","FIN DE SEMANA"),"LABORABLE")&amp;IF(F70="SÍ"," + CIERRE","")</x:f>
        <x:v>LABORABLE</x:v>
      </x:c>
      <x:c r="I70" t="str">
        <x:f>TEXT(G70,"yyyy-mm")</x:f>
        <x:v>2025-03</x:v>
      </x:c>
    </x:row>
    <x:row r="71" ht="19" customHeight="1">
      <x:c r="A71" s="2" t="n">
        <x:v>45727</x:v>
      </x:c>
      <x:c r="B71" t="str">
        <x:f>CHOOSE(WEEKDAY(A71,2),"Lunes","Martes","Miércoles","Jueves","Viernes","Sábado","Domingo")</x:f>
        <x:v>Martes</x:v>
      </x:c>
      <x:c r="C71" t="str">
        <x:f>IF(COUNTIF(FERIADOS!$A$2:$A$250,A71)&gt;0,"SÍ","NO")</x:f>
        <x:v>NO</x:v>
      </x:c>
      <x:c r="D71" t="str">
        <x:f>IF(AND(WEEKDAY(A71,2)&lt;=5,C71="NO"),"SÍ","NO")</x:f>
        <x:v>SÍ</x:v>
      </x:c>
      <x:c r="E71" s="2" t="n">
        <x:f>WORKDAY.INTL(A71-1,1,1,FERIADOS!$A$2:$A$250)</x:f>
        <x:v>45727</x:v>
      </x:c>
      <x:c r="F71" t="str">
        <x:f>IF(E71&gt;=WORKDAY.INTL(EOMONTH(E71,0)+1,-2,1,FERIADOS!$A$2:$A$250),"SÍ","NO")</x:f>
        <x:v>NO</x:v>
      </x:c>
      <x:c r="G71" s="10" t="n">
        <x:f>IF(F71="SÍ",EOMONTH(E71,0)+1,DATE(YEAR(E71),MONTH(E71),1))</x:f>
        <x:v>45717</x:v>
      </x:c>
      <x:c r="H71" t="str">
        <x:f>IF(D71="NO",IF(C71="SÍ","FERIADO","FIN DE SEMANA"),"LABORABLE")&amp;IF(F71="SÍ"," + CIERRE","")</x:f>
        <x:v>LABORABLE</x:v>
      </x:c>
      <x:c r="I71" t="str">
        <x:f>TEXT(G71,"yyyy-mm")</x:f>
        <x:v>2025-03</x:v>
      </x:c>
    </x:row>
    <x:row r="72" ht="19" customHeight="1">
      <x:c r="A72" s="2" t="n">
        <x:v>45728</x:v>
      </x:c>
      <x:c r="B72" t="str">
        <x:f>CHOOSE(WEEKDAY(A72,2),"Lunes","Martes","Miércoles","Jueves","Viernes","Sábado","Domingo")</x:f>
        <x:v>Miércoles</x:v>
      </x:c>
      <x:c r="C72" t="str">
        <x:f>IF(COUNTIF(FERIADOS!$A$2:$A$250,A72)&gt;0,"SÍ","NO")</x:f>
        <x:v>NO</x:v>
      </x:c>
      <x:c r="D72" t="str">
        <x:f>IF(AND(WEEKDAY(A72,2)&lt;=5,C72="NO"),"SÍ","NO")</x:f>
        <x:v>SÍ</x:v>
      </x:c>
      <x:c r="E72" s="2" t="n">
        <x:f>WORKDAY.INTL(A72-1,1,1,FERIADOS!$A$2:$A$250)</x:f>
        <x:v>45728</x:v>
      </x:c>
      <x:c r="F72" t="str">
        <x:f>IF(E72&gt;=WORKDAY.INTL(EOMONTH(E72,0)+1,-2,1,FERIADOS!$A$2:$A$250),"SÍ","NO")</x:f>
        <x:v>NO</x:v>
      </x:c>
      <x:c r="G72" s="10" t="n">
        <x:f>IF(F72="SÍ",EOMONTH(E72,0)+1,DATE(YEAR(E72),MONTH(E72),1))</x:f>
        <x:v>45717</x:v>
      </x:c>
      <x:c r="H72" t="str">
        <x:f>IF(D72="NO",IF(C72="SÍ","FERIADO","FIN DE SEMANA"),"LABORABLE")&amp;IF(F72="SÍ"," + CIERRE","")</x:f>
        <x:v>LABORABLE</x:v>
      </x:c>
      <x:c r="I72" t="str">
        <x:f>TEXT(G72,"yyyy-mm")</x:f>
        <x:v>2025-03</x:v>
      </x:c>
    </x:row>
    <x:row r="73" ht="19" customHeight="1">
      <x:c r="A73" s="2" t="n">
        <x:v>45729</x:v>
      </x:c>
      <x:c r="B73" t="str">
        <x:f>CHOOSE(WEEKDAY(A73,2),"Lunes","Martes","Miércoles","Jueves","Viernes","Sábado","Domingo")</x:f>
        <x:v>Jueves</x:v>
      </x:c>
      <x:c r="C73" t="str">
        <x:f>IF(COUNTIF(FERIADOS!$A$2:$A$250,A73)&gt;0,"SÍ","NO")</x:f>
        <x:v>NO</x:v>
      </x:c>
      <x:c r="D73" t="str">
        <x:f>IF(AND(WEEKDAY(A73,2)&lt;=5,C73="NO"),"SÍ","NO")</x:f>
        <x:v>SÍ</x:v>
      </x:c>
      <x:c r="E73" s="2" t="n">
        <x:f>WORKDAY.INTL(A73-1,1,1,FERIADOS!$A$2:$A$250)</x:f>
        <x:v>45729</x:v>
      </x:c>
      <x:c r="F73" t="str">
        <x:f>IF(E73&gt;=WORKDAY.INTL(EOMONTH(E73,0)+1,-2,1,FERIADOS!$A$2:$A$250),"SÍ","NO")</x:f>
        <x:v>NO</x:v>
      </x:c>
      <x:c r="G73" s="10" t="n">
        <x:f>IF(F73="SÍ",EOMONTH(E73,0)+1,DATE(YEAR(E73),MONTH(E73),1))</x:f>
        <x:v>45717</x:v>
      </x:c>
      <x:c r="H73" t="str">
        <x:f>IF(D73="NO",IF(C73="SÍ","FERIADO","FIN DE SEMANA"),"LABORABLE")&amp;IF(F73="SÍ"," + CIERRE","")</x:f>
        <x:v>LABORABLE</x:v>
      </x:c>
      <x:c r="I73" t="str">
        <x:f>TEXT(G73,"yyyy-mm")</x:f>
        <x:v>2025-03</x:v>
      </x:c>
    </x:row>
    <x:row r="74" ht="19" customHeight="1">
      <x:c r="A74" s="2" t="n">
        <x:v>45730</x:v>
      </x:c>
      <x:c r="B74" t="str">
        <x:f>CHOOSE(WEEKDAY(A74,2),"Lunes","Martes","Miércoles","Jueves","Viernes","Sábado","Domingo")</x:f>
        <x:v>Viernes</x:v>
      </x:c>
      <x:c r="C74" t="str">
        <x:f>IF(COUNTIF(FERIADOS!$A$2:$A$250,A74)&gt;0,"SÍ","NO")</x:f>
        <x:v>NO</x:v>
      </x:c>
      <x:c r="D74" t="str">
        <x:f>IF(AND(WEEKDAY(A74,2)&lt;=5,C74="NO"),"SÍ","NO")</x:f>
        <x:v>SÍ</x:v>
      </x:c>
      <x:c r="E74" s="2" t="n">
        <x:f>WORKDAY.INTL(A74-1,1,1,FERIADOS!$A$2:$A$250)</x:f>
        <x:v>45730</x:v>
      </x:c>
      <x:c r="F74" t="str">
        <x:f>IF(E74&gt;=WORKDAY.INTL(EOMONTH(E74,0)+1,-2,1,FERIADOS!$A$2:$A$250),"SÍ","NO")</x:f>
        <x:v>NO</x:v>
      </x:c>
      <x:c r="G74" s="10" t="n">
        <x:f>IF(F74="SÍ",EOMONTH(E74,0)+1,DATE(YEAR(E74),MONTH(E74),1))</x:f>
        <x:v>45717</x:v>
      </x:c>
      <x:c r="H74" t="str">
        <x:f>IF(D74="NO",IF(C74="SÍ","FERIADO","FIN DE SEMANA"),"LABORABLE")&amp;IF(F74="SÍ"," + CIERRE","")</x:f>
        <x:v>LABORABLE</x:v>
      </x:c>
      <x:c r="I74" t="str">
        <x:f>TEXT(G74,"yyyy-mm")</x:f>
        <x:v>2025-03</x:v>
      </x:c>
    </x:row>
    <x:row r="75" ht="19" customHeight="1">
      <x:c r="A75" s="2" t="n">
        <x:v>45731</x:v>
      </x:c>
      <x:c r="B75" t="str">
        <x:f>CHOOSE(WEEKDAY(A75,2),"Lunes","Martes","Miércoles","Jueves","Viernes","Sábado","Domingo")</x:f>
        <x:v>Sábado</x:v>
      </x:c>
      <x:c r="C75" t="str">
        <x:f>IF(COUNTIF(FERIADOS!$A$2:$A$250,A75)&gt;0,"SÍ","NO")</x:f>
        <x:v>NO</x:v>
      </x:c>
      <x:c r="D75" t="str">
        <x:f>IF(AND(WEEKDAY(A75,2)&lt;=5,C75="NO"),"SÍ","NO")</x:f>
        <x:v>NO</x:v>
      </x:c>
      <x:c r="E75" s="2" t="n">
        <x:f>WORKDAY.INTL(A75-1,1,1,FERIADOS!$A$2:$A$250)</x:f>
        <x:v>45733</x:v>
      </x:c>
      <x:c r="F75" t="str">
        <x:f>IF(E75&gt;=WORKDAY.INTL(EOMONTH(E75,0)+1,-2,1,FERIADOS!$A$2:$A$250),"SÍ","NO")</x:f>
        <x:v>NO</x:v>
      </x:c>
      <x:c r="G75" s="10" t="n">
        <x:f>IF(F75="SÍ",EOMONTH(E75,0)+1,DATE(YEAR(E75),MONTH(E75),1))</x:f>
        <x:v>45717</x:v>
      </x:c>
      <x:c r="H75" t="str">
        <x:f>IF(D75="NO",IF(C75="SÍ","FERIADO","FIN DE SEMANA"),"LABORABLE")&amp;IF(F75="SÍ"," + CIERRE","")</x:f>
        <x:v>FIN DE SEMANA</x:v>
      </x:c>
      <x:c r="I75" t="str">
        <x:f>TEXT(G75,"yyyy-mm")</x:f>
        <x:v>2025-03</x:v>
      </x:c>
    </x:row>
    <x:row r="76" ht="19" customHeight="1">
      <x:c r="A76" s="2" t="n">
        <x:v>45732</x:v>
      </x:c>
      <x:c r="B76" t="str">
        <x:f>CHOOSE(WEEKDAY(A76,2),"Lunes","Martes","Miércoles","Jueves","Viernes","Sábado","Domingo")</x:f>
        <x:v>Domingo</x:v>
      </x:c>
      <x:c r="C76" t="str">
        <x:f>IF(COUNTIF(FERIADOS!$A$2:$A$250,A76)&gt;0,"SÍ","NO")</x:f>
        <x:v>NO</x:v>
      </x:c>
      <x:c r="D76" t="str">
        <x:f>IF(AND(WEEKDAY(A76,2)&lt;=5,C76="NO"),"SÍ","NO")</x:f>
        <x:v>NO</x:v>
      </x:c>
      <x:c r="E76" s="2" t="n">
        <x:f>WORKDAY.INTL(A76-1,1,1,FERIADOS!$A$2:$A$250)</x:f>
        <x:v>45733</x:v>
      </x:c>
      <x:c r="F76" t="str">
        <x:f>IF(E76&gt;=WORKDAY.INTL(EOMONTH(E76,0)+1,-2,1,FERIADOS!$A$2:$A$250),"SÍ","NO")</x:f>
        <x:v>NO</x:v>
      </x:c>
      <x:c r="G76" s="10" t="n">
        <x:f>IF(F76="SÍ",EOMONTH(E76,0)+1,DATE(YEAR(E76),MONTH(E76),1))</x:f>
        <x:v>45717</x:v>
      </x:c>
      <x:c r="H76" t="str">
        <x:f>IF(D76="NO",IF(C76="SÍ","FERIADO","FIN DE SEMANA"),"LABORABLE")&amp;IF(F76="SÍ"," + CIERRE","")</x:f>
        <x:v>FIN DE SEMANA</x:v>
      </x:c>
      <x:c r="I76" t="str">
        <x:f>TEXT(G76,"yyyy-mm")</x:f>
        <x:v>2025-03</x:v>
      </x:c>
    </x:row>
    <x:row r="77" ht="19" customHeight="1">
      <x:c r="A77" s="2" t="n">
        <x:v>45733</x:v>
      </x:c>
      <x:c r="B77" t="str">
        <x:f>CHOOSE(WEEKDAY(A77,2),"Lunes","Martes","Miércoles","Jueves","Viernes","Sábado","Domingo")</x:f>
        <x:v>Lunes</x:v>
      </x:c>
      <x:c r="C77" t="str">
        <x:f>IF(COUNTIF(FERIADOS!$A$2:$A$250,A77)&gt;0,"SÍ","NO")</x:f>
        <x:v>NO</x:v>
      </x:c>
      <x:c r="D77" t="str">
        <x:f>IF(AND(WEEKDAY(A77,2)&lt;=5,C77="NO"),"SÍ","NO")</x:f>
        <x:v>SÍ</x:v>
      </x:c>
      <x:c r="E77" s="2" t="n">
        <x:f>WORKDAY.INTL(A77-1,1,1,FERIADOS!$A$2:$A$250)</x:f>
        <x:v>45733</x:v>
      </x:c>
      <x:c r="F77" t="str">
        <x:f>IF(E77&gt;=WORKDAY.INTL(EOMONTH(E77,0)+1,-2,1,FERIADOS!$A$2:$A$250),"SÍ","NO")</x:f>
        <x:v>NO</x:v>
      </x:c>
      <x:c r="G77" s="10" t="n">
        <x:f>IF(F77="SÍ",EOMONTH(E77,0)+1,DATE(YEAR(E77),MONTH(E77),1))</x:f>
        <x:v>45717</x:v>
      </x:c>
      <x:c r="H77" t="str">
        <x:f>IF(D77="NO",IF(C77="SÍ","FERIADO","FIN DE SEMANA"),"LABORABLE")&amp;IF(F77="SÍ"," + CIERRE","")</x:f>
        <x:v>LABORABLE</x:v>
      </x:c>
      <x:c r="I77" t="str">
        <x:f>TEXT(G77,"yyyy-mm")</x:f>
        <x:v>2025-03</x:v>
      </x:c>
    </x:row>
    <x:row r="78" ht="19" customHeight="1">
      <x:c r="A78" s="2" t="n">
        <x:v>45734</x:v>
      </x:c>
      <x:c r="B78" t="str">
        <x:f>CHOOSE(WEEKDAY(A78,2),"Lunes","Martes","Miércoles","Jueves","Viernes","Sábado","Domingo")</x:f>
        <x:v>Martes</x:v>
      </x:c>
      <x:c r="C78" t="str">
        <x:f>IF(COUNTIF(FERIADOS!$A$2:$A$250,A78)&gt;0,"SÍ","NO")</x:f>
        <x:v>NO</x:v>
      </x:c>
      <x:c r="D78" t="str">
        <x:f>IF(AND(WEEKDAY(A78,2)&lt;=5,C78="NO"),"SÍ","NO")</x:f>
        <x:v>SÍ</x:v>
      </x:c>
      <x:c r="E78" s="2" t="n">
        <x:f>WORKDAY.INTL(A78-1,1,1,FERIADOS!$A$2:$A$250)</x:f>
        <x:v>45734</x:v>
      </x:c>
      <x:c r="F78" t="str">
        <x:f>IF(E78&gt;=WORKDAY.INTL(EOMONTH(E78,0)+1,-2,1,FERIADOS!$A$2:$A$250),"SÍ","NO")</x:f>
        <x:v>NO</x:v>
      </x:c>
      <x:c r="G78" s="10" t="n">
        <x:f>IF(F78="SÍ",EOMONTH(E78,0)+1,DATE(YEAR(E78),MONTH(E78),1))</x:f>
        <x:v>45717</x:v>
      </x:c>
      <x:c r="H78" t="str">
        <x:f>IF(D78="NO",IF(C78="SÍ","FERIADO","FIN DE SEMANA"),"LABORABLE")&amp;IF(F78="SÍ"," + CIERRE","")</x:f>
        <x:v>LABORABLE</x:v>
      </x:c>
      <x:c r="I78" t="str">
        <x:f>TEXT(G78,"yyyy-mm")</x:f>
        <x:v>2025-03</x:v>
      </x:c>
    </x:row>
    <x:row r="79" ht="19" customHeight="1">
      <x:c r="A79" s="2" t="n">
        <x:v>45735</x:v>
      </x:c>
      <x:c r="B79" t="str">
        <x:f>CHOOSE(WEEKDAY(A79,2),"Lunes","Martes","Miércoles","Jueves","Viernes","Sábado","Domingo")</x:f>
        <x:v>Miércoles</x:v>
      </x:c>
      <x:c r="C79" t="str">
        <x:f>IF(COUNTIF(FERIADOS!$A$2:$A$250,A79)&gt;0,"SÍ","NO")</x:f>
        <x:v>NO</x:v>
      </x:c>
      <x:c r="D79" t="str">
        <x:f>IF(AND(WEEKDAY(A79,2)&lt;=5,C79="NO"),"SÍ","NO")</x:f>
        <x:v>SÍ</x:v>
      </x:c>
      <x:c r="E79" s="2" t="n">
        <x:f>WORKDAY.INTL(A79-1,1,1,FERIADOS!$A$2:$A$250)</x:f>
        <x:v>45735</x:v>
      </x:c>
      <x:c r="F79" t="str">
        <x:f>IF(E79&gt;=WORKDAY.INTL(EOMONTH(E79,0)+1,-2,1,FERIADOS!$A$2:$A$250),"SÍ","NO")</x:f>
        <x:v>NO</x:v>
      </x:c>
      <x:c r="G79" s="10" t="n">
        <x:f>IF(F79="SÍ",EOMONTH(E79,0)+1,DATE(YEAR(E79),MONTH(E79),1))</x:f>
        <x:v>45717</x:v>
      </x:c>
      <x:c r="H79" t="str">
        <x:f>IF(D79="NO",IF(C79="SÍ","FERIADO","FIN DE SEMANA"),"LABORABLE")&amp;IF(F79="SÍ"," + CIERRE","")</x:f>
        <x:v>LABORABLE</x:v>
      </x:c>
      <x:c r="I79" t="str">
        <x:f>TEXT(G79,"yyyy-mm")</x:f>
        <x:v>2025-03</x:v>
      </x:c>
    </x:row>
    <x:row r="80" ht="19" customHeight="1">
      <x:c r="A80" s="2" t="n">
        <x:v>45736</x:v>
      </x:c>
      <x:c r="B80" t="str">
        <x:f>CHOOSE(WEEKDAY(A80,2),"Lunes","Martes","Miércoles","Jueves","Viernes","Sábado","Domingo")</x:f>
        <x:v>Jueves</x:v>
      </x:c>
      <x:c r="C80" t="str">
        <x:f>IF(COUNTIF(FERIADOS!$A$2:$A$250,A80)&gt;0,"SÍ","NO")</x:f>
        <x:v>NO</x:v>
      </x:c>
      <x:c r="D80" t="str">
        <x:f>IF(AND(WEEKDAY(A80,2)&lt;=5,C80="NO"),"SÍ","NO")</x:f>
        <x:v>SÍ</x:v>
      </x:c>
      <x:c r="E80" s="2" t="n">
        <x:f>WORKDAY.INTL(A80-1,1,1,FERIADOS!$A$2:$A$250)</x:f>
        <x:v>45736</x:v>
      </x:c>
      <x:c r="F80" t="str">
        <x:f>IF(E80&gt;=WORKDAY.INTL(EOMONTH(E80,0)+1,-2,1,FERIADOS!$A$2:$A$250),"SÍ","NO")</x:f>
        <x:v>NO</x:v>
      </x:c>
      <x:c r="G80" s="10" t="n">
        <x:f>IF(F80="SÍ",EOMONTH(E80,0)+1,DATE(YEAR(E80),MONTH(E80),1))</x:f>
        <x:v>45717</x:v>
      </x:c>
      <x:c r="H80" t="str">
        <x:f>IF(D80="NO",IF(C80="SÍ","FERIADO","FIN DE SEMANA"),"LABORABLE")&amp;IF(F80="SÍ"," + CIERRE","")</x:f>
        <x:v>LABORABLE</x:v>
      </x:c>
      <x:c r="I80" t="str">
        <x:f>TEXT(G80,"yyyy-mm")</x:f>
        <x:v>2025-03</x:v>
      </x:c>
    </x:row>
    <x:row r="81" ht="19" customHeight="1">
      <x:c r="A81" s="2" t="n">
        <x:v>45737</x:v>
      </x:c>
      <x:c r="B81" t="str">
        <x:f>CHOOSE(WEEKDAY(A81,2),"Lunes","Martes","Miércoles","Jueves","Viernes","Sábado","Domingo")</x:f>
        <x:v>Viernes</x:v>
      </x:c>
      <x:c r="C81" t="str">
        <x:f>IF(COUNTIF(FERIADOS!$A$2:$A$250,A81)&gt;0,"SÍ","NO")</x:f>
        <x:v>NO</x:v>
      </x:c>
      <x:c r="D81" t="str">
        <x:f>IF(AND(WEEKDAY(A81,2)&lt;=5,C81="NO"),"SÍ","NO")</x:f>
        <x:v>SÍ</x:v>
      </x:c>
      <x:c r="E81" s="2" t="n">
        <x:f>WORKDAY.INTL(A81-1,1,1,FERIADOS!$A$2:$A$250)</x:f>
        <x:v>45737</x:v>
      </x:c>
      <x:c r="F81" t="str">
        <x:f>IF(E81&gt;=WORKDAY.INTL(EOMONTH(E81,0)+1,-2,1,FERIADOS!$A$2:$A$250),"SÍ","NO")</x:f>
        <x:v>NO</x:v>
      </x:c>
      <x:c r="G81" s="10" t="n">
        <x:f>IF(F81="SÍ",EOMONTH(E81,0)+1,DATE(YEAR(E81),MONTH(E81),1))</x:f>
        <x:v>45717</x:v>
      </x:c>
      <x:c r="H81" t="str">
        <x:f>IF(D81="NO",IF(C81="SÍ","FERIADO","FIN DE SEMANA"),"LABORABLE")&amp;IF(F81="SÍ"," + CIERRE","")</x:f>
        <x:v>LABORABLE</x:v>
      </x:c>
      <x:c r="I81" t="str">
        <x:f>TEXT(G81,"yyyy-mm")</x:f>
        <x:v>2025-03</x:v>
      </x:c>
    </x:row>
    <x:row r="82" ht="19" customHeight="1">
      <x:c r="A82" s="2" t="n">
        <x:v>45738</x:v>
      </x:c>
      <x:c r="B82" t="str">
        <x:f>CHOOSE(WEEKDAY(A82,2),"Lunes","Martes","Miércoles","Jueves","Viernes","Sábado","Domingo")</x:f>
        <x:v>Sábado</x:v>
      </x:c>
      <x:c r="C82" t="str">
        <x:f>IF(COUNTIF(FERIADOS!$A$2:$A$250,A82)&gt;0,"SÍ","NO")</x:f>
        <x:v>NO</x:v>
      </x:c>
      <x:c r="D82" t="str">
        <x:f>IF(AND(WEEKDAY(A82,2)&lt;=5,C82="NO"),"SÍ","NO")</x:f>
        <x:v>NO</x:v>
      </x:c>
      <x:c r="E82" s="2" t="n">
        <x:f>WORKDAY.INTL(A82-1,1,1,FERIADOS!$A$2:$A$250)</x:f>
        <x:v>45740</x:v>
      </x:c>
      <x:c r="F82" t="str">
        <x:f>IF(E82&gt;=WORKDAY.INTL(EOMONTH(E82,0)+1,-2,1,FERIADOS!$A$2:$A$250),"SÍ","NO")</x:f>
        <x:v>NO</x:v>
      </x:c>
      <x:c r="G82" s="10" t="n">
        <x:f>IF(F82="SÍ",EOMONTH(E82,0)+1,DATE(YEAR(E82),MONTH(E82),1))</x:f>
        <x:v>45717</x:v>
      </x:c>
      <x:c r="H82" t="str">
        <x:f>IF(D82="NO",IF(C82="SÍ","FERIADO","FIN DE SEMANA"),"LABORABLE")&amp;IF(F82="SÍ"," + CIERRE","")</x:f>
        <x:v>FIN DE SEMANA</x:v>
      </x:c>
      <x:c r="I82" t="str">
        <x:f>TEXT(G82,"yyyy-mm")</x:f>
        <x:v>2025-03</x:v>
      </x:c>
    </x:row>
    <x:row r="83" ht="19" customHeight="1">
      <x:c r="A83" s="2" t="n">
        <x:v>45739</x:v>
      </x:c>
      <x:c r="B83" t="str">
        <x:f>CHOOSE(WEEKDAY(A83,2),"Lunes","Martes","Miércoles","Jueves","Viernes","Sábado","Domingo")</x:f>
        <x:v>Domingo</x:v>
      </x:c>
      <x:c r="C83" t="str">
        <x:f>IF(COUNTIF(FERIADOS!$A$2:$A$250,A83)&gt;0,"SÍ","NO")</x:f>
        <x:v>NO</x:v>
      </x:c>
      <x:c r="D83" t="str">
        <x:f>IF(AND(WEEKDAY(A83,2)&lt;=5,C83="NO"),"SÍ","NO")</x:f>
        <x:v>NO</x:v>
      </x:c>
      <x:c r="E83" s="2" t="n">
        <x:f>WORKDAY.INTL(A83-1,1,1,FERIADOS!$A$2:$A$250)</x:f>
        <x:v>45740</x:v>
      </x:c>
      <x:c r="F83" t="str">
        <x:f>IF(E83&gt;=WORKDAY.INTL(EOMONTH(E83,0)+1,-2,1,FERIADOS!$A$2:$A$250),"SÍ","NO")</x:f>
        <x:v>NO</x:v>
      </x:c>
      <x:c r="G83" s="10" t="n">
        <x:f>IF(F83="SÍ",EOMONTH(E83,0)+1,DATE(YEAR(E83),MONTH(E83),1))</x:f>
        <x:v>45717</x:v>
      </x:c>
      <x:c r="H83" t="str">
        <x:f>IF(D83="NO",IF(C83="SÍ","FERIADO","FIN DE SEMANA"),"LABORABLE")&amp;IF(F83="SÍ"," + CIERRE","")</x:f>
        <x:v>FIN DE SEMANA</x:v>
      </x:c>
      <x:c r="I83" t="str">
        <x:f>TEXT(G83,"yyyy-mm")</x:f>
        <x:v>2025-03</x:v>
      </x:c>
    </x:row>
    <x:row r="84" ht="19" customHeight="1">
      <x:c r="A84" s="2" t="n">
        <x:v>45740</x:v>
      </x:c>
      <x:c r="B84" t="str">
        <x:f>CHOOSE(WEEKDAY(A84,2),"Lunes","Martes","Miércoles","Jueves","Viernes","Sábado","Domingo")</x:f>
        <x:v>Lunes</x:v>
      </x:c>
      <x:c r="C84" t="str">
        <x:f>IF(COUNTIF(FERIADOS!$A$2:$A$250,A84)&gt;0,"SÍ","NO")</x:f>
        <x:v>NO</x:v>
      </x:c>
      <x:c r="D84" t="str">
        <x:f>IF(AND(WEEKDAY(A84,2)&lt;=5,C84="NO"),"SÍ","NO")</x:f>
        <x:v>SÍ</x:v>
      </x:c>
      <x:c r="E84" s="2" t="n">
        <x:f>WORKDAY.INTL(A84-1,1,1,FERIADOS!$A$2:$A$250)</x:f>
        <x:v>45740</x:v>
      </x:c>
      <x:c r="F84" t="str">
        <x:f>IF(E84&gt;=WORKDAY.INTL(EOMONTH(E84,0)+1,-2,1,FERIADOS!$A$2:$A$250),"SÍ","NO")</x:f>
        <x:v>NO</x:v>
      </x:c>
      <x:c r="G84" s="10" t="n">
        <x:f>IF(F84="SÍ",EOMONTH(E84,0)+1,DATE(YEAR(E84),MONTH(E84),1))</x:f>
        <x:v>45717</x:v>
      </x:c>
      <x:c r="H84" t="str">
        <x:f>IF(D84="NO",IF(C84="SÍ","FERIADO","FIN DE SEMANA"),"LABORABLE")&amp;IF(F84="SÍ"," + CIERRE","")</x:f>
        <x:v>LABORABLE</x:v>
      </x:c>
      <x:c r="I84" t="str">
        <x:f>TEXT(G84,"yyyy-mm")</x:f>
        <x:v>2025-03</x:v>
      </x:c>
    </x:row>
    <x:row r="85" ht="19" customHeight="1">
      <x:c r="A85" s="2" t="n">
        <x:v>45741</x:v>
      </x:c>
      <x:c r="B85" t="str">
        <x:f>CHOOSE(WEEKDAY(A85,2),"Lunes","Martes","Miércoles","Jueves","Viernes","Sábado","Domingo")</x:f>
        <x:v>Martes</x:v>
      </x:c>
      <x:c r="C85" t="str">
        <x:f>IF(COUNTIF(FERIADOS!$A$2:$A$250,A85)&gt;0,"SÍ","NO")</x:f>
        <x:v>NO</x:v>
      </x:c>
      <x:c r="D85" t="str">
        <x:f>IF(AND(WEEKDAY(A85,2)&lt;=5,C85="NO"),"SÍ","NO")</x:f>
        <x:v>SÍ</x:v>
      </x:c>
      <x:c r="E85" s="2" t="n">
        <x:f>WORKDAY.INTL(A85-1,1,1,FERIADOS!$A$2:$A$250)</x:f>
        <x:v>45741</x:v>
      </x:c>
      <x:c r="F85" t="str">
        <x:f>IF(E85&gt;=WORKDAY.INTL(EOMONTH(E85,0)+1,-2,1,FERIADOS!$A$2:$A$250),"SÍ","NO")</x:f>
        <x:v>NO</x:v>
      </x:c>
      <x:c r="G85" s="10" t="n">
        <x:f>IF(F85="SÍ",EOMONTH(E85,0)+1,DATE(YEAR(E85),MONTH(E85),1))</x:f>
        <x:v>45717</x:v>
      </x:c>
      <x:c r="H85" t="str">
        <x:f>IF(D85="NO",IF(C85="SÍ","FERIADO","FIN DE SEMANA"),"LABORABLE")&amp;IF(F85="SÍ"," + CIERRE","")</x:f>
        <x:v>LABORABLE</x:v>
      </x:c>
      <x:c r="I85" t="str">
        <x:f>TEXT(G85,"yyyy-mm")</x:f>
        <x:v>2025-03</x:v>
      </x:c>
    </x:row>
    <x:row r="86" ht="19" customHeight="1">
      <x:c r="A86" s="2" t="n">
        <x:v>45742</x:v>
      </x:c>
      <x:c r="B86" t="str">
        <x:f>CHOOSE(WEEKDAY(A86,2),"Lunes","Martes","Miércoles","Jueves","Viernes","Sábado","Domingo")</x:f>
        <x:v>Miércoles</x:v>
      </x:c>
      <x:c r="C86" t="str">
        <x:f>IF(COUNTIF(FERIADOS!$A$2:$A$250,A86)&gt;0,"SÍ","NO")</x:f>
        <x:v>NO</x:v>
      </x:c>
      <x:c r="D86" t="str">
        <x:f>IF(AND(WEEKDAY(A86,2)&lt;=5,C86="NO"),"SÍ","NO")</x:f>
        <x:v>SÍ</x:v>
      </x:c>
      <x:c r="E86" s="2" t="n">
        <x:f>WORKDAY.INTL(A86-1,1,1,FERIADOS!$A$2:$A$250)</x:f>
        <x:v>45742</x:v>
      </x:c>
      <x:c r="F86" t="str">
        <x:f>IF(E86&gt;=WORKDAY.INTL(EOMONTH(E86,0)+1,-2,1,FERIADOS!$A$2:$A$250),"SÍ","NO")</x:f>
        <x:v>NO</x:v>
      </x:c>
      <x:c r="G86" s="10" t="n">
        <x:f>IF(F86="SÍ",EOMONTH(E86,0)+1,DATE(YEAR(E86),MONTH(E86),1))</x:f>
        <x:v>45717</x:v>
      </x:c>
      <x:c r="H86" t="str">
        <x:f>IF(D86="NO",IF(C86="SÍ","FERIADO","FIN DE SEMANA"),"LABORABLE")&amp;IF(F86="SÍ"," + CIERRE","")</x:f>
        <x:v>LABORABLE</x:v>
      </x:c>
      <x:c r="I86" t="str">
        <x:f>TEXT(G86,"yyyy-mm")</x:f>
        <x:v>2025-03</x:v>
      </x:c>
    </x:row>
    <x:row r="87" ht="19" customHeight="1">
      <x:c r="A87" s="2" t="n">
        <x:v>45743</x:v>
      </x:c>
      <x:c r="B87" t="str">
        <x:f>CHOOSE(WEEKDAY(A87,2),"Lunes","Martes","Miércoles","Jueves","Viernes","Sábado","Domingo")</x:f>
        <x:v>Jueves</x:v>
      </x:c>
      <x:c r="C87" t="str">
        <x:f>IF(COUNTIF(FERIADOS!$A$2:$A$250,A87)&gt;0,"SÍ","NO")</x:f>
        <x:v>NO</x:v>
      </x:c>
      <x:c r="D87" t="str">
        <x:f>IF(AND(WEEKDAY(A87,2)&lt;=5,C87="NO"),"SÍ","NO")</x:f>
        <x:v>SÍ</x:v>
      </x:c>
      <x:c r="E87" s="2" t="n">
        <x:f>WORKDAY.INTL(A87-1,1,1,FERIADOS!$A$2:$A$250)</x:f>
        <x:v>45743</x:v>
      </x:c>
      <x:c r="F87" t="str">
        <x:f>IF(E87&gt;=WORKDAY.INTL(EOMONTH(E87,0)+1,-2,1,FERIADOS!$A$2:$A$250),"SÍ","NO")</x:f>
        <x:v>NO</x:v>
      </x:c>
      <x:c r="G87" s="10" t="n">
        <x:f>IF(F87="SÍ",EOMONTH(E87,0)+1,DATE(YEAR(E87),MONTH(E87),1))</x:f>
        <x:v>45717</x:v>
      </x:c>
      <x:c r="H87" t="str">
        <x:f>IF(D87="NO",IF(C87="SÍ","FERIADO","FIN DE SEMANA"),"LABORABLE")&amp;IF(F87="SÍ"," + CIERRE","")</x:f>
        <x:v>LABORABLE</x:v>
      </x:c>
      <x:c r="I87" t="str">
        <x:f>TEXT(G87,"yyyy-mm")</x:f>
        <x:v>2025-03</x:v>
      </x:c>
    </x:row>
    <x:row r="88" ht="19" customHeight="1">
      <x:c r="A88" s="2" t="n">
        <x:v>45744</x:v>
      </x:c>
      <x:c r="B88" t="str">
        <x:f>CHOOSE(WEEKDAY(A88,2),"Lunes","Martes","Miércoles","Jueves","Viernes","Sábado","Domingo")</x:f>
        <x:v>Viernes</x:v>
      </x:c>
      <x:c r="C88" t="str">
        <x:f>IF(COUNTIF(FERIADOS!$A$2:$A$250,A88)&gt;0,"SÍ","NO")</x:f>
        <x:v>NO</x:v>
      </x:c>
      <x:c r="D88" t="str">
        <x:f>IF(AND(WEEKDAY(A88,2)&lt;=5,C88="NO"),"SÍ","NO")</x:f>
        <x:v>SÍ</x:v>
      </x:c>
      <x:c r="E88" s="2" t="n">
        <x:f>WORKDAY.INTL(A88-1,1,1,FERIADOS!$A$2:$A$250)</x:f>
        <x:v>45744</x:v>
      </x:c>
      <x:c r="F88" t="str">
        <x:f>IF(E88&gt;=WORKDAY.INTL(EOMONTH(E88,0)+1,-2,1,FERIADOS!$A$2:$A$250),"SÍ","NO")</x:f>
        <x:v>SÍ</x:v>
      </x:c>
      <x:c r="G88" s="10" t="n">
        <x:f>IF(F88="SÍ",EOMONTH(E88,0)+1,DATE(YEAR(E88),MONTH(E88),1))</x:f>
        <x:v>45748</x:v>
      </x:c>
      <x:c r="H88" t="str">
        <x:f>IF(D88="NO",IF(C88="SÍ","FERIADO","FIN DE SEMANA"),"LABORABLE")&amp;IF(F88="SÍ"," + CIERRE","")</x:f>
        <x:v>LABORABLE + CIERRE</x:v>
      </x:c>
      <x:c r="I88" t="str">
        <x:f>TEXT(G88,"yyyy-mm")</x:f>
        <x:v>2025-04</x:v>
      </x:c>
    </x:row>
    <x:row r="89" ht="19" customHeight="1">
      <x:c r="A89" s="2" t="n">
        <x:v>45745</x:v>
      </x:c>
      <x:c r="B89" t="str">
        <x:f>CHOOSE(WEEKDAY(A89,2),"Lunes","Martes","Miércoles","Jueves","Viernes","Sábado","Domingo")</x:f>
        <x:v>Sábado</x:v>
      </x:c>
      <x:c r="C89" t="str">
        <x:f>IF(COUNTIF(FERIADOS!$A$2:$A$250,A89)&gt;0,"SÍ","NO")</x:f>
        <x:v>NO</x:v>
      </x:c>
      <x:c r="D89" t="str">
        <x:f>IF(AND(WEEKDAY(A89,2)&lt;=5,C89="NO"),"SÍ","NO")</x:f>
        <x:v>NO</x:v>
      </x:c>
      <x:c r="E89" s="2" t="n">
        <x:f>WORKDAY.INTL(A89-1,1,1,FERIADOS!$A$2:$A$250)</x:f>
        <x:v>45747</x:v>
      </x:c>
      <x:c r="F89" t="str">
        <x:f>IF(E89&gt;=WORKDAY.INTL(EOMONTH(E89,0)+1,-2,1,FERIADOS!$A$2:$A$250),"SÍ","NO")</x:f>
        <x:v>SÍ</x:v>
      </x:c>
      <x:c r="G89" s="10" t="n">
        <x:f>IF(F89="SÍ",EOMONTH(E89,0)+1,DATE(YEAR(E89),MONTH(E89),1))</x:f>
        <x:v>45748</x:v>
      </x:c>
      <x:c r="H89" t="str">
        <x:f>IF(D89="NO",IF(C89="SÍ","FERIADO","FIN DE SEMANA"),"LABORABLE")&amp;IF(F89="SÍ"," + CIERRE","")</x:f>
        <x:v>FIN DE SEMANA + CIERRE</x:v>
      </x:c>
      <x:c r="I89" t="str">
        <x:f>TEXT(G89,"yyyy-mm")</x:f>
        <x:v>2025-04</x:v>
      </x:c>
    </x:row>
    <x:row r="90" ht="19" customHeight="1">
      <x:c r="A90" s="2" t="n">
        <x:v>45746</x:v>
      </x:c>
      <x:c r="B90" t="str">
        <x:f>CHOOSE(WEEKDAY(A90,2),"Lunes","Martes","Miércoles","Jueves","Viernes","Sábado","Domingo")</x:f>
        <x:v>Domingo</x:v>
      </x:c>
      <x:c r="C90" t="str">
        <x:f>IF(COUNTIF(FERIADOS!$A$2:$A$250,A90)&gt;0,"SÍ","NO")</x:f>
        <x:v>NO</x:v>
      </x:c>
      <x:c r="D90" t="str">
        <x:f>IF(AND(WEEKDAY(A90,2)&lt;=5,C90="NO"),"SÍ","NO")</x:f>
        <x:v>NO</x:v>
      </x:c>
      <x:c r="E90" s="2" t="n">
        <x:f>WORKDAY.INTL(A90-1,1,1,FERIADOS!$A$2:$A$250)</x:f>
        <x:v>45747</x:v>
      </x:c>
      <x:c r="F90" t="str">
        <x:f>IF(E90&gt;=WORKDAY.INTL(EOMONTH(E90,0)+1,-2,1,FERIADOS!$A$2:$A$250),"SÍ","NO")</x:f>
        <x:v>SÍ</x:v>
      </x:c>
      <x:c r="G90" s="10" t="n">
        <x:f>IF(F90="SÍ",EOMONTH(E90,0)+1,DATE(YEAR(E90),MONTH(E90),1))</x:f>
        <x:v>45748</x:v>
      </x:c>
      <x:c r="H90" t="str">
        <x:f>IF(D90="NO",IF(C90="SÍ","FERIADO","FIN DE SEMANA"),"LABORABLE")&amp;IF(F90="SÍ"," + CIERRE","")</x:f>
        <x:v>FIN DE SEMANA + CIERRE</x:v>
      </x:c>
      <x:c r="I90" t="str">
        <x:f>TEXT(G90,"yyyy-mm")</x:f>
        <x:v>2025-04</x:v>
      </x:c>
    </x:row>
    <x:row r="91" ht="19" customHeight="1">
      <x:c r="A91" s="2" t="n">
        <x:v>45747</x:v>
      </x:c>
      <x:c r="B91" t="str">
        <x:f>CHOOSE(WEEKDAY(A91,2),"Lunes","Martes","Miércoles","Jueves","Viernes","Sábado","Domingo")</x:f>
        <x:v>Lunes</x:v>
      </x:c>
      <x:c r="C91" t="str">
        <x:f>IF(COUNTIF(FERIADOS!$A$2:$A$250,A91)&gt;0,"SÍ","NO")</x:f>
        <x:v>NO</x:v>
      </x:c>
      <x:c r="D91" t="str">
        <x:f>IF(AND(WEEKDAY(A91,2)&lt;=5,C91="NO"),"SÍ","NO")</x:f>
        <x:v>SÍ</x:v>
      </x:c>
      <x:c r="E91" s="2" t="n">
        <x:f>WORKDAY.INTL(A91-1,1,1,FERIADOS!$A$2:$A$250)</x:f>
        <x:v>45747</x:v>
      </x:c>
      <x:c r="F91" t="str">
        <x:f>IF(E91&gt;=WORKDAY.INTL(EOMONTH(E91,0)+1,-2,1,FERIADOS!$A$2:$A$250),"SÍ","NO")</x:f>
        <x:v>SÍ</x:v>
      </x:c>
      <x:c r="G91" s="10" t="n">
        <x:f>IF(F91="SÍ",EOMONTH(E91,0)+1,DATE(YEAR(E91),MONTH(E91),1))</x:f>
        <x:v>45748</x:v>
      </x:c>
      <x:c r="H91" t="str">
        <x:f>IF(D91="NO",IF(C91="SÍ","FERIADO","FIN DE SEMANA"),"LABORABLE")&amp;IF(F91="SÍ"," + CIERRE","")</x:f>
        <x:v>LABORABLE + CIERRE</x:v>
      </x:c>
      <x:c r="I91" t="str">
        <x:f>TEXT(G91,"yyyy-mm")</x:f>
        <x:v>2025-04</x:v>
      </x:c>
    </x:row>
    <x:row r="92" ht="19" customHeight="1">
      <x:c r="A92" s="2" t="n">
        <x:v>45748</x:v>
      </x:c>
      <x:c r="B92" t="str">
        <x:f>CHOOSE(WEEKDAY(A92,2),"Lunes","Martes","Miércoles","Jueves","Viernes","Sábado","Domingo")</x:f>
        <x:v>Martes</x:v>
      </x:c>
      <x:c r="C92" t="str">
        <x:f>IF(COUNTIF(FERIADOS!$A$2:$A$250,A92)&gt;0,"SÍ","NO")</x:f>
        <x:v>NO</x:v>
      </x:c>
      <x:c r="D92" t="str">
        <x:f>IF(AND(WEEKDAY(A92,2)&lt;=5,C92="NO"),"SÍ","NO")</x:f>
        <x:v>SÍ</x:v>
      </x:c>
      <x:c r="E92" s="2" t="n">
        <x:f>WORKDAY.INTL(A92-1,1,1,FERIADOS!$A$2:$A$250)</x:f>
        <x:v>45748</x:v>
      </x:c>
      <x:c r="F92" t="str">
        <x:f>IF(E92&gt;=WORKDAY.INTL(EOMONTH(E92,0)+1,-2,1,FERIADOS!$A$2:$A$250),"SÍ","NO")</x:f>
        <x:v>NO</x:v>
      </x:c>
      <x:c r="G92" s="10" t="n">
        <x:f>IF(F92="SÍ",EOMONTH(E92,0)+1,DATE(YEAR(E92),MONTH(E92),1))</x:f>
        <x:v>45748</x:v>
      </x:c>
      <x:c r="H92" t="str">
        <x:f>IF(D92="NO",IF(C92="SÍ","FERIADO","FIN DE SEMANA"),"LABORABLE")&amp;IF(F92="SÍ"," + CIERRE","")</x:f>
        <x:v>LABORABLE</x:v>
      </x:c>
      <x:c r="I92" t="str">
        <x:f>TEXT(G92,"yyyy-mm")</x:f>
        <x:v>2025-04</x:v>
      </x:c>
    </x:row>
    <x:row r="93" ht="19" customHeight="1">
      <x:c r="A93" s="2" t="n">
        <x:v>45749</x:v>
      </x:c>
      <x:c r="B93" t="str">
        <x:f>CHOOSE(WEEKDAY(A93,2),"Lunes","Martes","Miércoles","Jueves","Viernes","Sábado","Domingo")</x:f>
        <x:v>Miércoles</x:v>
      </x:c>
      <x:c r="C93" t="str">
        <x:f>IF(COUNTIF(FERIADOS!$A$2:$A$250,A93)&gt;0,"SÍ","NO")</x:f>
        <x:v>NO</x:v>
      </x:c>
      <x:c r="D93" t="str">
        <x:f>IF(AND(WEEKDAY(A93,2)&lt;=5,C93="NO"),"SÍ","NO")</x:f>
        <x:v>SÍ</x:v>
      </x:c>
      <x:c r="E93" s="2" t="n">
        <x:f>WORKDAY.INTL(A93-1,1,1,FERIADOS!$A$2:$A$250)</x:f>
        <x:v>45749</x:v>
      </x:c>
      <x:c r="F93" t="str">
        <x:f>IF(E93&gt;=WORKDAY.INTL(EOMONTH(E93,0)+1,-2,1,FERIADOS!$A$2:$A$250),"SÍ","NO")</x:f>
        <x:v>NO</x:v>
      </x:c>
      <x:c r="G93" s="10" t="n">
        <x:f>IF(F93="SÍ",EOMONTH(E93,0)+1,DATE(YEAR(E93),MONTH(E93),1))</x:f>
        <x:v>45748</x:v>
      </x:c>
      <x:c r="H93" t="str">
        <x:f>IF(D93="NO",IF(C93="SÍ","FERIADO","FIN DE SEMANA"),"LABORABLE")&amp;IF(F93="SÍ"," + CIERRE","")</x:f>
        <x:v>LABORABLE</x:v>
      </x:c>
      <x:c r="I93" t="str">
        <x:f>TEXT(G93,"yyyy-mm")</x:f>
        <x:v>2025-04</x:v>
      </x:c>
    </x:row>
    <x:row r="94" ht="19" customHeight="1">
      <x:c r="A94" s="2" t="n">
        <x:v>45750</x:v>
      </x:c>
      <x:c r="B94" t="str">
        <x:f>CHOOSE(WEEKDAY(A94,2),"Lunes","Martes","Miércoles","Jueves","Viernes","Sábado","Domingo")</x:f>
        <x:v>Jueves</x:v>
      </x:c>
      <x:c r="C94" t="str">
        <x:f>IF(COUNTIF(FERIADOS!$A$2:$A$250,A94)&gt;0,"SÍ","NO")</x:f>
        <x:v>NO</x:v>
      </x:c>
      <x:c r="D94" t="str">
        <x:f>IF(AND(WEEKDAY(A94,2)&lt;=5,C94="NO"),"SÍ","NO")</x:f>
        <x:v>SÍ</x:v>
      </x:c>
      <x:c r="E94" s="2" t="n">
        <x:f>WORKDAY.INTL(A94-1,1,1,FERIADOS!$A$2:$A$250)</x:f>
        <x:v>45750</x:v>
      </x:c>
      <x:c r="F94" t="str">
        <x:f>IF(E94&gt;=WORKDAY.INTL(EOMONTH(E94,0)+1,-2,1,FERIADOS!$A$2:$A$250),"SÍ","NO")</x:f>
        <x:v>NO</x:v>
      </x:c>
      <x:c r="G94" s="10" t="n">
        <x:f>IF(F94="SÍ",EOMONTH(E94,0)+1,DATE(YEAR(E94),MONTH(E94),1))</x:f>
        <x:v>45748</x:v>
      </x:c>
      <x:c r="H94" t="str">
        <x:f>IF(D94="NO",IF(C94="SÍ","FERIADO","FIN DE SEMANA"),"LABORABLE")&amp;IF(F94="SÍ"," + CIERRE","")</x:f>
        <x:v>LABORABLE</x:v>
      </x:c>
      <x:c r="I94" t="str">
        <x:f>TEXT(G94,"yyyy-mm")</x:f>
        <x:v>2025-04</x:v>
      </x:c>
    </x:row>
    <x:row r="95" ht="19" customHeight="1">
      <x:c r="A95" s="2" t="n">
        <x:v>45751</x:v>
      </x:c>
      <x:c r="B95" t="str">
        <x:f>CHOOSE(WEEKDAY(A95,2),"Lunes","Martes","Miércoles","Jueves","Viernes","Sábado","Domingo")</x:f>
        <x:v>Viernes</x:v>
      </x:c>
      <x:c r="C95" t="str">
        <x:f>IF(COUNTIF(FERIADOS!$A$2:$A$250,A95)&gt;0,"SÍ","NO")</x:f>
        <x:v>NO</x:v>
      </x:c>
      <x:c r="D95" t="str">
        <x:f>IF(AND(WEEKDAY(A95,2)&lt;=5,C95="NO"),"SÍ","NO")</x:f>
        <x:v>SÍ</x:v>
      </x:c>
      <x:c r="E95" s="2" t="n">
        <x:f>WORKDAY.INTL(A95-1,1,1,FERIADOS!$A$2:$A$250)</x:f>
        <x:v>45751</x:v>
      </x:c>
      <x:c r="F95" t="str">
        <x:f>IF(E95&gt;=WORKDAY.INTL(EOMONTH(E95,0)+1,-2,1,FERIADOS!$A$2:$A$250),"SÍ","NO")</x:f>
        <x:v>NO</x:v>
      </x:c>
      <x:c r="G95" s="10" t="n">
        <x:f>IF(F95="SÍ",EOMONTH(E95,0)+1,DATE(YEAR(E95),MONTH(E95),1))</x:f>
        <x:v>45748</x:v>
      </x:c>
      <x:c r="H95" t="str">
        <x:f>IF(D95="NO",IF(C95="SÍ","FERIADO","FIN DE SEMANA"),"LABORABLE")&amp;IF(F95="SÍ"," + CIERRE","")</x:f>
        <x:v>LABORABLE</x:v>
      </x:c>
      <x:c r="I95" t="str">
        <x:f>TEXT(G95,"yyyy-mm")</x:f>
        <x:v>2025-04</x:v>
      </x:c>
    </x:row>
    <x:row r="96" ht="19" customHeight="1">
      <x:c r="A96" s="2" t="n">
        <x:v>45752</x:v>
      </x:c>
      <x:c r="B96" t="str">
        <x:f>CHOOSE(WEEKDAY(A96,2),"Lunes","Martes","Miércoles","Jueves","Viernes","Sábado","Domingo")</x:f>
        <x:v>Sábado</x:v>
      </x:c>
      <x:c r="C96" t="str">
        <x:f>IF(COUNTIF(FERIADOS!$A$2:$A$250,A96)&gt;0,"SÍ","NO")</x:f>
        <x:v>NO</x:v>
      </x:c>
      <x:c r="D96" t="str">
        <x:f>IF(AND(WEEKDAY(A96,2)&lt;=5,C96="NO"),"SÍ","NO")</x:f>
        <x:v>NO</x:v>
      </x:c>
      <x:c r="E96" s="2" t="n">
        <x:f>WORKDAY.INTL(A96-1,1,1,FERIADOS!$A$2:$A$250)</x:f>
        <x:v>45754</x:v>
      </x:c>
      <x:c r="F96" t="str">
        <x:f>IF(E96&gt;=WORKDAY.INTL(EOMONTH(E96,0)+1,-2,1,FERIADOS!$A$2:$A$250),"SÍ","NO")</x:f>
        <x:v>NO</x:v>
      </x:c>
      <x:c r="G96" s="10" t="n">
        <x:f>IF(F96="SÍ",EOMONTH(E96,0)+1,DATE(YEAR(E96),MONTH(E96),1))</x:f>
        <x:v>45748</x:v>
      </x:c>
      <x:c r="H96" t="str">
        <x:f>IF(D96="NO",IF(C96="SÍ","FERIADO","FIN DE SEMANA"),"LABORABLE")&amp;IF(F96="SÍ"," + CIERRE","")</x:f>
        <x:v>FIN DE SEMANA</x:v>
      </x:c>
      <x:c r="I96" t="str">
        <x:f>TEXT(G96,"yyyy-mm")</x:f>
        <x:v>2025-04</x:v>
      </x:c>
    </x:row>
    <x:row r="97" ht="19" customHeight="1">
      <x:c r="A97" s="2" t="n">
        <x:v>45753</x:v>
      </x:c>
      <x:c r="B97" t="str">
        <x:f>CHOOSE(WEEKDAY(A97,2),"Lunes","Martes","Miércoles","Jueves","Viernes","Sábado","Domingo")</x:f>
        <x:v>Domingo</x:v>
      </x:c>
      <x:c r="C97" t="str">
        <x:f>IF(COUNTIF(FERIADOS!$A$2:$A$250,A97)&gt;0,"SÍ","NO")</x:f>
        <x:v>NO</x:v>
      </x:c>
      <x:c r="D97" t="str">
        <x:f>IF(AND(WEEKDAY(A97,2)&lt;=5,C97="NO"),"SÍ","NO")</x:f>
        <x:v>NO</x:v>
      </x:c>
      <x:c r="E97" s="2" t="n">
        <x:f>WORKDAY.INTL(A97-1,1,1,FERIADOS!$A$2:$A$250)</x:f>
        <x:v>45754</x:v>
      </x:c>
      <x:c r="F97" t="str">
        <x:f>IF(E97&gt;=WORKDAY.INTL(EOMONTH(E97,0)+1,-2,1,FERIADOS!$A$2:$A$250),"SÍ","NO")</x:f>
        <x:v>NO</x:v>
      </x:c>
      <x:c r="G97" s="10" t="n">
        <x:f>IF(F97="SÍ",EOMONTH(E97,0)+1,DATE(YEAR(E97),MONTH(E97),1))</x:f>
        <x:v>45748</x:v>
      </x:c>
      <x:c r="H97" t="str">
        <x:f>IF(D97="NO",IF(C97="SÍ","FERIADO","FIN DE SEMANA"),"LABORABLE")&amp;IF(F97="SÍ"," + CIERRE","")</x:f>
        <x:v>FIN DE SEMANA</x:v>
      </x:c>
      <x:c r="I97" t="str">
        <x:f>TEXT(G97,"yyyy-mm")</x:f>
        <x:v>2025-04</x:v>
      </x:c>
    </x:row>
    <x:row r="98" ht="19" customHeight="1">
      <x:c r="A98" s="2" t="n">
        <x:v>45754</x:v>
      </x:c>
      <x:c r="B98" t="str">
        <x:f>CHOOSE(WEEKDAY(A98,2),"Lunes","Martes","Miércoles","Jueves","Viernes","Sábado","Domingo")</x:f>
        <x:v>Lunes</x:v>
      </x:c>
      <x:c r="C98" t="str">
        <x:f>IF(COUNTIF(FERIADOS!$A$2:$A$250,A98)&gt;0,"SÍ","NO")</x:f>
        <x:v>NO</x:v>
      </x:c>
      <x:c r="D98" t="str">
        <x:f>IF(AND(WEEKDAY(A98,2)&lt;=5,C98="NO"),"SÍ","NO")</x:f>
        <x:v>SÍ</x:v>
      </x:c>
      <x:c r="E98" s="2" t="n">
        <x:f>WORKDAY.INTL(A98-1,1,1,FERIADOS!$A$2:$A$250)</x:f>
        <x:v>45754</x:v>
      </x:c>
      <x:c r="F98" t="str">
        <x:f>IF(E98&gt;=WORKDAY.INTL(EOMONTH(E98,0)+1,-2,1,FERIADOS!$A$2:$A$250),"SÍ","NO")</x:f>
        <x:v>NO</x:v>
      </x:c>
      <x:c r="G98" s="10" t="n">
        <x:f>IF(F98="SÍ",EOMONTH(E98,0)+1,DATE(YEAR(E98),MONTH(E98),1))</x:f>
        <x:v>45748</x:v>
      </x:c>
      <x:c r="H98" t="str">
        <x:f>IF(D98="NO",IF(C98="SÍ","FERIADO","FIN DE SEMANA"),"LABORABLE")&amp;IF(F98="SÍ"," + CIERRE","")</x:f>
        <x:v>LABORABLE</x:v>
      </x:c>
      <x:c r="I98" t="str">
        <x:f>TEXT(G98,"yyyy-mm")</x:f>
        <x:v>2025-04</x:v>
      </x:c>
    </x:row>
    <x:row r="99" ht="19" customHeight="1">
      <x:c r="A99" s="2" t="n">
        <x:v>45755</x:v>
      </x:c>
      <x:c r="B99" t="str">
        <x:f>CHOOSE(WEEKDAY(A99,2),"Lunes","Martes","Miércoles","Jueves","Viernes","Sábado","Domingo")</x:f>
        <x:v>Martes</x:v>
      </x:c>
      <x:c r="C99" t="str">
        <x:f>IF(COUNTIF(FERIADOS!$A$2:$A$250,A99)&gt;0,"SÍ","NO")</x:f>
        <x:v>NO</x:v>
      </x:c>
      <x:c r="D99" t="str">
        <x:f>IF(AND(WEEKDAY(A99,2)&lt;=5,C99="NO"),"SÍ","NO")</x:f>
        <x:v>SÍ</x:v>
      </x:c>
      <x:c r="E99" s="2" t="n">
        <x:f>WORKDAY.INTL(A99-1,1,1,FERIADOS!$A$2:$A$250)</x:f>
        <x:v>45755</x:v>
      </x:c>
      <x:c r="F99" t="str">
        <x:f>IF(E99&gt;=WORKDAY.INTL(EOMONTH(E99,0)+1,-2,1,FERIADOS!$A$2:$A$250),"SÍ","NO")</x:f>
        <x:v>NO</x:v>
      </x:c>
      <x:c r="G99" s="10" t="n">
        <x:f>IF(F99="SÍ",EOMONTH(E99,0)+1,DATE(YEAR(E99),MONTH(E99),1))</x:f>
        <x:v>45748</x:v>
      </x:c>
      <x:c r="H99" t="str">
        <x:f>IF(D99="NO",IF(C99="SÍ","FERIADO","FIN DE SEMANA"),"LABORABLE")&amp;IF(F99="SÍ"," + CIERRE","")</x:f>
        <x:v>LABORABLE</x:v>
      </x:c>
      <x:c r="I99" t="str">
        <x:f>TEXT(G99,"yyyy-mm")</x:f>
        <x:v>2025-04</x:v>
      </x:c>
    </x:row>
    <x:row r="100" ht="19" customHeight="1">
      <x:c r="A100" s="2" t="n">
        <x:v>45756</x:v>
      </x:c>
      <x:c r="B100" t="str">
        <x:f>CHOOSE(WEEKDAY(A100,2),"Lunes","Martes","Miércoles","Jueves","Viernes","Sábado","Domingo")</x:f>
        <x:v>Miércoles</x:v>
      </x:c>
      <x:c r="C100" t="str">
        <x:f>IF(COUNTIF(FERIADOS!$A$2:$A$250,A100)&gt;0,"SÍ","NO")</x:f>
        <x:v>NO</x:v>
      </x:c>
      <x:c r="D100" t="str">
        <x:f>IF(AND(WEEKDAY(A100,2)&lt;=5,C100="NO"),"SÍ","NO")</x:f>
        <x:v>SÍ</x:v>
      </x:c>
      <x:c r="E100" s="2" t="n">
        <x:f>WORKDAY.INTL(A100-1,1,1,FERIADOS!$A$2:$A$250)</x:f>
        <x:v>45756</x:v>
      </x:c>
      <x:c r="F100" t="str">
        <x:f>IF(E100&gt;=WORKDAY.INTL(EOMONTH(E100,0)+1,-2,1,FERIADOS!$A$2:$A$250),"SÍ","NO")</x:f>
        <x:v>NO</x:v>
      </x:c>
      <x:c r="G100" s="10" t="n">
        <x:f>IF(F100="SÍ",EOMONTH(E100,0)+1,DATE(YEAR(E100),MONTH(E100),1))</x:f>
        <x:v>45748</x:v>
      </x:c>
      <x:c r="H100" t="str">
        <x:f>IF(D100="NO",IF(C100="SÍ","FERIADO","FIN DE SEMANA"),"LABORABLE")&amp;IF(F100="SÍ"," + CIERRE","")</x:f>
        <x:v>LABORABLE</x:v>
      </x:c>
      <x:c r="I100" t="str">
        <x:f>TEXT(G100,"yyyy-mm")</x:f>
        <x:v>2025-04</x:v>
      </x:c>
    </x:row>
    <x:row r="101" ht="19" customHeight="1">
      <x:c r="A101" s="2" t="n">
        <x:v>45757</x:v>
      </x:c>
      <x:c r="B101" t="str">
        <x:f>CHOOSE(WEEKDAY(A101,2),"Lunes","Martes","Miércoles","Jueves","Viernes","Sábado","Domingo")</x:f>
        <x:v>Jueves</x:v>
      </x:c>
      <x:c r="C101" t="str">
        <x:f>IF(COUNTIF(FERIADOS!$A$2:$A$250,A101)&gt;0,"SÍ","NO")</x:f>
        <x:v>NO</x:v>
      </x:c>
      <x:c r="D101" t="str">
        <x:f>IF(AND(WEEKDAY(A101,2)&lt;=5,C101="NO"),"SÍ","NO")</x:f>
        <x:v>SÍ</x:v>
      </x:c>
      <x:c r="E101" s="2" t="n">
        <x:f>WORKDAY.INTL(A101-1,1,1,FERIADOS!$A$2:$A$250)</x:f>
        <x:v>45757</x:v>
      </x:c>
      <x:c r="F101" t="str">
        <x:f>IF(E101&gt;=WORKDAY.INTL(EOMONTH(E101,0)+1,-2,1,FERIADOS!$A$2:$A$250),"SÍ","NO")</x:f>
        <x:v>NO</x:v>
      </x:c>
      <x:c r="G101" s="10" t="n">
        <x:f>IF(F101="SÍ",EOMONTH(E101,0)+1,DATE(YEAR(E101),MONTH(E101),1))</x:f>
        <x:v>45748</x:v>
      </x:c>
      <x:c r="H101" t="str">
        <x:f>IF(D101="NO",IF(C101="SÍ","FERIADO","FIN DE SEMANA"),"LABORABLE")&amp;IF(F101="SÍ"," + CIERRE","")</x:f>
        <x:v>LABORABLE</x:v>
      </x:c>
      <x:c r="I101" t="str">
        <x:f>TEXT(G101,"yyyy-mm")</x:f>
        <x:v>2025-04</x:v>
      </x:c>
    </x:row>
    <x:row r="102" ht="19" customHeight="1">
      <x:c r="A102" s="2" t="n">
        <x:v>45758</x:v>
      </x:c>
      <x:c r="B102" t="str">
        <x:f>CHOOSE(WEEKDAY(A102,2),"Lunes","Martes","Miércoles","Jueves","Viernes","Sábado","Domingo")</x:f>
        <x:v>Viernes</x:v>
      </x:c>
      <x:c r="C102" t="str">
        <x:f>IF(COUNTIF(FERIADOS!$A$2:$A$250,A102)&gt;0,"SÍ","NO")</x:f>
        <x:v>NO</x:v>
      </x:c>
      <x:c r="D102" t="str">
        <x:f>IF(AND(WEEKDAY(A102,2)&lt;=5,C102="NO"),"SÍ","NO")</x:f>
        <x:v>SÍ</x:v>
      </x:c>
      <x:c r="E102" s="2" t="n">
        <x:f>WORKDAY.INTL(A102-1,1,1,FERIADOS!$A$2:$A$250)</x:f>
        <x:v>45758</x:v>
      </x:c>
      <x:c r="F102" t="str">
        <x:f>IF(E102&gt;=WORKDAY.INTL(EOMONTH(E102,0)+1,-2,1,FERIADOS!$A$2:$A$250),"SÍ","NO")</x:f>
        <x:v>NO</x:v>
      </x:c>
      <x:c r="G102" s="10" t="n">
        <x:f>IF(F102="SÍ",EOMONTH(E102,0)+1,DATE(YEAR(E102),MONTH(E102),1))</x:f>
        <x:v>45748</x:v>
      </x:c>
      <x:c r="H102" t="str">
        <x:f>IF(D102="NO",IF(C102="SÍ","FERIADO","FIN DE SEMANA"),"LABORABLE")&amp;IF(F102="SÍ"," + CIERRE","")</x:f>
        <x:v>LABORABLE</x:v>
      </x:c>
      <x:c r="I102" t="str">
        <x:f>TEXT(G102,"yyyy-mm")</x:f>
        <x:v>2025-04</x:v>
      </x:c>
    </x:row>
    <x:row r="103" ht="19" customHeight="1">
      <x:c r="A103" s="2" t="n">
        <x:v>45759</x:v>
      </x:c>
      <x:c r="B103" t="str">
        <x:f>CHOOSE(WEEKDAY(A103,2),"Lunes","Martes","Miércoles","Jueves","Viernes","Sábado","Domingo")</x:f>
        <x:v>Sábado</x:v>
      </x:c>
      <x:c r="C103" t="str">
        <x:f>IF(COUNTIF(FERIADOS!$A$2:$A$250,A103)&gt;0,"SÍ","NO")</x:f>
        <x:v>NO</x:v>
      </x:c>
      <x:c r="D103" t="str">
        <x:f>IF(AND(WEEKDAY(A103,2)&lt;=5,C103="NO"),"SÍ","NO")</x:f>
        <x:v>NO</x:v>
      </x:c>
      <x:c r="E103" s="2" t="n">
        <x:f>WORKDAY.INTL(A103-1,1,1,FERIADOS!$A$2:$A$250)</x:f>
        <x:v>45761</x:v>
      </x:c>
      <x:c r="F103" t="str">
        <x:f>IF(E103&gt;=WORKDAY.INTL(EOMONTH(E103,0)+1,-2,1,FERIADOS!$A$2:$A$250),"SÍ","NO")</x:f>
        <x:v>NO</x:v>
      </x:c>
      <x:c r="G103" s="10" t="n">
        <x:f>IF(F103="SÍ",EOMONTH(E103,0)+1,DATE(YEAR(E103),MONTH(E103),1))</x:f>
        <x:v>45748</x:v>
      </x:c>
      <x:c r="H103" t="str">
        <x:f>IF(D103="NO",IF(C103="SÍ","FERIADO","FIN DE SEMANA"),"LABORABLE")&amp;IF(F103="SÍ"," + CIERRE","")</x:f>
        <x:v>FIN DE SEMANA</x:v>
      </x:c>
      <x:c r="I103" t="str">
        <x:f>TEXT(G103,"yyyy-mm")</x:f>
        <x:v>2025-04</x:v>
      </x:c>
    </x:row>
    <x:row r="104" ht="19" customHeight="1">
      <x:c r="A104" s="2" t="n">
        <x:v>45760</x:v>
      </x:c>
      <x:c r="B104" t="str">
        <x:f>CHOOSE(WEEKDAY(A104,2),"Lunes","Martes","Miércoles","Jueves","Viernes","Sábado","Domingo")</x:f>
        <x:v>Domingo</x:v>
      </x:c>
      <x:c r="C104" t="str">
        <x:f>IF(COUNTIF(FERIADOS!$A$2:$A$250,A104)&gt;0,"SÍ","NO")</x:f>
        <x:v>NO</x:v>
      </x:c>
      <x:c r="D104" t="str">
        <x:f>IF(AND(WEEKDAY(A104,2)&lt;=5,C104="NO"),"SÍ","NO")</x:f>
        <x:v>NO</x:v>
      </x:c>
      <x:c r="E104" s="2" t="n">
        <x:f>WORKDAY.INTL(A104-1,1,1,FERIADOS!$A$2:$A$250)</x:f>
        <x:v>45761</x:v>
      </x:c>
      <x:c r="F104" t="str">
        <x:f>IF(E104&gt;=WORKDAY.INTL(EOMONTH(E104,0)+1,-2,1,FERIADOS!$A$2:$A$250),"SÍ","NO")</x:f>
        <x:v>NO</x:v>
      </x:c>
      <x:c r="G104" s="10" t="n">
        <x:f>IF(F104="SÍ",EOMONTH(E104,0)+1,DATE(YEAR(E104),MONTH(E104),1))</x:f>
        <x:v>45748</x:v>
      </x:c>
      <x:c r="H104" t="str">
        <x:f>IF(D104="NO",IF(C104="SÍ","FERIADO","FIN DE SEMANA"),"LABORABLE")&amp;IF(F104="SÍ"," + CIERRE","")</x:f>
        <x:v>FIN DE SEMANA</x:v>
      </x:c>
      <x:c r="I104" t="str">
        <x:f>TEXT(G104,"yyyy-mm")</x:f>
        <x:v>2025-04</x:v>
      </x:c>
    </x:row>
    <x:row r="105" ht="19" customHeight="1">
      <x:c r="A105" s="2" t="n">
        <x:v>45761</x:v>
      </x:c>
      <x:c r="B105" t="str">
        <x:f>CHOOSE(WEEKDAY(A105,2),"Lunes","Martes","Miércoles","Jueves","Viernes","Sábado","Domingo")</x:f>
        <x:v>Lunes</x:v>
      </x:c>
      <x:c r="C105" t="str">
        <x:f>IF(COUNTIF(FERIADOS!$A$2:$A$250,A105)&gt;0,"SÍ","NO")</x:f>
        <x:v>NO</x:v>
      </x:c>
      <x:c r="D105" t="str">
        <x:f>IF(AND(WEEKDAY(A105,2)&lt;=5,C105="NO"),"SÍ","NO")</x:f>
        <x:v>SÍ</x:v>
      </x:c>
      <x:c r="E105" s="2" t="n">
        <x:f>WORKDAY.INTL(A105-1,1,1,FERIADOS!$A$2:$A$250)</x:f>
        <x:v>45761</x:v>
      </x:c>
      <x:c r="F105" t="str">
        <x:f>IF(E105&gt;=WORKDAY.INTL(EOMONTH(E105,0)+1,-2,1,FERIADOS!$A$2:$A$250),"SÍ","NO")</x:f>
        <x:v>NO</x:v>
      </x:c>
      <x:c r="G105" s="10" t="n">
        <x:f>IF(F105="SÍ",EOMONTH(E105,0)+1,DATE(YEAR(E105),MONTH(E105),1))</x:f>
        <x:v>45748</x:v>
      </x:c>
      <x:c r="H105" t="str">
        <x:f>IF(D105="NO",IF(C105="SÍ","FERIADO","FIN DE SEMANA"),"LABORABLE")&amp;IF(F105="SÍ"," + CIERRE","")</x:f>
        <x:v>LABORABLE</x:v>
      </x:c>
      <x:c r="I105" t="str">
        <x:f>TEXT(G105,"yyyy-mm")</x:f>
        <x:v>2025-04</x:v>
      </x:c>
    </x:row>
    <x:row r="106" ht="19" customHeight="1">
      <x:c r="A106" s="2" t="n">
        <x:v>45762</x:v>
      </x:c>
      <x:c r="B106" t="str">
        <x:f>CHOOSE(WEEKDAY(A106,2),"Lunes","Martes","Miércoles","Jueves","Viernes","Sábado","Domingo")</x:f>
        <x:v>Martes</x:v>
      </x:c>
      <x:c r="C106" t="str">
        <x:f>IF(COUNTIF(FERIADOS!$A$2:$A$250,A106)&gt;0,"SÍ","NO")</x:f>
        <x:v>NO</x:v>
      </x:c>
      <x:c r="D106" t="str">
        <x:f>IF(AND(WEEKDAY(A106,2)&lt;=5,C106="NO"),"SÍ","NO")</x:f>
        <x:v>SÍ</x:v>
      </x:c>
      <x:c r="E106" s="2" t="n">
        <x:f>WORKDAY.INTL(A106-1,1,1,FERIADOS!$A$2:$A$250)</x:f>
        <x:v>45762</x:v>
      </x:c>
      <x:c r="F106" t="str">
        <x:f>IF(E106&gt;=WORKDAY.INTL(EOMONTH(E106,0)+1,-2,1,FERIADOS!$A$2:$A$250),"SÍ","NO")</x:f>
        <x:v>NO</x:v>
      </x:c>
      <x:c r="G106" s="10" t="n">
        <x:f>IF(F106="SÍ",EOMONTH(E106,0)+1,DATE(YEAR(E106),MONTH(E106),1))</x:f>
        <x:v>45748</x:v>
      </x:c>
      <x:c r="H106" t="str">
        <x:f>IF(D106="NO",IF(C106="SÍ","FERIADO","FIN DE SEMANA"),"LABORABLE")&amp;IF(F106="SÍ"," + CIERRE","")</x:f>
        <x:v>LABORABLE</x:v>
      </x:c>
      <x:c r="I106" t="str">
        <x:f>TEXT(G106,"yyyy-mm")</x:f>
        <x:v>2025-04</x:v>
      </x:c>
    </x:row>
    <x:row r="107" ht="19" customHeight="1">
      <x:c r="A107" s="2" t="n">
        <x:v>45763</x:v>
      </x:c>
      <x:c r="B107" t="str">
        <x:f>CHOOSE(WEEKDAY(A107,2),"Lunes","Martes","Miércoles","Jueves","Viernes","Sábado","Domingo")</x:f>
        <x:v>Miércoles</x:v>
      </x:c>
      <x:c r="C107" t="str">
        <x:f>IF(COUNTIF(FERIADOS!$A$2:$A$250,A107)&gt;0,"SÍ","NO")</x:f>
        <x:v>NO</x:v>
      </x:c>
      <x:c r="D107" t="str">
        <x:f>IF(AND(WEEKDAY(A107,2)&lt;=5,C107="NO"),"SÍ","NO")</x:f>
        <x:v>SÍ</x:v>
      </x:c>
      <x:c r="E107" s="2" t="n">
        <x:f>WORKDAY.INTL(A107-1,1,1,FERIADOS!$A$2:$A$250)</x:f>
        <x:v>45763</x:v>
      </x:c>
      <x:c r="F107" t="str">
        <x:f>IF(E107&gt;=WORKDAY.INTL(EOMONTH(E107,0)+1,-2,1,FERIADOS!$A$2:$A$250),"SÍ","NO")</x:f>
        <x:v>NO</x:v>
      </x:c>
      <x:c r="G107" s="10" t="n">
        <x:f>IF(F107="SÍ",EOMONTH(E107,0)+1,DATE(YEAR(E107),MONTH(E107),1))</x:f>
        <x:v>45748</x:v>
      </x:c>
      <x:c r="H107" t="str">
        <x:f>IF(D107="NO",IF(C107="SÍ","FERIADO","FIN DE SEMANA"),"LABORABLE")&amp;IF(F107="SÍ"," + CIERRE","")</x:f>
        <x:v>LABORABLE</x:v>
      </x:c>
      <x:c r="I107" t="str">
        <x:f>TEXT(G107,"yyyy-mm")</x:f>
        <x:v>2025-04</x:v>
      </x:c>
    </x:row>
    <x:row r="108" ht="19" customHeight="1">
      <x:c r="A108" s="2" t="n">
        <x:v>45764</x:v>
      </x:c>
      <x:c r="B108" t="str">
        <x:f>CHOOSE(WEEKDAY(A108,2),"Lunes","Martes","Miércoles","Jueves","Viernes","Sábado","Domingo")</x:f>
        <x:v>Jueves</x:v>
      </x:c>
      <x:c r="C108" t="str">
        <x:f>IF(COUNTIF(FERIADOS!$A$2:$A$250,A108)&gt;0,"SÍ","NO")</x:f>
        <x:v>SÍ</x:v>
      </x:c>
      <x:c r="D108" t="str">
        <x:f>IF(AND(WEEKDAY(A108,2)&lt;=5,C108="NO"),"SÍ","NO")</x:f>
        <x:v>NO</x:v>
      </x:c>
      <x:c r="E108" s="2" t="n">
        <x:f>WORKDAY.INTL(A108-1,1,1,FERIADOS!$A$2:$A$250)</x:f>
        <x:v>45768</x:v>
      </x:c>
      <x:c r="F108" t="str">
        <x:f>IF(E108&gt;=WORKDAY.INTL(EOMONTH(E108,0)+1,-2,1,FERIADOS!$A$2:$A$250),"SÍ","NO")</x:f>
        <x:v>NO</x:v>
      </x:c>
      <x:c r="G108" s="10" t="n">
        <x:f>IF(F108="SÍ",EOMONTH(E108,0)+1,DATE(YEAR(E108),MONTH(E108),1))</x:f>
        <x:v>45748</x:v>
      </x:c>
      <x:c r="H108" t="str">
        <x:f>IF(D108="NO",IF(C108="SÍ","FERIADO","FIN DE SEMANA"),"LABORABLE")&amp;IF(F108="SÍ"," + CIERRE","")</x:f>
        <x:v>FERIADO</x:v>
      </x:c>
      <x:c r="I108" t="str">
        <x:f>TEXT(G108,"yyyy-mm")</x:f>
        <x:v>2025-04</x:v>
      </x:c>
    </x:row>
    <x:row r="109" ht="19" customHeight="1">
      <x:c r="A109" s="2" t="n">
        <x:v>45765</x:v>
      </x:c>
      <x:c r="B109" t="str">
        <x:f>CHOOSE(WEEKDAY(A109,2),"Lunes","Martes","Miércoles","Jueves","Viernes","Sábado","Domingo")</x:f>
        <x:v>Viernes</x:v>
      </x:c>
      <x:c r="C109" t="str">
        <x:f>IF(COUNTIF(FERIADOS!$A$2:$A$250,A109)&gt;0,"SÍ","NO")</x:f>
        <x:v>SÍ</x:v>
      </x:c>
      <x:c r="D109" t="str">
        <x:f>IF(AND(WEEKDAY(A109,2)&lt;=5,C109="NO"),"SÍ","NO")</x:f>
        <x:v>NO</x:v>
      </x:c>
      <x:c r="E109" s="2" t="n">
        <x:f>WORKDAY.INTL(A109-1,1,1,FERIADOS!$A$2:$A$250)</x:f>
        <x:v>45768</x:v>
      </x:c>
      <x:c r="F109" t="str">
        <x:f>IF(E109&gt;=WORKDAY.INTL(EOMONTH(E109,0)+1,-2,1,FERIADOS!$A$2:$A$250),"SÍ","NO")</x:f>
        <x:v>NO</x:v>
      </x:c>
      <x:c r="G109" s="10" t="n">
        <x:f>IF(F109="SÍ",EOMONTH(E109,0)+1,DATE(YEAR(E109),MONTH(E109),1))</x:f>
        <x:v>45748</x:v>
      </x:c>
      <x:c r="H109" t="str">
        <x:f>IF(D109="NO",IF(C109="SÍ","FERIADO","FIN DE SEMANA"),"LABORABLE")&amp;IF(F109="SÍ"," + CIERRE","")</x:f>
        <x:v>FERIADO</x:v>
      </x:c>
      <x:c r="I109" t="str">
        <x:f>TEXT(G109,"yyyy-mm")</x:f>
        <x:v>2025-04</x:v>
      </x:c>
    </x:row>
    <x:row r="110" ht="19" customHeight="1">
      <x:c r="A110" s="2" t="n">
        <x:v>45766</x:v>
      </x:c>
      <x:c r="B110" t="str">
        <x:f>CHOOSE(WEEKDAY(A110,2),"Lunes","Martes","Miércoles","Jueves","Viernes","Sábado","Domingo")</x:f>
        <x:v>Sábado</x:v>
      </x:c>
      <x:c r="C110" t="str">
        <x:f>IF(COUNTIF(FERIADOS!$A$2:$A$250,A110)&gt;0,"SÍ","NO")</x:f>
        <x:v>NO</x:v>
      </x:c>
      <x:c r="D110" t="str">
        <x:f>IF(AND(WEEKDAY(A110,2)&lt;=5,C110="NO"),"SÍ","NO")</x:f>
        <x:v>NO</x:v>
      </x:c>
      <x:c r="E110" s="2" t="n">
        <x:f>WORKDAY.INTL(A110-1,1,1,FERIADOS!$A$2:$A$250)</x:f>
        <x:v>45768</x:v>
      </x:c>
      <x:c r="F110" t="str">
        <x:f>IF(E110&gt;=WORKDAY.INTL(EOMONTH(E110,0)+1,-2,1,FERIADOS!$A$2:$A$250),"SÍ","NO")</x:f>
        <x:v>NO</x:v>
      </x:c>
      <x:c r="G110" s="10" t="n">
        <x:f>IF(F110="SÍ",EOMONTH(E110,0)+1,DATE(YEAR(E110),MONTH(E110),1))</x:f>
        <x:v>45748</x:v>
      </x:c>
      <x:c r="H110" t="str">
        <x:f>IF(D110="NO",IF(C110="SÍ","FERIADO","FIN DE SEMANA"),"LABORABLE")&amp;IF(F110="SÍ"," + CIERRE","")</x:f>
        <x:v>FIN DE SEMANA</x:v>
      </x:c>
      <x:c r="I110" t="str">
        <x:f>TEXT(G110,"yyyy-mm")</x:f>
        <x:v>2025-04</x:v>
      </x:c>
    </x:row>
    <x:row r="111" ht="19" customHeight="1">
      <x:c r="A111" s="2" t="n">
        <x:v>45767</x:v>
      </x:c>
      <x:c r="B111" t="str">
        <x:f>CHOOSE(WEEKDAY(A111,2),"Lunes","Martes","Miércoles","Jueves","Viernes","Sábado","Domingo")</x:f>
        <x:v>Domingo</x:v>
      </x:c>
      <x:c r="C111" t="str">
        <x:f>IF(COUNTIF(FERIADOS!$A$2:$A$250,A111)&gt;0,"SÍ","NO")</x:f>
        <x:v>NO</x:v>
      </x:c>
      <x:c r="D111" t="str">
        <x:f>IF(AND(WEEKDAY(A111,2)&lt;=5,C111="NO"),"SÍ","NO")</x:f>
        <x:v>NO</x:v>
      </x:c>
      <x:c r="E111" s="2" t="n">
        <x:f>WORKDAY.INTL(A111-1,1,1,FERIADOS!$A$2:$A$250)</x:f>
        <x:v>45768</x:v>
      </x:c>
      <x:c r="F111" t="str">
        <x:f>IF(E111&gt;=WORKDAY.INTL(EOMONTH(E111,0)+1,-2,1,FERIADOS!$A$2:$A$250),"SÍ","NO")</x:f>
        <x:v>NO</x:v>
      </x:c>
      <x:c r="G111" s="10" t="n">
        <x:f>IF(F111="SÍ",EOMONTH(E111,0)+1,DATE(YEAR(E111),MONTH(E111),1))</x:f>
        <x:v>45748</x:v>
      </x:c>
      <x:c r="H111" t="str">
        <x:f>IF(D111="NO",IF(C111="SÍ","FERIADO","FIN DE SEMANA"),"LABORABLE")&amp;IF(F111="SÍ"," + CIERRE","")</x:f>
        <x:v>FIN DE SEMANA</x:v>
      </x:c>
      <x:c r="I111" t="str">
        <x:f>TEXT(G111,"yyyy-mm")</x:f>
        <x:v>2025-04</x:v>
      </x:c>
    </x:row>
    <x:row r="112" ht="19" customHeight="1">
      <x:c r="A112" s="2" t="n">
        <x:v>45768</x:v>
      </x:c>
      <x:c r="B112" t="str">
        <x:f>CHOOSE(WEEKDAY(A112,2),"Lunes","Martes","Miércoles","Jueves","Viernes","Sábado","Domingo")</x:f>
        <x:v>Lunes</x:v>
      </x:c>
      <x:c r="C112" t="str">
        <x:f>IF(COUNTIF(FERIADOS!$A$2:$A$250,A112)&gt;0,"SÍ","NO")</x:f>
        <x:v>NO</x:v>
      </x:c>
      <x:c r="D112" t="str">
        <x:f>IF(AND(WEEKDAY(A112,2)&lt;=5,C112="NO"),"SÍ","NO")</x:f>
        <x:v>SÍ</x:v>
      </x:c>
      <x:c r="E112" s="2" t="n">
        <x:f>WORKDAY.INTL(A112-1,1,1,FERIADOS!$A$2:$A$250)</x:f>
        <x:v>45768</x:v>
      </x:c>
      <x:c r="F112" t="str">
        <x:f>IF(E112&gt;=WORKDAY.INTL(EOMONTH(E112,0)+1,-2,1,FERIADOS!$A$2:$A$250),"SÍ","NO")</x:f>
        <x:v>NO</x:v>
      </x:c>
      <x:c r="G112" s="10" t="n">
        <x:f>IF(F112="SÍ",EOMONTH(E112,0)+1,DATE(YEAR(E112),MONTH(E112),1))</x:f>
        <x:v>45748</x:v>
      </x:c>
      <x:c r="H112" t="str">
        <x:f>IF(D112="NO",IF(C112="SÍ","FERIADO","FIN DE SEMANA"),"LABORABLE")&amp;IF(F112="SÍ"," + CIERRE","")</x:f>
        <x:v>LABORABLE</x:v>
      </x:c>
      <x:c r="I112" t="str">
        <x:f>TEXT(G112,"yyyy-mm")</x:f>
        <x:v>2025-04</x:v>
      </x:c>
    </x:row>
    <x:row r="113" ht="19" customHeight="1">
      <x:c r="A113" s="2" t="n">
        <x:v>45769</x:v>
      </x:c>
      <x:c r="B113" t="str">
        <x:f>CHOOSE(WEEKDAY(A113,2),"Lunes","Martes","Miércoles","Jueves","Viernes","Sábado","Domingo")</x:f>
        <x:v>Martes</x:v>
      </x:c>
      <x:c r="C113" t="str">
        <x:f>IF(COUNTIF(FERIADOS!$A$2:$A$250,A113)&gt;0,"SÍ","NO")</x:f>
        <x:v>NO</x:v>
      </x:c>
      <x:c r="D113" t="str">
        <x:f>IF(AND(WEEKDAY(A113,2)&lt;=5,C113="NO"),"SÍ","NO")</x:f>
        <x:v>SÍ</x:v>
      </x:c>
      <x:c r="E113" s="2" t="n">
        <x:f>WORKDAY.INTL(A113-1,1,1,FERIADOS!$A$2:$A$250)</x:f>
        <x:v>45769</x:v>
      </x:c>
      <x:c r="F113" t="str">
        <x:f>IF(E113&gt;=WORKDAY.INTL(EOMONTH(E113,0)+1,-2,1,FERIADOS!$A$2:$A$250),"SÍ","NO")</x:f>
        <x:v>NO</x:v>
      </x:c>
      <x:c r="G113" s="10" t="n">
        <x:f>IF(F113="SÍ",EOMONTH(E113,0)+1,DATE(YEAR(E113),MONTH(E113),1))</x:f>
        <x:v>45748</x:v>
      </x:c>
      <x:c r="H113" t="str">
        <x:f>IF(D113="NO",IF(C113="SÍ","FERIADO","FIN DE SEMANA"),"LABORABLE")&amp;IF(F113="SÍ"," + CIERRE","")</x:f>
        <x:v>LABORABLE</x:v>
      </x:c>
      <x:c r="I113" t="str">
        <x:f>TEXT(G113,"yyyy-mm")</x:f>
        <x:v>2025-04</x:v>
      </x:c>
    </x:row>
    <x:row r="114" ht="19" customHeight="1">
      <x:c r="A114" s="2" t="n">
        <x:v>45770</x:v>
      </x:c>
      <x:c r="B114" t="str">
        <x:f>CHOOSE(WEEKDAY(A114,2),"Lunes","Martes","Miércoles","Jueves","Viernes","Sábado","Domingo")</x:f>
        <x:v>Miércoles</x:v>
      </x:c>
      <x:c r="C114" t="str">
        <x:f>IF(COUNTIF(FERIADOS!$A$2:$A$250,A114)&gt;0,"SÍ","NO")</x:f>
        <x:v>NO</x:v>
      </x:c>
      <x:c r="D114" t="str">
        <x:f>IF(AND(WEEKDAY(A114,2)&lt;=5,C114="NO"),"SÍ","NO")</x:f>
        <x:v>SÍ</x:v>
      </x:c>
      <x:c r="E114" s="2" t="n">
        <x:f>WORKDAY.INTL(A114-1,1,1,FERIADOS!$A$2:$A$250)</x:f>
        <x:v>45770</x:v>
      </x:c>
      <x:c r="F114" t="str">
        <x:f>IF(E114&gt;=WORKDAY.INTL(EOMONTH(E114,0)+1,-2,1,FERIADOS!$A$2:$A$250),"SÍ","NO")</x:f>
        <x:v>NO</x:v>
      </x:c>
      <x:c r="G114" s="10" t="n">
        <x:f>IF(F114="SÍ",EOMONTH(E114,0)+1,DATE(YEAR(E114),MONTH(E114),1))</x:f>
        <x:v>45748</x:v>
      </x:c>
      <x:c r="H114" t="str">
        <x:f>IF(D114="NO",IF(C114="SÍ","FERIADO","FIN DE SEMANA"),"LABORABLE")&amp;IF(F114="SÍ"," + CIERRE","")</x:f>
        <x:v>LABORABLE</x:v>
      </x:c>
      <x:c r="I114" t="str">
        <x:f>TEXT(G114,"yyyy-mm")</x:f>
        <x:v>2025-04</x:v>
      </x:c>
    </x:row>
    <x:row r="115" ht="19" customHeight="1">
      <x:c r="A115" s="2" t="n">
        <x:v>45771</x:v>
      </x:c>
      <x:c r="B115" t="str">
        <x:f>CHOOSE(WEEKDAY(A115,2),"Lunes","Martes","Miércoles","Jueves","Viernes","Sábado","Domingo")</x:f>
        <x:v>Jueves</x:v>
      </x:c>
      <x:c r="C115" t="str">
        <x:f>IF(COUNTIF(FERIADOS!$A$2:$A$250,A115)&gt;0,"SÍ","NO")</x:f>
        <x:v>NO</x:v>
      </x:c>
      <x:c r="D115" t="str">
        <x:f>IF(AND(WEEKDAY(A115,2)&lt;=5,C115="NO"),"SÍ","NO")</x:f>
        <x:v>SÍ</x:v>
      </x:c>
      <x:c r="E115" s="2" t="n">
        <x:f>WORKDAY.INTL(A115-1,1,1,FERIADOS!$A$2:$A$250)</x:f>
        <x:v>45771</x:v>
      </x:c>
      <x:c r="F115" t="str">
        <x:f>IF(E115&gt;=WORKDAY.INTL(EOMONTH(E115,0)+1,-2,1,FERIADOS!$A$2:$A$250),"SÍ","NO")</x:f>
        <x:v>NO</x:v>
      </x:c>
      <x:c r="G115" s="10" t="n">
        <x:f>IF(F115="SÍ",EOMONTH(E115,0)+1,DATE(YEAR(E115),MONTH(E115),1))</x:f>
        <x:v>45748</x:v>
      </x:c>
      <x:c r="H115" t="str">
        <x:f>IF(D115="NO",IF(C115="SÍ","FERIADO","FIN DE SEMANA"),"LABORABLE")&amp;IF(F115="SÍ"," + CIERRE","")</x:f>
        <x:v>LABORABLE</x:v>
      </x:c>
      <x:c r="I115" t="str">
        <x:f>TEXT(G115,"yyyy-mm")</x:f>
        <x:v>2025-04</x:v>
      </x:c>
    </x:row>
    <x:row r="116" ht="19" customHeight="1">
      <x:c r="A116" s="2" t="n">
        <x:v>45772</x:v>
      </x:c>
      <x:c r="B116" t="str">
        <x:f>CHOOSE(WEEKDAY(A116,2),"Lunes","Martes","Miércoles","Jueves","Viernes","Sábado","Domingo")</x:f>
        <x:v>Viernes</x:v>
      </x:c>
      <x:c r="C116" t="str">
        <x:f>IF(COUNTIF(FERIADOS!$A$2:$A$250,A116)&gt;0,"SÍ","NO")</x:f>
        <x:v>NO</x:v>
      </x:c>
      <x:c r="D116" t="str">
        <x:f>IF(AND(WEEKDAY(A116,2)&lt;=5,C116="NO"),"SÍ","NO")</x:f>
        <x:v>SÍ</x:v>
      </x:c>
      <x:c r="E116" s="2" t="n">
        <x:f>WORKDAY.INTL(A116-1,1,1,FERIADOS!$A$2:$A$250)</x:f>
        <x:v>45772</x:v>
      </x:c>
      <x:c r="F116" t="str">
        <x:f>IF(E116&gt;=WORKDAY.INTL(EOMONTH(E116,0)+1,-2,1,FERIADOS!$A$2:$A$250),"SÍ","NO")</x:f>
        <x:v>NO</x:v>
      </x:c>
      <x:c r="G116" s="10" t="n">
        <x:f>IF(F116="SÍ",EOMONTH(E116,0)+1,DATE(YEAR(E116),MONTH(E116),1))</x:f>
        <x:v>45748</x:v>
      </x:c>
      <x:c r="H116" t="str">
        <x:f>IF(D116="NO",IF(C116="SÍ","FERIADO","FIN DE SEMANA"),"LABORABLE")&amp;IF(F116="SÍ"," + CIERRE","")</x:f>
        <x:v>LABORABLE</x:v>
      </x:c>
      <x:c r="I116" t="str">
        <x:f>TEXT(G116,"yyyy-mm")</x:f>
        <x:v>2025-04</x:v>
      </x:c>
    </x:row>
    <x:row r="117" ht="19" customHeight="1">
      <x:c r="A117" s="2" t="n">
        <x:v>45773</x:v>
      </x:c>
      <x:c r="B117" t="str">
        <x:f>CHOOSE(WEEKDAY(A117,2),"Lunes","Martes","Miércoles","Jueves","Viernes","Sábado","Domingo")</x:f>
        <x:v>Sábado</x:v>
      </x:c>
      <x:c r="C117" t="str">
        <x:f>IF(COUNTIF(FERIADOS!$A$2:$A$250,A117)&gt;0,"SÍ","NO")</x:f>
        <x:v>NO</x:v>
      </x:c>
      <x:c r="D117" t="str">
        <x:f>IF(AND(WEEKDAY(A117,2)&lt;=5,C117="NO"),"SÍ","NO")</x:f>
        <x:v>NO</x:v>
      </x:c>
      <x:c r="E117" s="2" t="n">
        <x:f>WORKDAY.INTL(A117-1,1,1,FERIADOS!$A$2:$A$250)</x:f>
        <x:v>45775</x:v>
      </x:c>
      <x:c r="F117" t="str">
        <x:f>IF(E117&gt;=WORKDAY.INTL(EOMONTH(E117,0)+1,-2,1,FERIADOS!$A$2:$A$250),"SÍ","NO")</x:f>
        <x:v>NO</x:v>
      </x:c>
      <x:c r="G117" s="10" t="n">
        <x:f>IF(F117="SÍ",EOMONTH(E117,0)+1,DATE(YEAR(E117),MONTH(E117),1))</x:f>
        <x:v>45748</x:v>
      </x:c>
      <x:c r="H117" t="str">
        <x:f>IF(D117="NO",IF(C117="SÍ","FERIADO","FIN DE SEMANA"),"LABORABLE")&amp;IF(F117="SÍ"," + CIERRE","")</x:f>
        <x:v>FIN DE SEMANA</x:v>
      </x:c>
      <x:c r="I117" t="str">
        <x:f>TEXT(G117,"yyyy-mm")</x:f>
        <x:v>2025-04</x:v>
      </x:c>
    </x:row>
    <x:row r="118" ht="19" customHeight="1">
      <x:c r="A118" s="2" t="n">
        <x:v>45774</x:v>
      </x:c>
      <x:c r="B118" t="str">
        <x:f>CHOOSE(WEEKDAY(A118,2),"Lunes","Martes","Miércoles","Jueves","Viernes","Sábado","Domingo")</x:f>
        <x:v>Domingo</x:v>
      </x:c>
      <x:c r="C118" t="str">
        <x:f>IF(COUNTIF(FERIADOS!$A$2:$A$250,A118)&gt;0,"SÍ","NO")</x:f>
        <x:v>NO</x:v>
      </x:c>
      <x:c r="D118" t="str">
        <x:f>IF(AND(WEEKDAY(A118,2)&lt;=5,C118="NO"),"SÍ","NO")</x:f>
        <x:v>NO</x:v>
      </x:c>
      <x:c r="E118" s="2" t="n">
        <x:f>WORKDAY.INTL(A118-1,1,1,FERIADOS!$A$2:$A$250)</x:f>
        <x:v>45775</x:v>
      </x:c>
      <x:c r="F118" t="str">
        <x:f>IF(E118&gt;=WORKDAY.INTL(EOMONTH(E118,0)+1,-2,1,FERIADOS!$A$2:$A$250),"SÍ","NO")</x:f>
        <x:v>NO</x:v>
      </x:c>
      <x:c r="G118" s="10" t="n">
        <x:f>IF(F118="SÍ",EOMONTH(E118,0)+1,DATE(YEAR(E118),MONTH(E118),1))</x:f>
        <x:v>45748</x:v>
      </x:c>
      <x:c r="H118" t="str">
        <x:f>IF(D118="NO",IF(C118="SÍ","FERIADO","FIN DE SEMANA"),"LABORABLE")&amp;IF(F118="SÍ"," + CIERRE","")</x:f>
        <x:v>FIN DE SEMANA</x:v>
      </x:c>
      <x:c r="I118" t="str">
        <x:f>TEXT(G118,"yyyy-mm")</x:f>
        <x:v>2025-04</x:v>
      </x:c>
    </x:row>
    <x:row r="119" ht="19" customHeight="1">
      <x:c r="A119" s="2" t="n">
        <x:v>45775</x:v>
      </x:c>
      <x:c r="B119" t="str">
        <x:f>CHOOSE(WEEKDAY(A119,2),"Lunes","Martes","Miércoles","Jueves","Viernes","Sábado","Domingo")</x:f>
        <x:v>Lunes</x:v>
      </x:c>
      <x:c r="C119" t="str">
        <x:f>IF(COUNTIF(FERIADOS!$A$2:$A$250,A119)&gt;0,"SÍ","NO")</x:f>
        <x:v>NO</x:v>
      </x:c>
      <x:c r="D119" t="str">
        <x:f>IF(AND(WEEKDAY(A119,2)&lt;=5,C119="NO"),"SÍ","NO")</x:f>
        <x:v>SÍ</x:v>
      </x:c>
      <x:c r="E119" s="2" t="n">
        <x:f>WORKDAY.INTL(A119-1,1,1,FERIADOS!$A$2:$A$250)</x:f>
        <x:v>45775</x:v>
      </x:c>
      <x:c r="F119" t="str">
        <x:f>IF(E119&gt;=WORKDAY.INTL(EOMONTH(E119,0)+1,-2,1,FERIADOS!$A$2:$A$250),"SÍ","NO")</x:f>
        <x:v>NO</x:v>
      </x:c>
      <x:c r="G119" s="10" t="n">
        <x:f>IF(F119="SÍ",EOMONTH(E119,0)+1,DATE(YEAR(E119),MONTH(E119),1))</x:f>
        <x:v>45748</x:v>
      </x:c>
      <x:c r="H119" t="str">
        <x:f>IF(D119="NO",IF(C119="SÍ","FERIADO","FIN DE SEMANA"),"LABORABLE")&amp;IF(F119="SÍ"," + CIERRE","")</x:f>
        <x:v>LABORABLE</x:v>
      </x:c>
      <x:c r="I119" t="str">
        <x:f>TEXT(G119,"yyyy-mm")</x:f>
        <x:v>2025-04</x:v>
      </x:c>
    </x:row>
    <x:row r="120" ht="19" customHeight="1">
      <x:c r="A120" s="2" t="n">
        <x:v>45776</x:v>
      </x:c>
      <x:c r="B120" t="str">
        <x:f>CHOOSE(WEEKDAY(A120,2),"Lunes","Martes","Miércoles","Jueves","Viernes","Sábado","Domingo")</x:f>
        <x:v>Martes</x:v>
      </x:c>
      <x:c r="C120" t="str">
        <x:f>IF(COUNTIF(FERIADOS!$A$2:$A$250,A120)&gt;0,"SÍ","NO")</x:f>
        <x:v>NO</x:v>
      </x:c>
      <x:c r="D120" t="str">
        <x:f>IF(AND(WEEKDAY(A120,2)&lt;=5,C120="NO"),"SÍ","NO")</x:f>
        <x:v>SÍ</x:v>
      </x:c>
      <x:c r="E120" s="2" t="n">
        <x:f>WORKDAY.INTL(A120-1,1,1,FERIADOS!$A$2:$A$250)</x:f>
        <x:v>45776</x:v>
      </x:c>
      <x:c r="F120" t="str">
        <x:f>IF(E120&gt;=WORKDAY.INTL(EOMONTH(E120,0)+1,-2,1,FERIADOS!$A$2:$A$250),"SÍ","NO")</x:f>
        <x:v>SÍ</x:v>
      </x:c>
      <x:c r="G120" s="10" t="n">
        <x:f>IF(F120="SÍ",EOMONTH(E120,0)+1,DATE(YEAR(E120),MONTH(E120),1))</x:f>
        <x:v>45778</x:v>
      </x:c>
      <x:c r="H120" t="str">
        <x:f>IF(D120="NO",IF(C120="SÍ","FERIADO","FIN DE SEMANA"),"LABORABLE")&amp;IF(F120="SÍ"," + CIERRE","")</x:f>
        <x:v>LABORABLE + CIERRE</x:v>
      </x:c>
      <x:c r="I120" t="str">
        <x:f>TEXT(G120,"yyyy-mm")</x:f>
        <x:v>2025-05</x:v>
      </x:c>
    </x:row>
    <x:row r="121" ht="19" customHeight="1">
      <x:c r="A121" s="2" t="n">
        <x:v>45777</x:v>
      </x:c>
      <x:c r="B121" t="str">
        <x:f>CHOOSE(WEEKDAY(A121,2),"Lunes","Martes","Miércoles","Jueves","Viernes","Sábado","Domingo")</x:f>
        <x:v>Miércoles</x:v>
      </x:c>
      <x:c r="C121" t="str">
        <x:f>IF(COUNTIF(FERIADOS!$A$2:$A$250,A121)&gt;0,"SÍ","NO")</x:f>
        <x:v>NO</x:v>
      </x:c>
      <x:c r="D121" t="str">
        <x:f>IF(AND(WEEKDAY(A121,2)&lt;=5,C121="NO"),"SÍ","NO")</x:f>
        <x:v>SÍ</x:v>
      </x:c>
      <x:c r="E121" s="2" t="n">
        <x:f>WORKDAY.INTL(A121-1,1,1,FERIADOS!$A$2:$A$250)</x:f>
        <x:v>45777</x:v>
      </x:c>
      <x:c r="F121" t="str">
        <x:f>IF(E121&gt;=WORKDAY.INTL(EOMONTH(E121,0)+1,-2,1,FERIADOS!$A$2:$A$250),"SÍ","NO")</x:f>
        <x:v>SÍ</x:v>
      </x:c>
      <x:c r="G121" s="10" t="n">
        <x:f>IF(F121="SÍ",EOMONTH(E121,0)+1,DATE(YEAR(E121),MONTH(E121),1))</x:f>
        <x:v>45778</x:v>
      </x:c>
      <x:c r="H121" t="str">
        <x:f>IF(D121="NO",IF(C121="SÍ","FERIADO","FIN DE SEMANA"),"LABORABLE")&amp;IF(F121="SÍ"," + CIERRE","")</x:f>
        <x:v>LABORABLE + CIERRE</x:v>
      </x:c>
      <x:c r="I121" t="str">
        <x:f>TEXT(G121,"yyyy-mm")</x:f>
        <x:v>2025-05</x:v>
      </x:c>
    </x:row>
    <x:row r="122" ht="19" customHeight="1">
      <x:c r="A122" s="2" t="n">
        <x:v>45778</x:v>
      </x:c>
      <x:c r="B122" t="str">
        <x:f>CHOOSE(WEEKDAY(A122,2),"Lunes","Martes","Miércoles","Jueves","Viernes","Sábado","Domingo")</x:f>
        <x:v>Jueves</x:v>
      </x:c>
      <x:c r="C122" t="str">
        <x:f>IF(COUNTIF(FERIADOS!$A$2:$A$250,A122)&gt;0,"SÍ","NO")</x:f>
        <x:v>NO</x:v>
      </x:c>
      <x:c r="D122" t="str">
        <x:f>IF(AND(WEEKDAY(A122,2)&lt;=5,C122="NO"),"SÍ","NO")</x:f>
        <x:v>SÍ</x:v>
      </x:c>
      <x:c r="E122" s="2" t="n">
        <x:f>WORKDAY.INTL(A122-1,1,1,FERIADOS!$A$2:$A$250)</x:f>
        <x:v>45778</x:v>
      </x:c>
      <x:c r="F122" t="str">
        <x:f>IF(E122&gt;=WORKDAY.INTL(EOMONTH(E122,0)+1,-2,1,FERIADOS!$A$2:$A$250),"SÍ","NO")</x:f>
        <x:v>NO</x:v>
      </x:c>
      <x:c r="G122" s="10" t="n">
        <x:f>IF(F122="SÍ",EOMONTH(E122,0)+1,DATE(YEAR(E122),MONTH(E122),1))</x:f>
        <x:v>45778</x:v>
      </x:c>
      <x:c r="H122" t="str">
        <x:f>IF(D122="NO",IF(C122="SÍ","FERIADO","FIN DE SEMANA"),"LABORABLE")&amp;IF(F122="SÍ"," + CIERRE","")</x:f>
        <x:v>LABORABLE</x:v>
      </x:c>
      <x:c r="I122" t="str">
        <x:f>TEXT(G122,"yyyy-mm")</x:f>
        <x:v>2025-05</x:v>
      </x:c>
    </x:row>
    <x:row r="123" ht="19" customHeight="1">
      <x:c r="A123" s="2" t="n">
        <x:v>45779</x:v>
      </x:c>
      <x:c r="B123" t="str">
        <x:f>CHOOSE(WEEKDAY(A123,2),"Lunes","Martes","Miércoles","Jueves","Viernes","Sábado","Domingo")</x:f>
        <x:v>Viernes</x:v>
      </x:c>
      <x:c r="C123" t="str">
        <x:f>IF(COUNTIF(FERIADOS!$A$2:$A$250,A123)&gt;0,"SÍ","NO")</x:f>
        <x:v>SÍ</x:v>
      </x:c>
      <x:c r="D123" t="str">
        <x:f>IF(AND(WEEKDAY(A123,2)&lt;=5,C123="NO"),"SÍ","NO")</x:f>
        <x:v>NO</x:v>
      </x:c>
      <x:c r="E123" s="2" t="n">
        <x:f>WORKDAY.INTL(A123-1,1,1,FERIADOS!$A$2:$A$250)</x:f>
        <x:v>45782</x:v>
      </x:c>
      <x:c r="F123" t="str">
        <x:f>IF(E123&gt;=WORKDAY.INTL(EOMONTH(E123,0)+1,-2,1,FERIADOS!$A$2:$A$250),"SÍ","NO")</x:f>
        <x:v>NO</x:v>
      </x:c>
      <x:c r="G123" s="10" t="n">
        <x:f>IF(F123="SÍ",EOMONTH(E123,0)+1,DATE(YEAR(E123),MONTH(E123),1))</x:f>
        <x:v>45778</x:v>
      </x:c>
      <x:c r="H123" t="str">
        <x:f>IF(D123="NO",IF(C123="SÍ","FERIADO","FIN DE SEMANA"),"LABORABLE")&amp;IF(F123="SÍ"," + CIERRE","")</x:f>
        <x:v>FERIADO</x:v>
      </x:c>
      <x:c r="I123" t="str">
        <x:f>TEXT(G123,"yyyy-mm")</x:f>
        <x:v>2025-05</x:v>
      </x:c>
    </x:row>
    <x:row r="124" ht="19" customHeight="1">
      <x:c r="A124" s="2" t="n">
        <x:v>45780</x:v>
      </x:c>
      <x:c r="B124" t="str">
        <x:f>CHOOSE(WEEKDAY(A124,2),"Lunes","Martes","Miércoles","Jueves","Viernes","Sábado","Domingo")</x:f>
        <x:v>Sábado</x:v>
      </x:c>
      <x:c r="C124" t="str">
        <x:f>IF(COUNTIF(FERIADOS!$A$2:$A$250,A124)&gt;0,"SÍ","NO")</x:f>
        <x:v>NO</x:v>
      </x:c>
      <x:c r="D124" t="str">
        <x:f>IF(AND(WEEKDAY(A124,2)&lt;=5,C124="NO"),"SÍ","NO")</x:f>
        <x:v>NO</x:v>
      </x:c>
      <x:c r="E124" s="2" t="n">
        <x:f>WORKDAY.INTL(A124-1,1,1,FERIADOS!$A$2:$A$250)</x:f>
        <x:v>45782</x:v>
      </x:c>
      <x:c r="F124" t="str">
        <x:f>IF(E124&gt;=WORKDAY.INTL(EOMONTH(E124,0)+1,-2,1,FERIADOS!$A$2:$A$250),"SÍ","NO")</x:f>
        <x:v>NO</x:v>
      </x:c>
      <x:c r="G124" s="10" t="n">
        <x:f>IF(F124="SÍ",EOMONTH(E124,0)+1,DATE(YEAR(E124),MONTH(E124),1))</x:f>
        <x:v>45778</x:v>
      </x:c>
      <x:c r="H124" t="str">
        <x:f>IF(D124="NO",IF(C124="SÍ","FERIADO","FIN DE SEMANA"),"LABORABLE")&amp;IF(F124="SÍ"," + CIERRE","")</x:f>
        <x:v>FIN DE SEMANA</x:v>
      </x:c>
      <x:c r="I124" t="str">
        <x:f>TEXT(G124,"yyyy-mm")</x:f>
        <x:v>2025-05</x:v>
      </x:c>
    </x:row>
    <x:row r="125" ht="19" customHeight="1">
      <x:c r="A125" s="2" t="n">
        <x:v>45781</x:v>
      </x:c>
      <x:c r="B125" t="str">
        <x:f>CHOOSE(WEEKDAY(A125,2),"Lunes","Martes","Miércoles","Jueves","Viernes","Sábado","Domingo")</x:f>
        <x:v>Domingo</x:v>
      </x:c>
      <x:c r="C125" t="str">
        <x:f>IF(COUNTIF(FERIADOS!$A$2:$A$250,A125)&gt;0,"SÍ","NO")</x:f>
        <x:v>NO</x:v>
      </x:c>
      <x:c r="D125" t="str">
        <x:f>IF(AND(WEEKDAY(A125,2)&lt;=5,C125="NO"),"SÍ","NO")</x:f>
        <x:v>NO</x:v>
      </x:c>
      <x:c r="E125" s="2" t="n">
        <x:f>WORKDAY.INTL(A125-1,1,1,FERIADOS!$A$2:$A$250)</x:f>
        <x:v>45782</x:v>
      </x:c>
      <x:c r="F125" t="str">
        <x:f>IF(E125&gt;=WORKDAY.INTL(EOMONTH(E125,0)+1,-2,1,FERIADOS!$A$2:$A$250),"SÍ","NO")</x:f>
        <x:v>NO</x:v>
      </x:c>
      <x:c r="G125" s="10" t="n">
        <x:f>IF(F125="SÍ",EOMONTH(E125,0)+1,DATE(YEAR(E125),MONTH(E125),1))</x:f>
        <x:v>45778</x:v>
      </x:c>
      <x:c r="H125" t="str">
        <x:f>IF(D125="NO",IF(C125="SÍ","FERIADO","FIN DE SEMANA"),"LABORABLE")&amp;IF(F125="SÍ"," + CIERRE","")</x:f>
        <x:v>FIN DE SEMANA</x:v>
      </x:c>
      <x:c r="I125" t="str">
        <x:f>TEXT(G125,"yyyy-mm")</x:f>
        <x:v>2025-05</x:v>
      </x:c>
    </x:row>
    <x:row r="126" ht="19" customHeight="1">
      <x:c r="A126" s="2" t="n">
        <x:v>45782</x:v>
      </x:c>
      <x:c r="B126" t="str">
        <x:f>CHOOSE(WEEKDAY(A126,2),"Lunes","Martes","Miércoles","Jueves","Viernes","Sábado","Domingo")</x:f>
        <x:v>Lunes</x:v>
      </x:c>
      <x:c r="C126" t="str">
        <x:f>IF(COUNTIF(FERIADOS!$A$2:$A$250,A126)&gt;0,"SÍ","NO")</x:f>
        <x:v>NO</x:v>
      </x:c>
      <x:c r="D126" t="str">
        <x:f>IF(AND(WEEKDAY(A126,2)&lt;=5,C126="NO"),"SÍ","NO")</x:f>
        <x:v>SÍ</x:v>
      </x:c>
      <x:c r="E126" s="2" t="n">
        <x:f>WORKDAY.INTL(A126-1,1,1,FERIADOS!$A$2:$A$250)</x:f>
        <x:v>45782</x:v>
      </x:c>
      <x:c r="F126" t="str">
        <x:f>IF(E126&gt;=WORKDAY.INTL(EOMONTH(E126,0)+1,-2,1,FERIADOS!$A$2:$A$250),"SÍ","NO")</x:f>
        <x:v>NO</x:v>
      </x:c>
      <x:c r="G126" s="10" t="n">
        <x:f>IF(F126="SÍ",EOMONTH(E126,0)+1,DATE(YEAR(E126),MONTH(E126),1))</x:f>
        <x:v>45778</x:v>
      </x:c>
      <x:c r="H126" t="str">
        <x:f>IF(D126="NO",IF(C126="SÍ","FERIADO","FIN DE SEMANA"),"LABORABLE")&amp;IF(F126="SÍ"," + CIERRE","")</x:f>
        <x:v>LABORABLE</x:v>
      </x:c>
      <x:c r="I126" t="str">
        <x:f>TEXT(G126,"yyyy-mm")</x:f>
        <x:v>2025-05</x:v>
      </x:c>
    </x:row>
    <x:row r="127" ht="19" customHeight="1">
      <x:c r="A127" s="2" t="n">
        <x:v>45783</x:v>
      </x:c>
      <x:c r="B127" t="str">
        <x:f>CHOOSE(WEEKDAY(A127,2),"Lunes","Martes","Miércoles","Jueves","Viernes","Sábado","Domingo")</x:f>
        <x:v>Martes</x:v>
      </x:c>
      <x:c r="C127" t="str">
        <x:f>IF(COUNTIF(FERIADOS!$A$2:$A$250,A127)&gt;0,"SÍ","NO")</x:f>
        <x:v>NO</x:v>
      </x:c>
      <x:c r="D127" t="str">
        <x:f>IF(AND(WEEKDAY(A127,2)&lt;=5,C127="NO"),"SÍ","NO")</x:f>
        <x:v>SÍ</x:v>
      </x:c>
      <x:c r="E127" s="2" t="n">
        <x:f>WORKDAY.INTL(A127-1,1,1,FERIADOS!$A$2:$A$250)</x:f>
        <x:v>45783</x:v>
      </x:c>
      <x:c r="F127" t="str">
        <x:f>IF(E127&gt;=WORKDAY.INTL(EOMONTH(E127,0)+1,-2,1,FERIADOS!$A$2:$A$250),"SÍ","NO")</x:f>
        <x:v>NO</x:v>
      </x:c>
      <x:c r="G127" s="10" t="n">
        <x:f>IF(F127="SÍ",EOMONTH(E127,0)+1,DATE(YEAR(E127),MONTH(E127),1))</x:f>
        <x:v>45778</x:v>
      </x:c>
      <x:c r="H127" t="str">
        <x:f>IF(D127="NO",IF(C127="SÍ","FERIADO","FIN DE SEMANA"),"LABORABLE")&amp;IF(F127="SÍ"," + CIERRE","")</x:f>
        <x:v>LABORABLE</x:v>
      </x:c>
      <x:c r="I127" t="str">
        <x:f>TEXT(G127,"yyyy-mm")</x:f>
        <x:v>2025-05</x:v>
      </x:c>
    </x:row>
    <x:row r="128" ht="19" customHeight="1">
      <x:c r="A128" s="2" t="n">
        <x:v>45784</x:v>
      </x:c>
      <x:c r="B128" t="str">
        <x:f>CHOOSE(WEEKDAY(A128,2),"Lunes","Martes","Miércoles","Jueves","Viernes","Sábado","Domingo")</x:f>
        <x:v>Miércoles</x:v>
      </x:c>
      <x:c r="C128" t="str">
        <x:f>IF(COUNTIF(FERIADOS!$A$2:$A$250,A128)&gt;0,"SÍ","NO")</x:f>
        <x:v>NO</x:v>
      </x:c>
      <x:c r="D128" t="str">
        <x:f>IF(AND(WEEKDAY(A128,2)&lt;=5,C128="NO"),"SÍ","NO")</x:f>
        <x:v>SÍ</x:v>
      </x:c>
      <x:c r="E128" s="2" t="n">
        <x:f>WORKDAY.INTL(A128-1,1,1,FERIADOS!$A$2:$A$250)</x:f>
        <x:v>45784</x:v>
      </x:c>
      <x:c r="F128" t="str">
        <x:f>IF(E128&gt;=WORKDAY.INTL(EOMONTH(E128,0)+1,-2,1,FERIADOS!$A$2:$A$250),"SÍ","NO")</x:f>
        <x:v>NO</x:v>
      </x:c>
      <x:c r="G128" s="10" t="n">
        <x:f>IF(F128="SÍ",EOMONTH(E128,0)+1,DATE(YEAR(E128),MONTH(E128),1))</x:f>
        <x:v>45778</x:v>
      </x:c>
      <x:c r="H128" t="str">
        <x:f>IF(D128="NO",IF(C128="SÍ","FERIADO","FIN DE SEMANA"),"LABORABLE")&amp;IF(F128="SÍ"," + CIERRE","")</x:f>
        <x:v>LABORABLE</x:v>
      </x:c>
      <x:c r="I128" t="str">
        <x:f>TEXT(G128,"yyyy-mm")</x:f>
        <x:v>2025-05</x:v>
      </x:c>
    </x:row>
    <x:row r="129" ht="19" customHeight="1">
      <x:c r="A129" s="2" t="n">
        <x:v>45785</x:v>
      </x:c>
      <x:c r="B129" t="str">
        <x:f>CHOOSE(WEEKDAY(A129,2),"Lunes","Martes","Miércoles","Jueves","Viernes","Sábado","Domingo")</x:f>
        <x:v>Jueves</x:v>
      </x:c>
      <x:c r="C129" t="str">
        <x:f>IF(COUNTIF(FERIADOS!$A$2:$A$250,A129)&gt;0,"SÍ","NO")</x:f>
        <x:v>NO</x:v>
      </x:c>
      <x:c r="D129" t="str">
        <x:f>IF(AND(WEEKDAY(A129,2)&lt;=5,C129="NO"),"SÍ","NO")</x:f>
        <x:v>SÍ</x:v>
      </x:c>
      <x:c r="E129" s="2" t="n">
        <x:f>WORKDAY.INTL(A129-1,1,1,FERIADOS!$A$2:$A$250)</x:f>
        <x:v>45785</x:v>
      </x:c>
      <x:c r="F129" t="str">
        <x:f>IF(E129&gt;=WORKDAY.INTL(EOMONTH(E129,0)+1,-2,1,FERIADOS!$A$2:$A$250),"SÍ","NO")</x:f>
        <x:v>NO</x:v>
      </x:c>
      <x:c r="G129" s="10" t="n">
        <x:f>IF(F129="SÍ",EOMONTH(E129,0)+1,DATE(YEAR(E129),MONTH(E129),1))</x:f>
        <x:v>45778</x:v>
      </x:c>
      <x:c r="H129" t="str">
        <x:f>IF(D129="NO",IF(C129="SÍ","FERIADO","FIN DE SEMANA"),"LABORABLE")&amp;IF(F129="SÍ"," + CIERRE","")</x:f>
        <x:v>LABORABLE</x:v>
      </x:c>
      <x:c r="I129" t="str">
        <x:f>TEXT(G129,"yyyy-mm")</x:f>
        <x:v>2025-05</x:v>
      </x:c>
    </x:row>
    <x:row r="130" ht="19" customHeight="1">
      <x:c r="A130" s="2" t="n">
        <x:v>45786</x:v>
      </x:c>
      <x:c r="B130" t="str">
        <x:f>CHOOSE(WEEKDAY(A130,2),"Lunes","Martes","Miércoles","Jueves","Viernes","Sábado","Domingo")</x:f>
        <x:v>Viernes</x:v>
      </x:c>
      <x:c r="C130" t="str">
        <x:f>IF(COUNTIF(FERIADOS!$A$2:$A$250,A130)&gt;0,"SÍ","NO")</x:f>
        <x:v>NO</x:v>
      </x:c>
      <x:c r="D130" t="str">
        <x:f>IF(AND(WEEKDAY(A130,2)&lt;=5,C130="NO"),"SÍ","NO")</x:f>
        <x:v>SÍ</x:v>
      </x:c>
      <x:c r="E130" s="2" t="n">
        <x:f>WORKDAY.INTL(A130-1,1,1,FERIADOS!$A$2:$A$250)</x:f>
        <x:v>45786</x:v>
      </x:c>
      <x:c r="F130" t="str">
        <x:f>IF(E130&gt;=WORKDAY.INTL(EOMONTH(E130,0)+1,-2,1,FERIADOS!$A$2:$A$250),"SÍ","NO")</x:f>
        <x:v>NO</x:v>
      </x:c>
      <x:c r="G130" s="10" t="n">
        <x:f>IF(F130="SÍ",EOMONTH(E130,0)+1,DATE(YEAR(E130),MONTH(E130),1))</x:f>
        <x:v>45778</x:v>
      </x:c>
      <x:c r="H130" t="str">
        <x:f>IF(D130="NO",IF(C130="SÍ","FERIADO","FIN DE SEMANA"),"LABORABLE")&amp;IF(F130="SÍ"," + CIERRE","")</x:f>
        <x:v>LABORABLE</x:v>
      </x:c>
      <x:c r="I130" t="str">
        <x:f>TEXT(G130,"yyyy-mm")</x:f>
        <x:v>2025-05</x:v>
      </x:c>
    </x:row>
    <x:row r="131" ht="19" customHeight="1">
      <x:c r="A131" s="2" t="n">
        <x:v>45787</x:v>
      </x:c>
      <x:c r="B131" t="str">
        <x:f>CHOOSE(WEEKDAY(A131,2),"Lunes","Martes","Miércoles","Jueves","Viernes","Sábado","Domingo")</x:f>
        <x:v>Sábado</x:v>
      </x:c>
      <x:c r="C131" t="str">
        <x:f>IF(COUNTIF(FERIADOS!$A$2:$A$250,A131)&gt;0,"SÍ","NO")</x:f>
        <x:v>NO</x:v>
      </x:c>
      <x:c r="D131" t="str">
        <x:f>IF(AND(WEEKDAY(A131,2)&lt;=5,C131="NO"),"SÍ","NO")</x:f>
        <x:v>NO</x:v>
      </x:c>
      <x:c r="E131" s="2" t="n">
        <x:f>WORKDAY.INTL(A131-1,1,1,FERIADOS!$A$2:$A$250)</x:f>
        <x:v>45789</x:v>
      </x:c>
      <x:c r="F131" t="str">
        <x:f>IF(E131&gt;=WORKDAY.INTL(EOMONTH(E131,0)+1,-2,1,FERIADOS!$A$2:$A$250),"SÍ","NO")</x:f>
        <x:v>NO</x:v>
      </x:c>
      <x:c r="G131" s="10" t="n">
        <x:f>IF(F131="SÍ",EOMONTH(E131,0)+1,DATE(YEAR(E131),MONTH(E131),1))</x:f>
        <x:v>45778</x:v>
      </x:c>
      <x:c r="H131" t="str">
        <x:f>IF(D131="NO",IF(C131="SÍ","FERIADO","FIN DE SEMANA"),"LABORABLE")&amp;IF(F131="SÍ"," + CIERRE","")</x:f>
        <x:v>FIN DE SEMANA</x:v>
      </x:c>
      <x:c r="I131" t="str">
        <x:f>TEXT(G131,"yyyy-mm")</x:f>
        <x:v>2025-05</x:v>
      </x:c>
    </x:row>
    <x:row r="132" ht="19" customHeight="1">
      <x:c r="A132" s="2" t="n">
        <x:v>45788</x:v>
      </x:c>
      <x:c r="B132" t="str">
        <x:f>CHOOSE(WEEKDAY(A132,2),"Lunes","Martes","Miércoles","Jueves","Viernes","Sábado","Domingo")</x:f>
        <x:v>Domingo</x:v>
      </x:c>
      <x:c r="C132" t="str">
        <x:f>IF(COUNTIF(FERIADOS!$A$2:$A$250,A132)&gt;0,"SÍ","NO")</x:f>
        <x:v>NO</x:v>
      </x:c>
      <x:c r="D132" t="str">
        <x:f>IF(AND(WEEKDAY(A132,2)&lt;=5,C132="NO"),"SÍ","NO")</x:f>
        <x:v>NO</x:v>
      </x:c>
      <x:c r="E132" s="2" t="n">
        <x:f>WORKDAY.INTL(A132-1,1,1,FERIADOS!$A$2:$A$250)</x:f>
        <x:v>45789</x:v>
      </x:c>
      <x:c r="F132" t="str">
        <x:f>IF(E132&gt;=WORKDAY.INTL(EOMONTH(E132,0)+1,-2,1,FERIADOS!$A$2:$A$250),"SÍ","NO")</x:f>
        <x:v>NO</x:v>
      </x:c>
      <x:c r="G132" s="10" t="n">
        <x:f>IF(F132="SÍ",EOMONTH(E132,0)+1,DATE(YEAR(E132),MONTH(E132),1))</x:f>
        <x:v>45778</x:v>
      </x:c>
      <x:c r="H132" t="str">
        <x:f>IF(D132="NO",IF(C132="SÍ","FERIADO","FIN DE SEMANA"),"LABORABLE")&amp;IF(F132="SÍ"," + CIERRE","")</x:f>
        <x:v>FIN DE SEMANA</x:v>
      </x:c>
      <x:c r="I132" t="str">
        <x:f>TEXT(G132,"yyyy-mm")</x:f>
        <x:v>2025-05</x:v>
      </x:c>
    </x:row>
    <x:row r="133" ht="19" customHeight="1">
      <x:c r="A133" s="2" t="n">
        <x:v>45789</x:v>
      </x:c>
      <x:c r="B133" t="str">
        <x:f>CHOOSE(WEEKDAY(A133,2),"Lunes","Martes","Miércoles","Jueves","Viernes","Sábado","Domingo")</x:f>
        <x:v>Lunes</x:v>
      </x:c>
      <x:c r="C133" t="str">
        <x:f>IF(COUNTIF(FERIADOS!$A$2:$A$250,A133)&gt;0,"SÍ","NO")</x:f>
        <x:v>NO</x:v>
      </x:c>
      <x:c r="D133" t="str">
        <x:f>IF(AND(WEEKDAY(A133,2)&lt;=5,C133="NO"),"SÍ","NO")</x:f>
        <x:v>SÍ</x:v>
      </x:c>
      <x:c r="E133" s="2" t="n">
        <x:f>WORKDAY.INTL(A133-1,1,1,FERIADOS!$A$2:$A$250)</x:f>
        <x:v>45789</x:v>
      </x:c>
      <x:c r="F133" t="str">
        <x:f>IF(E133&gt;=WORKDAY.INTL(EOMONTH(E133,0)+1,-2,1,FERIADOS!$A$2:$A$250),"SÍ","NO")</x:f>
        <x:v>NO</x:v>
      </x:c>
      <x:c r="G133" s="10" t="n">
        <x:f>IF(F133="SÍ",EOMONTH(E133,0)+1,DATE(YEAR(E133),MONTH(E133),1))</x:f>
        <x:v>45778</x:v>
      </x:c>
      <x:c r="H133" t="str">
        <x:f>IF(D133="NO",IF(C133="SÍ","FERIADO","FIN DE SEMANA"),"LABORABLE")&amp;IF(F133="SÍ"," + CIERRE","")</x:f>
        <x:v>LABORABLE</x:v>
      </x:c>
      <x:c r="I133" t="str">
        <x:f>TEXT(G133,"yyyy-mm")</x:f>
        <x:v>2025-05</x:v>
      </x:c>
    </x:row>
    <x:row r="134" ht="19" customHeight="1">
      <x:c r="A134" s="2" t="n">
        <x:v>45790</x:v>
      </x:c>
      <x:c r="B134" t="str">
        <x:f>CHOOSE(WEEKDAY(A134,2),"Lunes","Martes","Miércoles","Jueves","Viernes","Sábado","Domingo")</x:f>
        <x:v>Martes</x:v>
      </x:c>
      <x:c r="C134" t="str">
        <x:f>IF(COUNTIF(FERIADOS!$A$2:$A$250,A134)&gt;0,"SÍ","NO")</x:f>
        <x:v>NO</x:v>
      </x:c>
      <x:c r="D134" t="str">
        <x:f>IF(AND(WEEKDAY(A134,2)&lt;=5,C134="NO"),"SÍ","NO")</x:f>
        <x:v>SÍ</x:v>
      </x:c>
      <x:c r="E134" s="2" t="n">
        <x:f>WORKDAY.INTL(A134-1,1,1,FERIADOS!$A$2:$A$250)</x:f>
        <x:v>45790</x:v>
      </x:c>
      <x:c r="F134" t="str">
        <x:f>IF(E134&gt;=WORKDAY.INTL(EOMONTH(E134,0)+1,-2,1,FERIADOS!$A$2:$A$250),"SÍ","NO")</x:f>
        <x:v>NO</x:v>
      </x:c>
      <x:c r="G134" s="10" t="n">
        <x:f>IF(F134="SÍ",EOMONTH(E134,0)+1,DATE(YEAR(E134),MONTH(E134),1))</x:f>
        <x:v>45778</x:v>
      </x:c>
      <x:c r="H134" t="str">
        <x:f>IF(D134="NO",IF(C134="SÍ","FERIADO","FIN DE SEMANA"),"LABORABLE")&amp;IF(F134="SÍ"," + CIERRE","")</x:f>
        <x:v>LABORABLE</x:v>
      </x:c>
      <x:c r="I134" t="str">
        <x:f>TEXT(G134,"yyyy-mm")</x:f>
        <x:v>2025-05</x:v>
      </x:c>
    </x:row>
    <x:row r="135" ht="19" customHeight="1">
      <x:c r="A135" s="2" t="n">
        <x:v>45791</x:v>
      </x:c>
      <x:c r="B135" t="str">
        <x:f>CHOOSE(WEEKDAY(A135,2),"Lunes","Martes","Miércoles","Jueves","Viernes","Sábado","Domingo")</x:f>
        <x:v>Miércoles</x:v>
      </x:c>
      <x:c r="C135" t="str">
        <x:f>IF(COUNTIF(FERIADOS!$A$2:$A$250,A135)&gt;0,"SÍ","NO")</x:f>
        <x:v>NO</x:v>
      </x:c>
      <x:c r="D135" t="str">
        <x:f>IF(AND(WEEKDAY(A135,2)&lt;=5,C135="NO"),"SÍ","NO")</x:f>
        <x:v>SÍ</x:v>
      </x:c>
      <x:c r="E135" s="2" t="n">
        <x:f>WORKDAY.INTL(A135-1,1,1,FERIADOS!$A$2:$A$250)</x:f>
        <x:v>45791</x:v>
      </x:c>
      <x:c r="F135" t="str">
        <x:f>IF(E135&gt;=WORKDAY.INTL(EOMONTH(E135,0)+1,-2,1,FERIADOS!$A$2:$A$250),"SÍ","NO")</x:f>
        <x:v>NO</x:v>
      </x:c>
      <x:c r="G135" s="10" t="n">
        <x:f>IF(F135="SÍ",EOMONTH(E135,0)+1,DATE(YEAR(E135),MONTH(E135),1))</x:f>
        <x:v>45778</x:v>
      </x:c>
      <x:c r="H135" t="str">
        <x:f>IF(D135="NO",IF(C135="SÍ","FERIADO","FIN DE SEMANA"),"LABORABLE")&amp;IF(F135="SÍ"," + CIERRE","")</x:f>
        <x:v>LABORABLE</x:v>
      </x:c>
      <x:c r="I135" t="str">
        <x:f>TEXT(G135,"yyyy-mm")</x:f>
        <x:v>2025-05</x:v>
      </x:c>
    </x:row>
    <x:row r="136" ht="19" customHeight="1">
      <x:c r="A136" s="2" t="n">
        <x:v>45792</x:v>
      </x:c>
      <x:c r="B136" t="str">
        <x:f>CHOOSE(WEEKDAY(A136,2),"Lunes","Martes","Miércoles","Jueves","Viernes","Sábado","Domingo")</x:f>
        <x:v>Jueves</x:v>
      </x:c>
      <x:c r="C136" t="str">
        <x:f>IF(COUNTIF(FERIADOS!$A$2:$A$250,A136)&gt;0,"SÍ","NO")</x:f>
        <x:v>NO</x:v>
      </x:c>
      <x:c r="D136" t="str">
        <x:f>IF(AND(WEEKDAY(A136,2)&lt;=5,C136="NO"),"SÍ","NO")</x:f>
        <x:v>SÍ</x:v>
      </x:c>
      <x:c r="E136" s="2" t="n">
        <x:f>WORKDAY.INTL(A136-1,1,1,FERIADOS!$A$2:$A$250)</x:f>
        <x:v>45792</x:v>
      </x:c>
      <x:c r="F136" t="str">
        <x:f>IF(E136&gt;=WORKDAY.INTL(EOMONTH(E136,0)+1,-2,1,FERIADOS!$A$2:$A$250),"SÍ","NO")</x:f>
        <x:v>NO</x:v>
      </x:c>
      <x:c r="G136" s="10" t="n">
        <x:f>IF(F136="SÍ",EOMONTH(E136,0)+1,DATE(YEAR(E136),MONTH(E136),1))</x:f>
        <x:v>45778</x:v>
      </x:c>
      <x:c r="H136" t="str">
        <x:f>IF(D136="NO",IF(C136="SÍ","FERIADO","FIN DE SEMANA"),"LABORABLE")&amp;IF(F136="SÍ"," + CIERRE","")</x:f>
        <x:v>LABORABLE</x:v>
      </x:c>
      <x:c r="I136" t="str">
        <x:f>TEXT(G136,"yyyy-mm")</x:f>
        <x:v>2025-05</x:v>
      </x:c>
    </x:row>
    <x:row r="137" ht="19" customHeight="1">
      <x:c r="A137" s="2" t="n">
        <x:v>45793</x:v>
      </x:c>
      <x:c r="B137" t="str">
        <x:f>CHOOSE(WEEKDAY(A137,2),"Lunes","Martes","Miércoles","Jueves","Viernes","Sábado","Domingo")</x:f>
        <x:v>Viernes</x:v>
      </x:c>
      <x:c r="C137" t="str">
        <x:f>IF(COUNTIF(FERIADOS!$A$2:$A$250,A137)&gt;0,"SÍ","NO")</x:f>
        <x:v>NO</x:v>
      </x:c>
      <x:c r="D137" t="str">
        <x:f>IF(AND(WEEKDAY(A137,2)&lt;=5,C137="NO"),"SÍ","NO")</x:f>
        <x:v>SÍ</x:v>
      </x:c>
      <x:c r="E137" s="2" t="n">
        <x:f>WORKDAY.INTL(A137-1,1,1,FERIADOS!$A$2:$A$250)</x:f>
        <x:v>45793</x:v>
      </x:c>
      <x:c r="F137" t="str">
        <x:f>IF(E137&gt;=WORKDAY.INTL(EOMONTH(E137,0)+1,-2,1,FERIADOS!$A$2:$A$250),"SÍ","NO")</x:f>
        <x:v>NO</x:v>
      </x:c>
      <x:c r="G137" s="10" t="n">
        <x:f>IF(F137="SÍ",EOMONTH(E137,0)+1,DATE(YEAR(E137),MONTH(E137),1))</x:f>
        <x:v>45778</x:v>
      </x:c>
      <x:c r="H137" t="str">
        <x:f>IF(D137="NO",IF(C137="SÍ","FERIADO","FIN DE SEMANA"),"LABORABLE")&amp;IF(F137="SÍ"," + CIERRE","")</x:f>
        <x:v>LABORABLE</x:v>
      </x:c>
      <x:c r="I137" t="str">
        <x:f>TEXT(G137,"yyyy-mm")</x:f>
        <x:v>2025-05</x:v>
      </x:c>
    </x:row>
    <x:row r="138" ht="19" customHeight="1">
      <x:c r="A138" s="2" t="n">
        <x:v>45794</x:v>
      </x:c>
      <x:c r="B138" t="str">
        <x:f>CHOOSE(WEEKDAY(A138,2),"Lunes","Martes","Miércoles","Jueves","Viernes","Sábado","Domingo")</x:f>
        <x:v>Sábado</x:v>
      </x:c>
      <x:c r="C138" t="str">
        <x:f>IF(COUNTIF(FERIADOS!$A$2:$A$250,A138)&gt;0,"SÍ","NO")</x:f>
        <x:v>NO</x:v>
      </x:c>
      <x:c r="D138" t="str">
        <x:f>IF(AND(WEEKDAY(A138,2)&lt;=5,C138="NO"),"SÍ","NO")</x:f>
        <x:v>NO</x:v>
      </x:c>
      <x:c r="E138" s="2" t="n">
        <x:f>WORKDAY.INTL(A138-1,1,1,FERIADOS!$A$2:$A$250)</x:f>
        <x:v>45796</x:v>
      </x:c>
      <x:c r="F138" t="str">
        <x:f>IF(E138&gt;=WORKDAY.INTL(EOMONTH(E138,0)+1,-2,1,FERIADOS!$A$2:$A$250),"SÍ","NO")</x:f>
        <x:v>NO</x:v>
      </x:c>
      <x:c r="G138" s="10" t="n">
        <x:f>IF(F138="SÍ",EOMONTH(E138,0)+1,DATE(YEAR(E138),MONTH(E138),1))</x:f>
        <x:v>45778</x:v>
      </x:c>
      <x:c r="H138" t="str">
        <x:f>IF(D138="NO",IF(C138="SÍ","FERIADO","FIN DE SEMANA"),"LABORABLE")&amp;IF(F138="SÍ"," + CIERRE","")</x:f>
        <x:v>FIN DE SEMANA</x:v>
      </x:c>
      <x:c r="I138" t="str">
        <x:f>TEXT(G138,"yyyy-mm")</x:f>
        <x:v>2025-05</x:v>
      </x:c>
    </x:row>
    <x:row r="139" ht="19" customHeight="1">
      <x:c r="A139" s="2" t="n">
        <x:v>45795</x:v>
      </x:c>
      <x:c r="B139" t="str">
        <x:f>CHOOSE(WEEKDAY(A139,2),"Lunes","Martes","Miércoles","Jueves","Viernes","Sábado","Domingo")</x:f>
        <x:v>Domingo</x:v>
      </x:c>
      <x:c r="C139" t="str">
        <x:f>IF(COUNTIF(FERIADOS!$A$2:$A$250,A139)&gt;0,"SÍ","NO")</x:f>
        <x:v>NO</x:v>
      </x:c>
      <x:c r="D139" t="str">
        <x:f>IF(AND(WEEKDAY(A139,2)&lt;=5,C139="NO"),"SÍ","NO")</x:f>
        <x:v>NO</x:v>
      </x:c>
      <x:c r="E139" s="2" t="n">
        <x:f>WORKDAY.INTL(A139-1,1,1,FERIADOS!$A$2:$A$250)</x:f>
        <x:v>45796</x:v>
      </x:c>
      <x:c r="F139" t="str">
        <x:f>IF(E139&gt;=WORKDAY.INTL(EOMONTH(E139,0)+1,-2,1,FERIADOS!$A$2:$A$250),"SÍ","NO")</x:f>
        <x:v>NO</x:v>
      </x:c>
      <x:c r="G139" s="10" t="n">
        <x:f>IF(F139="SÍ",EOMONTH(E139,0)+1,DATE(YEAR(E139),MONTH(E139),1))</x:f>
        <x:v>45778</x:v>
      </x:c>
      <x:c r="H139" t="str">
        <x:f>IF(D139="NO",IF(C139="SÍ","FERIADO","FIN DE SEMANA"),"LABORABLE")&amp;IF(F139="SÍ"," + CIERRE","")</x:f>
        <x:v>FIN DE SEMANA</x:v>
      </x:c>
      <x:c r="I139" t="str">
        <x:f>TEXT(G139,"yyyy-mm")</x:f>
        <x:v>2025-05</x:v>
      </x:c>
    </x:row>
    <x:row r="140" ht="19" customHeight="1">
      <x:c r="A140" s="2" t="n">
        <x:v>45796</x:v>
      </x:c>
      <x:c r="B140" t="str">
        <x:f>CHOOSE(WEEKDAY(A140,2),"Lunes","Martes","Miércoles","Jueves","Viernes","Sábado","Domingo")</x:f>
        <x:v>Lunes</x:v>
      </x:c>
      <x:c r="C140" t="str">
        <x:f>IF(COUNTIF(FERIADOS!$A$2:$A$250,A140)&gt;0,"SÍ","NO")</x:f>
        <x:v>NO</x:v>
      </x:c>
      <x:c r="D140" t="str">
        <x:f>IF(AND(WEEKDAY(A140,2)&lt;=5,C140="NO"),"SÍ","NO")</x:f>
        <x:v>SÍ</x:v>
      </x:c>
      <x:c r="E140" s="2" t="n">
        <x:f>WORKDAY.INTL(A140-1,1,1,FERIADOS!$A$2:$A$250)</x:f>
        <x:v>45796</x:v>
      </x:c>
      <x:c r="F140" t="str">
        <x:f>IF(E140&gt;=WORKDAY.INTL(EOMONTH(E140,0)+1,-2,1,FERIADOS!$A$2:$A$250),"SÍ","NO")</x:f>
        <x:v>NO</x:v>
      </x:c>
      <x:c r="G140" s="10" t="n">
        <x:f>IF(F140="SÍ",EOMONTH(E140,0)+1,DATE(YEAR(E140),MONTH(E140),1))</x:f>
        <x:v>45778</x:v>
      </x:c>
      <x:c r="H140" t="str">
        <x:f>IF(D140="NO",IF(C140="SÍ","FERIADO","FIN DE SEMANA"),"LABORABLE")&amp;IF(F140="SÍ"," + CIERRE","")</x:f>
        <x:v>LABORABLE</x:v>
      </x:c>
      <x:c r="I140" t="str">
        <x:f>TEXT(G140,"yyyy-mm")</x:f>
        <x:v>2025-05</x:v>
      </x:c>
    </x:row>
    <x:row r="141" ht="19" customHeight="1">
      <x:c r="A141" s="2" t="n">
        <x:v>45797</x:v>
      </x:c>
      <x:c r="B141" t="str">
        <x:f>CHOOSE(WEEKDAY(A141,2),"Lunes","Martes","Miércoles","Jueves","Viernes","Sábado","Domingo")</x:f>
        <x:v>Martes</x:v>
      </x:c>
      <x:c r="C141" t="str">
        <x:f>IF(COUNTIF(FERIADOS!$A$2:$A$250,A141)&gt;0,"SÍ","NO")</x:f>
        <x:v>NO</x:v>
      </x:c>
      <x:c r="D141" t="str">
        <x:f>IF(AND(WEEKDAY(A141,2)&lt;=5,C141="NO"),"SÍ","NO")</x:f>
        <x:v>SÍ</x:v>
      </x:c>
      <x:c r="E141" s="2" t="n">
        <x:f>WORKDAY.INTL(A141-1,1,1,FERIADOS!$A$2:$A$250)</x:f>
        <x:v>45797</x:v>
      </x:c>
      <x:c r="F141" t="str">
        <x:f>IF(E141&gt;=WORKDAY.INTL(EOMONTH(E141,0)+1,-2,1,FERIADOS!$A$2:$A$250),"SÍ","NO")</x:f>
        <x:v>NO</x:v>
      </x:c>
      <x:c r="G141" s="10" t="n">
        <x:f>IF(F141="SÍ",EOMONTH(E141,0)+1,DATE(YEAR(E141),MONTH(E141),1))</x:f>
        <x:v>45778</x:v>
      </x:c>
      <x:c r="H141" t="str">
        <x:f>IF(D141="NO",IF(C141="SÍ","FERIADO","FIN DE SEMANA"),"LABORABLE")&amp;IF(F141="SÍ"," + CIERRE","")</x:f>
        <x:v>LABORABLE</x:v>
      </x:c>
      <x:c r="I141" t="str">
        <x:f>TEXT(G141,"yyyy-mm")</x:f>
        <x:v>2025-05</x:v>
      </x:c>
    </x:row>
    <x:row r="142" ht="19" customHeight="1">
      <x:c r="A142" s="2" t="n">
        <x:v>45798</x:v>
      </x:c>
      <x:c r="B142" t="str">
        <x:f>CHOOSE(WEEKDAY(A142,2),"Lunes","Martes","Miércoles","Jueves","Viernes","Sábado","Domingo")</x:f>
        <x:v>Miércoles</x:v>
      </x:c>
      <x:c r="C142" t="str">
        <x:f>IF(COUNTIF(FERIADOS!$A$2:$A$250,A142)&gt;0,"SÍ","NO")</x:f>
        <x:v>NO</x:v>
      </x:c>
      <x:c r="D142" t="str">
        <x:f>IF(AND(WEEKDAY(A142,2)&lt;=5,C142="NO"),"SÍ","NO")</x:f>
        <x:v>SÍ</x:v>
      </x:c>
      <x:c r="E142" s="2" t="n">
        <x:f>WORKDAY.INTL(A142-1,1,1,FERIADOS!$A$2:$A$250)</x:f>
        <x:v>45798</x:v>
      </x:c>
      <x:c r="F142" t="str">
        <x:f>IF(E142&gt;=WORKDAY.INTL(EOMONTH(E142,0)+1,-2,1,FERIADOS!$A$2:$A$250),"SÍ","NO")</x:f>
        <x:v>NO</x:v>
      </x:c>
      <x:c r="G142" s="10" t="n">
        <x:f>IF(F142="SÍ",EOMONTH(E142,0)+1,DATE(YEAR(E142),MONTH(E142),1))</x:f>
        <x:v>45778</x:v>
      </x:c>
      <x:c r="H142" t="str">
        <x:f>IF(D142="NO",IF(C142="SÍ","FERIADO","FIN DE SEMANA"),"LABORABLE")&amp;IF(F142="SÍ"," + CIERRE","")</x:f>
        <x:v>LABORABLE</x:v>
      </x:c>
      <x:c r="I142" t="str">
        <x:f>TEXT(G142,"yyyy-mm")</x:f>
        <x:v>2025-05</x:v>
      </x:c>
    </x:row>
    <x:row r="143" ht="19" customHeight="1">
      <x:c r="A143" s="2" t="n">
        <x:v>45799</x:v>
      </x:c>
      <x:c r="B143" t="str">
        <x:f>CHOOSE(WEEKDAY(A143,2),"Lunes","Martes","Miércoles","Jueves","Viernes","Sábado","Domingo")</x:f>
        <x:v>Jueves</x:v>
      </x:c>
      <x:c r="C143" t="str">
        <x:f>IF(COUNTIF(FERIADOS!$A$2:$A$250,A143)&gt;0,"SÍ","NO")</x:f>
        <x:v>NO</x:v>
      </x:c>
      <x:c r="D143" t="str">
        <x:f>IF(AND(WEEKDAY(A143,2)&lt;=5,C143="NO"),"SÍ","NO")</x:f>
        <x:v>SÍ</x:v>
      </x:c>
      <x:c r="E143" s="2" t="n">
        <x:f>WORKDAY.INTL(A143-1,1,1,FERIADOS!$A$2:$A$250)</x:f>
        <x:v>45799</x:v>
      </x:c>
      <x:c r="F143" t="str">
        <x:f>IF(E143&gt;=WORKDAY.INTL(EOMONTH(E143,0)+1,-2,1,FERIADOS!$A$2:$A$250),"SÍ","NO")</x:f>
        <x:v>NO</x:v>
      </x:c>
      <x:c r="G143" s="10" t="n">
        <x:f>IF(F143="SÍ",EOMONTH(E143,0)+1,DATE(YEAR(E143),MONTH(E143),1))</x:f>
        <x:v>45778</x:v>
      </x:c>
      <x:c r="H143" t="str">
        <x:f>IF(D143="NO",IF(C143="SÍ","FERIADO","FIN DE SEMANA"),"LABORABLE")&amp;IF(F143="SÍ"," + CIERRE","")</x:f>
        <x:v>LABORABLE</x:v>
      </x:c>
      <x:c r="I143" t="str">
        <x:f>TEXT(G143,"yyyy-mm")</x:f>
        <x:v>2025-05</x:v>
      </x:c>
    </x:row>
    <x:row r="144" ht="19" customHeight="1">
      <x:c r="A144" s="2" t="n">
        <x:v>45800</x:v>
      </x:c>
      <x:c r="B144" t="str">
        <x:f>CHOOSE(WEEKDAY(A144,2),"Lunes","Martes","Miércoles","Jueves","Viernes","Sábado","Domingo")</x:f>
        <x:v>Viernes</x:v>
      </x:c>
      <x:c r="C144" t="str">
        <x:f>IF(COUNTIF(FERIADOS!$A$2:$A$250,A144)&gt;0,"SÍ","NO")</x:f>
        <x:v>SÍ</x:v>
      </x:c>
      <x:c r="D144" t="str">
        <x:f>IF(AND(WEEKDAY(A144,2)&lt;=5,C144="NO"),"SÍ","NO")</x:f>
        <x:v>NO</x:v>
      </x:c>
      <x:c r="E144" s="2" t="n">
        <x:f>WORKDAY.INTL(A144-1,1,1,FERIADOS!$A$2:$A$250)</x:f>
        <x:v>45803</x:v>
      </x:c>
      <x:c r="F144" t="str">
        <x:f>IF(E144&gt;=WORKDAY.INTL(EOMONTH(E144,0)+1,-2,1,FERIADOS!$A$2:$A$250),"SÍ","NO")</x:f>
        <x:v>NO</x:v>
      </x:c>
      <x:c r="G144" s="10" t="n">
        <x:f>IF(F144="SÍ",EOMONTH(E144,0)+1,DATE(YEAR(E144),MONTH(E144),1))</x:f>
        <x:v>45778</x:v>
      </x:c>
      <x:c r="H144" t="str">
        <x:f>IF(D144="NO",IF(C144="SÍ","FERIADO","FIN DE SEMANA"),"LABORABLE")&amp;IF(F144="SÍ"," + CIERRE","")</x:f>
        <x:v>FERIADO</x:v>
      </x:c>
      <x:c r="I144" t="str">
        <x:f>TEXT(G144,"yyyy-mm")</x:f>
        <x:v>2025-05</x:v>
      </x:c>
    </x:row>
    <x:row r="145" ht="19" customHeight="1">
      <x:c r="A145" s="2" t="n">
        <x:v>45801</x:v>
      </x:c>
      <x:c r="B145" t="str">
        <x:f>CHOOSE(WEEKDAY(A145,2),"Lunes","Martes","Miércoles","Jueves","Viernes","Sábado","Domingo")</x:f>
        <x:v>Sábado</x:v>
      </x:c>
      <x:c r="C145" t="str">
        <x:f>IF(COUNTIF(FERIADOS!$A$2:$A$250,A145)&gt;0,"SÍ","NO")</x:f>
        <x:v>NO</x:v>
      </x:c>
      <x:c r="D145" t="str">
        <x:f>IF(AND(WEEKDAY(A145,2)&lt;=5,C145="NO"),"SÍ","NO")</x:f>
        <x:v>NO</x:v>
      </x:c>
      <x:c r="E145" s="2" t="n">
        <x:f>WORKDAY.INTL(A145-1,1,1,FERIADOS!$A$2:$A$250)</x:f>
        <x:v>45803</x:v>
      </x:c>
      <x:c r="F145" t="str">
        <x:f>IF(E145&gt;=WORKDAY.INTL(EOMONTH(E145,0)+1,-2,1,FERIADOS!$A$2:$A$250),"SÍ","NO")</x:f>
        <x:v>NO</x:v>
      </x:c>
      <x:c r="G145" s="10" t="n">
        <x:f>IF(F145="SÍ",EOMONTH(E145,0)+1,DATE(YEAR(E145),MONTH(E145),1))</x:f>
        <x:v>45778</x:v>
      </x:c>
      <x:c r="H145" t="str">
        <x:f>IF(D145="NO",IF(C145="SÍ","FERIADO","FIN DE SEMANA"),"LABORABLE")&amp;IF(F145="SÍ"," + CIERRE","")</x:f>
        <x:v>FIN DE SEMANA</x:v>
      </x:c>
      <x:c r="I145" t="str">
        <x:f>TEXT(G145,"yyyy-mm")</x:f>
        <x:v>2025-05</x:v>
      </x:c>
    </x:row>
    <x:row r="146" ht="19" customHeight="1">
      <x:c r="A146" s="2" t="n">
        <x:v>45802</x:v>
      </x:c>
      <x:c r="B146" t="str">
        <x:f>CHOOSE(WEEKDAY(A146,2),"Lunes","Martes","Miércoles","Jueves","Viernes","Sábado","Domingo")</x:f>
        <x:v>Domingo</x:v>
      </x:c>
      <x:c r="C146" t="str">
        <x:f>IF(COUNTIF(FERIADOS!$A$2:$A$250,A146)&gt;0,"SÍ","NO")</x:f>
        <x:v>NO</x:v>
      </x:c>
      <x:c r="D146" t="str">
        <x:f>IF(AND(WEEKDAY(A146,2)&lt;=5,C146="NO"),"SÍ","NO")</x:f>
        <x:v>NO</x:v>
      </x:c>
      <x:c r="E146" s="2" t="n">
        <x:f>WORKDAY.INTL(A146-1,1,1,FERIADOS!$A$2:$A$250)</x:f>
        <x:v>45803</x:v>
      </x:c>
      <x:c r="F146" t="str">
        <x:f>IF(E146&gt;=WORKDAY.INTL(EOMONTH(E146,0)+1,-2,1,FERIADOS!$A$2:$A$250),"SÍ","NO")</x:f>
        <x:v>NO</x:v>
      </x:c>
      <x:c r="G146" s="10" t="n">
        <x:f>IF(F146="SÍ",EOMONTH(E146,0)+1,DATE(YEAR(E146),MONTH(E146),1))</x:f>
        <x:v>45778</x:v>
      </x:c>
      <x:c r="H146" t="str">
        <x:f>IF(D146="NO",IF(C146="SÍ","FERIADO","FIN DE SEMANA"),"LABORABLE")&amp;IF(F146="SÍ"," + CIERRE","")</x:f>
        <x:v>FIN DE SEMANA</x:v>
      </x:c>
      <x:c r="I146" t="str">
        <x:f>TEXT(G146,"yyyy-mm")</x:f>
        <x:v>2025-05</x:v>
      </x:c>
    </x:row>
    <x:row r="147" ht="19" customHeight="1">
      <x:c r="A147" s="2" t="n">
        <x:v>45803</x:v>
      </x:c>
      <x:c r="B147" t="str">
        <x:f>CHOOSE(WEEKDAY(A147,2),"Lunes","Martes","Miércoles","Jueves","Viernes","Sábado","Domingo")</x:f>
        <x:v>Lunes</x:v>
      </x:c>
      <x:c r="C147" t="str">
        <x:f>IF(COUNTIF(FERIADOS!$A$2:$A$250,A147)&gt;0,"SÍ","NO")</x:f>
        <x:v>NO</x:v>
      </x:c>
      <x:c r="D147" t="str">
        <x:f>IF(AND(WEEKDAY(A147,2)&lt;=5,C147="NO"),"SÍ","NO")</x:f>
        <x:v>SÍ</x:v>
      </x:c>
      <x:c r="E147" s="2" t="n">
        <x:f>WORKDAY.INTL(A147-1,1,1,FERIADOS!$A$2:$A$250)</x:f>
        <x:v>45803</x:v>
      </x:c>
      <x:c r="F147" t="str">
        <x:f>IF(E147&gt;=WORKDAY.INTL(EOMONTH(E147,0)+1,-2,1,FERIADOS!$A$2:$A$250),"SÍ","NO")</x:f>
        <x:v>NO</x:v>
      </x:c>
      <x:c r="G147" s="10" t="n">
        <x:f>IF(F147="SÍ",EOMONTH(E147,0)+1,DATE(YEAR(E147),MONTH(E147),1))</x:f>
        <x:v>45778</x:v>
      </x:c>
      <x:c r="H147" t="str">
        <x:f>IF(D147="NO",IF(C147="SÍ","FERIADO","FIN DE SEMANA"),"LABORABLE")&amp;IF(F147="SÍ"," + CIERRE","")</x:f>
        <x:v>LABORABLE</x:v>
      </x:c>
      <x:c r="I147" t="str">
        <x:f>TEXT(G147,"yyyy-mm")</x:f>
        <x:v>2025-05</x:v>
      </x:c>
    </x:row>
    <x:row r="148" ht="19" customHeight="1">
      <x:c r="A148" s="2" t="n">
        <x:v>45804</x:v>
      </x:c>
      <x:c r="B148" t="str">
        <x:f>CHOOSE(WEEKDAY(A148,2),"Lunes","Martes","Miércoles","Jueves","Viernes","Sábado","Domingo")</x:f>
        <x:v>Martes</x:v>
      </x:c>
      <x:c r="C148" t="str">
        <x:f>IF(COUNTIF(FERIADOS!$A$2:$A$250,A148)&gt;0,"SÍ","NO")</x:f>
        <x:v>NO</x:v>
      </x:c>
      <x:c r="D148" t="str">
        <x:f>IF(AND(WEEKDAY(A148,2)&lt;=5,C148="NO"),"SÍ","NO")</x:f>
        <x:v>SÍ</x:v>
      </x:c>
      <x:c r="E148" s="2" t="n">
        <x:f>WORKDAY.INTL(A148-1,1,1,FERIADOS!$A$2:$A$250)</x:f>
        <x:v>45804</x:v>
      </x:c>
      <x:c r="F148" t="str">
        <x:f>IF(E148&gt;=WORKDAY.INTL(EOMONTH(E148,0)+1,-2,1,FERIADOS!$A$2:$A$250),"SÍ","NO")</x:f>
        <x:v>NO</x:v>
      </x:c>
      <x:c r="G148" s="10" t="n">
        <x:f>IF(F148="SÍ",EOMONTH(E148,0)+1,DATE(YEAR(E148),MONTH(E148),1))</x:f>
        <x:v>45778</x:v>
      </x:c>
      <x:c r="H148" t="str">
        <x:f>IF(D148="NO",IF(C148="SÍ","FERIADO","FIN DE SEMANA"),"LABORABLE")&amp;IF(F148="SÍ"," + CIERRE","")</x:f>
        <x:v>LABORABLE</x:v>
      </x:c>
      <x:c r="I148" t="str">
        <x:f>TEXT(G148,"yyyy-mm")</x:f>
        <x:v>2025-05</x:v>
      </x:c>
    </x:row>
    <x:row r="149" ht="19" customHeight="1">
      <x:c r="A149" s="2" t="n">
        <x:v>45805</x:v>
      </x:c>
      <x:c r="B149" t="str">
        <x:f>CHOOSE(WEEKDAY(A149,2),"Lunes","Martes","Miércoles","Jueves","Viernes","Sábado","Domingo")</x:f>
        <x:v>Miércoles</x:v>
      </x:c>
      <x:c r="C149" t="str">
        <x:f>IF(COUNTIF(FERIADOS!$A$2:$A$250,A149)&gt;0,"SÍ","NO")</x:f>
        <x:v>NO</x:v>
      </x:c>
      <x:c r="D149" t="str">
        <x:f>IF(AND(WEEKDAY(A149,2)&lt;=5,C149="NO"),"SÍ","NO")</x:f>
        <x:v>SÍ</x:v>
      </x:c>
      <x:c r="E149" s="2" t="n">
        <x:f>WORKDAY.INTL(A149-1,1,1,FERIADOS!$A$2:$A$250)</x:f>
        <x:v>45805</x:v>
      </x:c>
      <x:c r="F149" t="str">
        <x:f>IF(E149&gt;=WORKDAY.INTL(EOMONTH(E149,0)+1,-2,1,FERIADOS!$A$2:$A$250),"SÍ","NO")</x:f>
        <x:v>NO</x:v>
      </x:c>
      <x:c r="G149" s="10" t="n">
        <x:f>IF(F149="SÍ",EOMONTH(E149,0)+1,DATE(YEAR(E149),MONTH(E149),1))</x:f>
        <x:v>45778</x:v>
      </x:c>
      <x:c r="H149" t="str">
        <x:f>IF(D149="NO",IF(C149="SÍ","FERIADO","FIN DE SEMANA"),"LABORABLE")&amp;IF(F149="SÍ"," + CIERRE","")</x:f>
        <x:v>LABORABLE</x:v>
      </x:c>
      <x:c r="I149" t="str">
        <x:f>TEXT(G149,"yyyy-mm")</x:f>
        <x:v>2025-05</x:v>
      </x:c>
    </x:row>
    <x:row r="150" ht="19" customHeight="1">
      <x:c r="A150" s="2" t="n">
        <x:v>45806</x:v>
      </x:c>
      <x:c r="B150" t="str">
        <x:f>CHOOSE(WEEKDAY(A150,2),"Lunes","Martes","Miércoles","Jueves","Viernes","Sábado","Domingo")</x:f>
        <x:v>Jueves</x:v>
      </x:c>
      <x:c r="C150" t="str">
        <x:f>IF(COUNTIF(FERIADOS!$A$2:$A$250,A150)&gt;0,"SÍ","NO")</x:f>
        <x:v>NO</x:v>
      </x:c>
      <x:c r="D150" t="str">
        <x:f>IF(AND(WEEKDAY(A150,2)&lt;=5,C150="NO"),"SÍ","NO")</x:f>
        <x:v>SÍ</x:v>
      </x:c>
      <x:c r="E150" s="2" t="n">
        <x:f>WORKDAY.INTL(A150-1,1,1,FERIADOS!$A$2:$A$250)</x:f>
        <x:v>45806</x:v>
      </x:c>
      <x:c r="F150" t="str">
        <x:f>IF(E150&gt;=WORKDAY.INTL(EOMONTH(E150,0)+1,-2,1,FERIADOS!$A$2:$A$250),"SÍ","NO")</x:f>
        <x:v>SÍ</x:v>
      </x:c>
      <x:c r="G150" s="10" t="n">
        <x:f>IF(F150="SÍ",EOMONTH(E150,0)+1,DATE(YEAR(E150),MONTH(E150),1))</x:f>
        <x:v>45809</x:v>
      </x:c>
      <x:c r="H150" t="str">
        <x:f>IF(D150="NO",IF(C150="SÍ","FERIADO","FIN DE SEMANA"),"LABORABLE")&amp;IF(F150="SÍ"," + CIERRE","")</x:f>
        <x:v>LABORABLE + CIERRE</x:v>
      </x:c>
      <x:c r="I150" t="str">
        <x:f>TEXT(G150,"yyyy-mm")</x:f>
        <x:v>2025-06</x:v>
      </x:c>
    </x:row>
    <x:row r="151" ht="19" customHeight="1">
      <x:c r="A151" s="2" t="n">
        <x:v>45807</x:v>
      </x:c>
      <x:c r="B151" t="str">
        <x:f>CHOOSE(WEEKDAY(A151,2),"Lunes","Martes","Miércoles","Jueves","Viernes","Sábado","Domingo")</x:f>
        <x:v>Viernes</x:v>
      </x:c>
      <x:c r="C151" t="str">
        <x:f>IF(COUNTIF(FERIADOS!$A$2:$A$250,A151)&gt;0,"SÍ","NO")</x:f>
        <x:v>NO</x:v>
      </x:c>
      <x:c r="D151" t="str">
        <x:f>IF(AND(WEEKDAY(A151,2)&lt;=5,C151="NO"),"SÍ","NO")</x:f>
        <x:v>SÍ</x:v>
      </x:c>
      <x:c r="E151" s="2" t="n">
        <x:f>WORKDAY.INTL(A151-1,1,1,FERIADOS!$A$2:$A$250)</x:f>
        <x:v>45807</x:v>
      </x:c>
      <x:c r="F151" t="str">
        <x:f>IF(E151&gt;=WORKDAY.INTL(EOMONTH(E151,0)+1,-2,1,FERIADOS!$A$2:$A$250),"SÍ","NO")</x:f>
        <x:v>SÍ</x:v>
      </x:c>
      <x:c r="G151" s="10" t="n">
        <x:f>IF(F151="SÍ",EOMONTH(E151,0)+1,DATE(YEAR(E151),MONTH(E151),1))</x:f>
        <x:v>45809</x:v>
      </x:c>
      <x:c r="H151" t="str">
        <x:f>IF(D151="NO",IF(C151="SÍ","FERIADO","FIN DE SEMANA"),"LABORABLE")&amp;IF(F151="SÍ"," + CIERRE","")</x:f>
        <x:v>LABORABLE + CIERRE</x:v>
      </x:c>
      <x:c r="I151" t="str">
        <x:f>TEXT(G151,"yyyy-mm")</x:f>
        <x:v>2025-06</x:v>
      </x:c>
    </x:row>
    <x:row r="152" ht="19" customHeight="1">
      <x:c r="A152" s="2" t="n">
        <x:v>45808</x:v>
      </x:c>
      <x:c r="B152" t="str">
        <x:f>CHOOSE(WEEKDAY(A152,2),"Lunes","Martes","Miércoles","Jueves","Viernes","Sábado","Domingo")</x:f>
        <x:v>Sábado</x:v>
      </x:c>
      <x:c r="C152" t="str">
        <x:f>IF(COUNTIF(FERIADOS!$A$2:$A$250,A152)&gt;0,"SÍ","NO")</x:f>
        <x:v>NO</x:v>
      </x:c>
      <x:c r="D152" t="str">
        <x:f>IF(AND(WEEKDAY(A152,2)&lt;=5,C152="NO"),"SÍ","NO")</x:f>
        <x:v>NO</x:v>
      </x:c>
      <x:c r="E152" s="2" t="n">
        <x:f>WORKDAY.INTL(A152-1,1,1,FERIADOS!$A$2:$A$250)</x:f>
        <x:v>45810</x:v>
      </x:c>
      <x:c r="F152" t="str">
        <x:f>IF(E152&gt;=WORKDAY.INTL(EOMONTH(E152,0)+1,-2,1,FERIADOS!$A$2:$A$250),"SÍ","NO")</x:f>
        <x:v>NO</x:v>
      </x:c>
      <x:c r="G152" s="10" t="n">
        <x:f>IF(F152="SÍ",EOMONTH(E152,0)+1,DATE(YEAR(E152),MONTH(E152),1))</x:f>
        <x:v>45809</x:v>
      </x:c>
      <x:c r="H152" t="str">
        <x:f>IF(D152="NO",IF(C152="SÍ","FERIADO","FIN DE SEMANA"),"LABORABLE")&amp;IF(F152="SÍ"," + CIERRE","")</x:f>
        <x:v>FIN DE SEMANA</x:v>
      </x:c>
      <x:c r="I152" t="str">
        <x:f>TEXT(G152,"yyyy-mm")</x:f>
        <x:v>2025-06</x:v>
      </x:c>
    </x:row>
    <x:row r="153" ht="19" customHeight="1">
      <x:c r="A153" s="2" t="n">
        <x:v>45809</x:v>
      </x:c>
      <x:c r="B153" t="str">
        <x:f>CHOOSE(WEEKDAY(A153,2),"Lunes","Martes","Miércoles","Jueves","Viernes","Sábado","Domingo")</x:f>
        <x:v>Domingo</x:v>
      </x:c>
      <x:c r="C153" t="str">
        <x:f>IF(COUNTIF(FERIADOS!$A$2:$A$250,A153)&gt;0,"SÍ","NO")</x:f>
        <x:v>NO</x:v>
      </x:c>
      <x:c r="D153" t="str">
        <x:f>IF(AND(WEEKDAY(A153,2)&lt;=5,C153="NO"),"SÍ","NO")</x:f>
        <x:v>NO</x:v>
      </x:c>
      <x:c r="E153" s="2" t="n">
        <x:f>WORKDAY.INTL(A153-1,1,1,FERIADOS!$A$2:$A$250)</x:f>
        <x:v>45810</x:v>
      </x:c>
      <x:c r="F153" t="str">
        <x:f>IF(E153&gt;=WORKDAY.INTL(EOMONTH(E153,0)+1,-2,1,FERIADOS!$A$2:$A$250),"SÍ","NO")</x:f>
        <x:v>NO</x:v>
      </x:c>
      <x:c r="G153" s="10" t="n">
        <x:f>IF(F153="SÍ",EOMONTH(E153,0)+1,DATE(YEAR(E153),MONTH(E153),1))</x:f>
        <x:v>45809</x:v>
      </x:c>
      <x:c r="H153" t="str">
        <x:f>IF(D153="NO",IF(C153="SÍ","FERIADO","FIN DE SEMANA"),"LABORABLE")&amp;IF(F153="SÍ"," + CIERRE","")</x:f>
        <x:v>FIN DE SEMANA</x:v>
      </x:c>
      <x:c r="I153" t="str">
        <x:f>TEXT(G153,"yyyy-mm")</x:f>
        <x:v>2025-06</x:v>
      </x:c>
    </x:row>
    <x:row r="154" ht="19" customHeight="1">
      <x:c r="A154" s="2" t="n">
        <x:v>45810</x:v>
      </x:c>
      <x:c r="B154" t="str">
        <x:f>CHOOSE(WEEKDAY(A154,2),"Lunes","Martes","Miércoles","Jueves","Viernes","Sábado","Domingo")</x:f>
        <x:v>Lunes</x:v>
      </x:c>
      <x:c r="C154" t="str">
        <x:f>IF(COUNTIF(FERIADOS!$A$2:$A$250,A154)&gt;0,"SÍ","NO")</x:f>
        <x:v>NO</x:v>
      </x:c>
      <x:c r="D154" t="str">
        <x:f>IF(AND(WEEKDAY(A154,2)&lt;=5,C154="NO"),"SÍ","NO")</x:f>
        <x:v>SÍ</x:v>
      </x:c>
      <x:c r="E154" s="2" t="n">
        <x:f>WORKDAY.INTL(A154-1,1,1,FERIADOS!$A$2:$A$250)</x:f>
        <x:v>45810</x:v>
      </x:c>
      <x:c r="F154" t="str">
        <x:f>IF(E154&gt;=WORKDAY.INTL(EOMONTH(E154,0)+1,-2,1,FERIADOS!$A$2:$A$250),"SÍ","NO")</x:f>
        <x:v>NO</x:v>
      </x:c>
      <x:c r="G154" s="10" t="n">
        <x:f>IF(F154="SÍ",EOMONTH(E154,0)+1,DATE(YEAR(E154),MONTH(E154),1))</x:f>
        <x:v>45809</x:v>
      </x:c>
      <x:c r="H154" t="str">
        <x:f>IF(D154="NO",IF(C154="SÍ","FERIADO","FIN DE SEMANA"),"LABORABLE")&amp;IF(F154="SÍ"," + CIERRE","")</x:f>
        <x:v>LABORABLE</x:v>
      </x:c>
      <x:c r="I154" t="str">
        <x:f>TEXT(G154,"yyyy-mm")</x:f>
        <x:v>2025-06</x:v>
      </x:c>
    </x:row>
    <x:row r="155" ht="19" customHeight="1">
      <x:c r="A155" s="2" t="n">
        <x:v>45811</x:v>
      </x:c>
      <x:c r="B155" t="str">
        <x:f>CHOOSE(WEEKDAY(A155,2),"Lunes","Martes","Miércoles","Jueves","Viernes","Sábado","Domingo")</x:f>
        <x:v>Martes</x:v>
      </x:c>
      <x:c r="C155" t="str">
        <x:f>IF(COUNTIF(FERIADOS!$A$2:$A$250,A155)&gt;0,"SÍ","NO")</x:f>
        <x:v>NO</x:v>
      </x:c>
      <x:c r="D155" t="str">
        <x:f>IF(AND(WEEKDAY(A155,2)&lt;=5,C155="NO"),"SÍ","NO")</x:f>
        <x:v>SÍ</x:v>
      </x:c>
      <x:c r="E155" s="2" t="n">
        <x:f>WORKDAY.INTL(A155-1,1,1,FERIADOS!$A$2:$A$250)</x:f>
        <x:v>45811</x:v>
      </x:c>
      <x:c r="F155" t="str">
        <x:f>IF(E155&gt;=WORKDAY.INTL(EOMONTH(E155,0)+1,-2,1,FERIADOS!$A$2:$A$250),"SÍ","NO")</x:f>
        <x:v>NO</x:v>
      </x:c>
      <x:c r="G155" s="10" t="n">
        <x:f>IF(F155="SÍ",EOMONTH(E155,0)+1,DATE(YEAR(E155),MONTH(E155),1))</x:f>
        <x:v>45809</x:v>
      </x:c>
      <x:c r="H155" t="str">
        <x:f>IF(D155="NO",IF(C155="SÍ","FERIADO","FIN DE SEMANA"),"LABORABLE")&amp;IF(F155="SÍ"," + CIERRE","")</x:f>
        <x:v>LABORABLE</x:v>
      </x:c>
      <x:c r="I155" t="str">
        <x:f>TEXT(G155,"yyyy-mm")</x:f>
        <x:v>2025-06</x:v>
      </x:c>
    </x:row>
    <x:row r="156" ht="19" customHeight="1">
      <x:c r="A156" s="2" t="n">
        <x:v>45812</x:v>
      </x:c>
      <x:c r="B156" t="str">
        <x:f>CHOOSE(WEEKDAY(A156,2),"Lunes","Martes","Miércoles","Jueves","Viernes","Sábado","Domingo")</x:f>
        <x:v>Miércoles</x:v>
      </x:c>
      <x:c r="C156" t="str">
        <x:f>IF(COUNTIF(FERIADOS!$A$2:$A$250,A156)&gt;0,"SÍ","NO")</x:f>
        <x:v>NO</x:v>
      </x:c>
      <x:c r="D156" t="str">
        <x:f>IF(AND(WEEKDAY(A156,2)&lt;=5,C156="NO"),"SÍ","NO")</x:f>
        <x:v>SÍ</x:v>
      </x:c>
      <x:c r="E156" s="2" t="n">
        <x:f>WORKDAY.INTL(A156-1,1,1,FERIADOS!$A$2:$A$250)</x:f>
        <x:v>45812</x:v>
      </x:c>
      <x:c r="F156" t="str">
        <x:f>IF(E156&gt;=WORKDAY.INTL(EOMONTH(E156,0)+1,-2,1,FERIADOS!$A$2:$A$250),"SÍ","NO")</x:f>
        <x:v>NO</x:v>
      </x:c>
      <x:c r="G156" s="10" t="n">
        <x:f>IF(F156="SÍ",EOMONTH(E156,0)+1,DATE(YEAR(E156),MONTH(E156),1))</x:f>
        <x:v>45809</x:v>
      </x:c>
      <x:c r="H156" t="str">
        <x:f>IF(D156="NO",IF(C156="SÍ","FERIADO","FIN DE SEMANA"),"LABORABLE")&amp;IF(F156="SÍ"," + CIERRE","")</x:f>
        <x:v>LABORABLE</x:v>
      </x:c>
      <x:c r="I156" t="str">
        <x:f>TEXT(G156,"yyyy-mm")</x:f>
        <x:v>2025-06</x:v>
      </x:c>
    </x:row>
    <x:row r="157" ht="19" customHeight="1">
      <x:c r="A157" s="2" t="n">
        <x:v>45813</x:v>
      </x:c>
      <x:c r="B157" t="str">
        <x:f>CHOOSE(WEEKDAY(A157,2),"Lunes","Martes","Miércoles","Jueves","Viernes","Sábado","Domingo")</x:f>
        <x:v>Jueves</x:v>
      </x:c>
      <x:c r="C157" t="str">
        <x:f>IF(COUNTIF(FERIADOS!$A$2:$A$250,A157)&gt;0,"SÍ","NO")</x:f>
        <x:v>NO</x:v>
      </x:c>
      <x:c r="D157" t="str">
        <x:f>IF(AND(WEEKDAY(A157,2)&lt;=5,C157="NO"),"SÍ","NO")</x:f>
        <x:v>SÍ</x:v>
      </x:c>
      <x:c r="E157" s="2" t="n">
        <x:f>WORKDAY.INTL(A157-1,1,1,FERIADOS!$A$2:$A$250)</x:f>
        <x:v>45813</x:v>
      </x:c>
      <x:c r="F157" t="str">
        <x:f>IF(E157&gt;=WORKDAY.INTL(EOMONTH(E157,0)+1,-2,1,FERIADOS!$A$2:$A$250),"SÍ","NO")</x:f>
        <x:v>NO</x:v>
      </x:c>
      <x:c r="G157" s="10" t="n">
        <x:f>IF(F157="SÍ",EOMONTH(E157,0)+1,DATE(YEAR(E157),MONTH(E157),1))</x:f>
        <x:v>45809</x:v>
      </x:c>
      <x:c r="H157" t="str">
        <x:f>IF(D157="NO",IF(C157="SÍ","FERIADO","FIN DE SEMANA"),"LABORABLE")&amp;IF(F157="SÍ"," + CIERRE","")</x:f>
        <x:v>LABORABLE</x:v>
      </x:c>
      <x:c r="I157" t="str">
        <x:f>TEXT(G157,"yyyy-mm")</x:f>
        <x:v>2025-06</x:v>
      </x:c>
    </x:row>
    <x:row r="158" ht="19" customHeight="1">
      <x:c r="A158" s="2" t="n">
        <x:v>45814</x:v>
      </x:c>
      <x:c r="B158" t="str">
        <x:f>CHOOSE(WEEKDAY(A158,2),"Lunes","Martes","Miércoles","Jueves","Viernes","Sábado","Domingo")</x:f>
        <x:v>Viernes</x:v>
      </x:c>
      <x:c r="C158" t="str">
        <x:f>IF(COUNTIF(FERIADOS!$A$2:$A$250,A158)&gt;0,"SÍ","NO")</x:f>
        <x:v>NO</x:v>
      </x:c>
      <x:c r="D158" t="str">
        <x:f>IF(AND(WEEKDAY(A158,2)&lt;=5,C158="NO"),"SÍ","NO")</x:f>
        <x:v>SÍ</x:v>
      </x:c>
      <x:c r="E158" s="2" t="n">
        <x:f>WORKDAY.INTL(A158-1,1,1,FERIADOS!$A$2:$A$250)</x:f>
        <x:v>45814</x:v>
      </x:c>
      <x:c r="F158" t="str">
        <x:f>IF(E158&gt;=WORKDAY.INTL(EOMONTH(E158,0)+1,-2,1,FERIADOS!$A$2:$A$250),"SÍ","NO")</x:f>
        <x:v>NO</x:v>
      </x:c>
      <x:c r="G158" s="10" t="n">
        <x:f>IF(F158="SÍ",EOMONTH(E158,0)+1,DATE(YEAR(E158),MONTH(E158),1))</x:f>
        <x:v>45809</x:v>
      </x:c>
      <x:c r="H158" t="str">
        <x:f>IF(D158="NO",IF(C158="SÍ","FERIADO","FIN DE SEMANA"),"LABORABLE")&amp;IF(F158="SÍ"," + CIERRE","")</x:f>
        <x:v>LABORABLE</x:v>
      </x:c>
      <x:c r="I158" t="str">
        <x:f>TEXT(G158,"yyyy-mm")</x:f>
        <x:v>2025-06</x:v>
      </x:c>
    </x:row>
    <x:row r="159" ht="19" customHeight="1">
      <x:c r="A159" s="2" t="n">
        <x:v>45815</x:v>
      </x:c>
      <x:c r="B159" t="str">
        <x:f>CHOOSE(WEEKDAY(A159,2),"Lunes","Martes","Miércoles","Jueves","Viernes","Sábado","Domingo")</x:f>
        <x:v>Sábado</x:v>
      </x:c>
      <x:c r="C159" t="str">
        <x:f>IF(COUNTIF(FERIADOS!$A$2:$A$250,A159)&gt;0,"SÍ","NO")</x:f>
        <x:v>NO</x:v>
      </x:c>
      <x:c r="D159" t="str">
        <x:f>IF(AND(WEEKDAY(A159,2)&lt;=5,C159="NO"),"SÍ","NO")</x:f>
        <x:v>NO</x:v>
      </x:c>
      <x:c r="E159" s="2" t="n">
        <x:f>WORKDAY.INTL(A159-1,1,1,FERIADOS!$A$2:$A$250)</x:f>
        <x:v>45817</x:v>
      </x:c>
      <x:c r="F159" t="str">
        <x:f>IF(E159&gt;=WORKDAY.INTL(EOMONTH(E159,0)+1,-2,1,FERIADOS!$A$2:$A$250),"SÍ","NO")</x:f>
        <x:v>NO</x:v>
      </x:c>
      <x:c r="G159" s="10" t="n">
        <x:f>IF(F159="SÍ",EOMONTH(E159,0)+1,DATE(YEAR(E159),MONTH(E159),1))</x:f>
        <x:v>45809</x:v>
      </x:c>
      <x:c r="H159" t="str">
        <x:f>IF(D159="NO",IF(C159="SÍ","FERIADO","FIN DE SEMANA"),"LABORABLE")&amp;IF(F159="SÍ"," + CIERRE","")</x:f>
        <x:v>FIN DE SEMANA</x:v>
      </x:c>
      <x:c r="I159" t="str">
        <x:f>TEXT(G159,"yyyy-mm")</x:f>
        <x:v>2025-06</x:v>
      </x:c>
    </x:row>
    <x:row r="160" ht="19" customHeight="1">
      <x:c r="A160" s="2" t="n">
        <x:v>45816</x:v>
      </x:c>
      <x:c r="B160" t="str">
        <x:f>CHOOSE(WEEKDAY(A160,2),"Lunes","Martes","Miércoles","Jueves","Viernes","Sábado","Domingo")</x:f>
        <x:v>Domingo</x:v>
      </x:c>
      <x:c r="C160" t="str">
        <x:f>IF(COUNTIF(FERIADOS!$A$2:$A$250,A160)&gt;0,"SÍ","NO")</x:f>
        <x:v>NO</x:v>
      </x:c>
      <x:c r="D160" t="str">
        <x:f>IF(AND(WEEKDAY(A160,2)&lt;=5,C160="NO"),"SÍ","NO")</x:f>
        <x:v>NO</x:v>
      </x:c>
      <x:c r="E160" s="2" t="n">
        <x:f>WORKDAY.INTL(A160-1,1,1,FERIADOS!$A$2:$A$250)</x:f>
        <x:v>45817</x:v>
      </x:c>
      <x:c r="F160" t="str">
        <x:f>IF(E160&gt;=WORKDAY.INTL(EOMONTH(E160,0)+1,-2,1,FERIADOS!$A$2:$A$250),"SÍ","NO")</x:f>
        <x:v>NO</x:v>
      </x:c>
      <x:c r="G160" s="10" t="n">
        <x:f>IF(F160="SÍ",EOMONTH(E160,0)+1,DATE(YEAR(E160),MONTH(E160),1))</x:f>
        <x:v>45809</x:v>
      </x:c>
      <x:c r="H160" t="str">
        <x:f>IF(D160="NO",IF(C160="SÍ","FERIADO","FIN DE SEMANA"),"LABORABLE")&amp;IF(F160="SÍ"," + CIERRE","")</x:f>
        <x:v>FIN DE SEMANA</x:v>
      </x:c>
      <x:c r="I160" t="str">
        <x:f>TEXT(G160,"yyyy-mm")</x:f>
        <x:v>2025-06</x:v>
      </x:c>
    </x:row>
    <x:row r="161" ht="19" customHeight="1">
      <x:c r="A161" s="2" t="n">
        <x:v>45817</x:v>
      </x:c>
      <x:c r="B161" t="str">
        <x:f>CHOOSE(WEEKDAY(A161,2),"Lunes","Martes","Miércoles","Jueves","Viernes","Sábado","Domingo")</x:f>
        <x:v>Lunes</x:v>
      </x:c>
      <x:c r="C161" t="str">
        <x:f>IF(COUNTIF(FERIADOS!$A$2:$A$250,A161)&gt;0,"SÍ","NO")</x:f>
        <x:v>NO</x:v>
      </x:c>
      <x:c r="D161" t="str">
        <x:f>IF(AND(WEEKDAY(A161,2)&lt;=5,C161="NO"),"SÍ","NO")</x:f>
        <x:v>SÍ</x:v>
      </x:c>
      <x:c r="E161" s="2" t="n">
        <x:f>WORKDAY.INTL(A161-1,1,1,FERIADOS!$A$2:$A$250)</x:f>
        <x:v>45817</x:v>
      </x:c>
      <x:c r="F161" t="str">
        <x:f>IF(E161&gt;=WORKDAY.INTL(EOMONTH(E161,0)+1,-2,1,FERIADOS!$A$2:$A$250),"SÍ","NO")</x:f>
        <x:v>NO</x:v>
      </x:c>
      <x:c r="G161" s="10" t="n">
        <x:f>IF(F161="SÍ",EOMONTH(E161,0)+1,DATE(YEAR(E161),MONTH(E161),1))</x:f>
        <x:v>45809</x:v>
      </x:c>
      <x:c r="H161" t="str">
        <x:f>IF(D161="NO",IF(C161="SÍ","FERIADO","FIN DE SEMANA"),"LABORABLE")&amp;IF(F161="SÍ"," + CIERRE","")</x:f>
        <x:v>LABORABLE</x:v>
      </x:c>
      <x:c r="I161" t="str">
        <x:f>TEXT(G161,"yyyy-mm")</x:f>
        <x:v>2025-06</x:v>
      </x:c>
    </x:row>
    <x:row r="162" ht="19" customHeight="1">
      <x:c r="A162" s="2" t="n">
        <x:v>45818</x:v>
      </x:c>
      <x:c r="B162" t="str">
        <x:f>CHOOSE(WEEKDAY(A162,2),"Lunes","Martes","Miércoles","Jueves","Viernes","Sábado","Domingo")</x:f>
        <x:v>Martes</x:v>
      </x:c>
      <x:c r="C162" t="str">
        <x:f>IF(COUNTIF(FERIADOS!$A$2:$A$250,A162)&gt;0,"SÍ","NO")</x:f>
        <x:v>NO</x:v>
      </x:c>
      <x:c r="D162" t="str">
        <x:f>IF(AND(WEEKDAY(A162,2)&lt;=5,C162="NO"),"SÍ","NO")</x:f>
        <x:v>SÍ</x:v>
      </x:c>
      <x:c r="E162" s="2" t="n">
        <x:f>WORKDAY.INTL(A162-1,1,1,FERIADOS!$A$2:$A$250)</x:f>
        <x:v>45818</x:v>
      </x:c>
      <x:c r="F162" t="str">
        <x:f>IF(E162&gt;=WORKDAY.INTL(EOMONTH(E162,0)+1,-2,1,FERIADOS!$A$2:$A$250),"SÍ","NO")</x:f>
        <x:v>NO</x:v>
      </x:c>
      <x:c r="G162" s="10" t="n">
        <x:f>IF(F162="SÍ",EOMONTH(E162,0)+1,DATE(YEAR(E162),MONTH(E162),1))</x:f>
        <x:v>45809</x:v>
      </x:c>
      <x:c r="H162" t="str">
        <x:f>IF(D162="NO",IF(C162="SÍ","FERIADO","FIN DE SEMANA"),"LABORABLE")&amp;IF(F162="SÍ"," + CIERRE","")</x:f>
        <x:v>LABORABLE</x:v>
      </x:c>
      <x:c r="I162" t="str">
        <x:f>TEXT(G162,"yyyy-mm")</x:f>
        <x:v>2025-06</x:v>
      </x:c>
    </x:row>
    <x:row r="163" ht="19" customHeight="1">
      <x:c r="A163" s="2" t="n">
        <x:v>45819</x:v>
      </x:c>
      <x:c r="B163" t="str">
        <x:f>CHOOSE(WEEKDAY(A163,2),"Lunes","Martes","Miércoles","Jueves","Viernes","Sábado","Domingo")</x:f>
        <x:v>Miércoles</x:v>
      </x:c>
      <x:c r="C163" t="str">
        <x:f>IF(COUNTIF(FERIADOS!$A$2:$A$250,A163)&gt;0,"SÍ","NO")</x:f>
        <x:v>NO</x:v>
      </x:c>
      <x:c r="D163" t="str">
        <x:f>IF(AND(WEEKDAY(A163,2)&lt;=5,C163="NO"),"SÍ","NO")</x:f>
        <x:v>SÍ</x:v>
      </x:c>
      <x:c r="E163" s="2" t="n">
        <x:f>WORKDAY.INTL(A163-1,1,1,FERIADOS!$A$2:$A$250)</x:f>
        <x:v>45819</x:v>
      </x:c>
      <x:c r="F163" t="str">
        <x:f>IF(E163&gt;=WORKDAY.INTL(EOMONTH(E163,0)+1,-2,1,FERIADOS!$A$2:$A$250),"SÍ","NO")</x:f>
        <x:v>NO</x:v>
      </x:c>
      <x:c r="G163" s="10" t="n">
        <x:f>IF(F163="SÍ",EOMONTH(E163,0)+1,DATE(YEAR(E163),MONTH(E163),1))</x:f>
        <x:v>45809</x:v>
      </x:c>
      <x:c r="H163" t="str">
        <x:f>IF(D163="NO",IF(C163="SÍ","FERIADO","FIN DE SEMANA"),"LABORABLE")&amp;IF(F163="SÍ"," + CIERRE","")</x:f>
        <x:v>LABORABLE</x:v>
      </x:c>
      <x:c r="I163" t="str">
        <x:f>TEXT(G163,"yyyy-mm")</x:f>
        <x:v>2025-06</x:v>
      </x:c>
    </x:row>
    <x:row r="164" ht="19" customHeight="1">
      <x:c r="A164" s="2" t="n">
        <x:v>45820</x:v>
      </x:c>
      <x:c r="B164" t="str">
        <x:f>CHOOSE(WEEKDAY(A164,2),"Lunes","Martes","Miércoles","Jueves","Viernes","Sábado","Domingo")</x:f>
        <x:v>Jueves</x:v>
      </x:c>
      <x:c r="C164" t="str">
        <x:f>IF(COUNTIF(FERIADOS!$A$2:$A$250,A164)&gt;0,"SÍ","NO")</x:f>
        <x:v>NO</x:v>
      </x:c>
      <x:c r="D164" t="str">
        <x:f>IF(AND(WEEKDAY(A164,2)&lt;=5,C164="NO"),"SÍ","NO")</x:f>
        <x:v>SÍ</x:v>
      </x:c>
      <x:c r="E164" s="2" t="n">
        <x:f>WORKDAY.INTL(A164-1,1,1,FERIADOS!$A$2:$A$250)</x:f>
        <x:v>45820</x:v>
      </x:c>
      <x:c r="F164" t="str">
        <x:f>IF(E164&gt;=WORKDAY.INTL(EOMONTH(E164,0)+1,-2,1,FERIADOS!$A$2:$A$250),"SÍ","NO")</x:f>
        <x:v>NO</x:v>
      </x:c>
      <x:c r="G164" s="10" t="n">
        <x:f>IF(F164="SÍ",EOMONTH(E164,0)+1,DATE(YEAR(E164),MONTH(E164),1))</x:f>
        <x:v>45809</x:v>
      </x:c>
      <x:c r="H164" t="str">
        <x:f>IF(D164="NO",IF(C164="SÍ","FERIADO","FIN DE SEMANA"),"LABORABLE")&amp;IF(F164="SÍ"," + CIERRE","")</x:f>
        <x:v>LABORABLE</x:v>
      </x:c>
      <x:c r="I164" t="str">
        <x:f>TEXT(G164,"yyyy-mm")</x:f>
        <x:v>2025-06</x:v>
      </x:c>
    </x:row>
    <x:row r="165" ht="19" customHeight="1">
      <x:c r="A165" s="2" t="n">
        <x:v>45821</x:v>
      </x:c>
      <x:c r="B165" t="str">
        <x:f>CHOOSE(WEEKDAY(A165,2),"Lunes","Martes","Miércoles","Jueves","Viernes","Sábado","Domingo")</x:f>
        <x:v>Viernes</x:v>
      </x:c>
      <x:c r="C165" t="str">
        <x:f>IF(COUNTIF(FERIADOS!$A$2:$A$250,A165)&gt;0,"SÍ","NO")</x:f>
        <x:v>NO</x:v>
      </x:c>
      <x:c r="D165" t="str">
        <x:f>IF(AND(WEEKDAY(A165,2)&lt;=5,C165="NO"),"SÍ","NO")</x:f>
        <x:v>SÍ</x:v>
      </x:c>
      <x:c r="E165" s="2" t="n">
        <x:f>WORKDAY.INTL(A165-1,1,1,FERIADOS!$A$2:$A$250)</x:f>
        <x:v>45821</x:v>
      </x:c>
      <x:c r="F165" t="str">
        <x:f>IF(E165&gt;=WORKDAY.INTL(EOMONTH(E165,0)+1,-2,1,FERIADOS!$A$2:$A$250),"SÍ","NO")</x:f>
        <x:v>NO</x:v>
      </x:c>
      <x:c r="G165" s="10" t="n">
        <x:f>IF(F165="SÍ",EOMONTH(E165,0)+1,DATE(YEAR(E165),MONTH(E165),1))</x:f>
        <x:v>45809</x:v>
      </x:c>
      <x:c r="H165" t="str">
        <x:f>IF(D165="NO",IF(C165="SÍ","FERIADO","FIN DE SEMANA"),"LABORABLE")&amp;IF(F165="SÍ"," + CIERRE","")</x:f>
        <x:v>LABORABLE</x:v>
      </x:c>
      <x:c r="I165" t="str">
        <x:f>TEXT(G165,"yyyy-mm")</x:f>
        <x:v>2025-06</x:v>
      </x:c>
    </x:row>
    <x:row r="166" ht="19" customHeight="1">
      <x:c r="A166" s="2" t="n">
        <x:v>45822</x:v>
      </x:c>
      <x:c r="B166" t="str">
        <x:f>CHOOSE(WEEKDAY(A166,2),"Lunes","Martes","Miércoles","Jueves","Viernes","Sábado","Domingo")</x:f>
        <x:v>Sábado</x:v>
      </x:c>
      <x:c r="C166" t="str">
        <x:f>IF(COUNTIF(FERIADOS!$A$2:$A$250,A166)&gt;0,"SÍ","NO")</x:f>
        <x:v>NO</x:v>
      </x:c>
      <x:c r="D166" t="str">
        <x:f>IF(AND(WEEKDAY(A166,2)&lt;=5,C166="NO"),"SÍ","NO")</x:f>
        <x:v>NO</x:v>
      </x:c>
      <x:c r="E166" s="2" t="n">
        <x:f>WORKDAY.INTL(A166-1,1,1,FERIADOS!$A$2:$A$250)</x:f>
        <x:v>45824</x:v>
      </x:c>
      <x:c r="F166" t="str">
        <x:f>IF(E166&gt;=WORKDAY.INTL(EOMONTH(E166,0)+1,-2,1,FERIADOS!$A$2:$A$250),"SÍ","NO")</x:f>
        <x:v>NO</x:v>
      </x:c>
      <x:c r="G166" s="10" t="n">
        <x:f>IF(F166="SÍ",EOMONTH(E166,0)+1,DATE(YEAR(E166),MONTH(E166),1))</x:f>
        <x:v>45809</x:v>
      </x:c>
      <x:c r="H166" t="str">
        <x:f>IF(D166="NO",IF(C166="SÍ","FERIADO","FIN DE SEMANA"),"LABORABLE")&amp;IF(F166="SÍ"," + CIERRE","")</x:f>
        <x:v>FIN DE SEMANA</x:v>
      </x:c>
      <x:c r="I166" t="str">
        <x:f>TEXT(G166,"yyyy-mm")</x:f>
        <x:v>2025-06</x:v>
      </x:c>
    </x:row>
    <x:row r="167" ht="19" customHeight="1">
      <x:c r="A167" s="2" t="n">
        <x:v>45823</x:v>
      </x:c>
      <x:c r="B167" t="str">
        <x:f>CHOOSE(WEEKDAY(A167,2),"Lunes","Martes","Miércoles","Jueves","Viernes","Sábado","Domingo")</x:f>
        <x:v>Domingo</x:v>
      </x:c>
      <x:c r="C167" t="str">
        <x:f>IF(COUNTIF(FERIADOS!$A$2:$A$250,A167)&gt;0,"SÍ","NO")</x:f>
        <x:v>NO</x:v>
      </x:c>
      <x:c r="D167" t="str">
        <x:f>IF(AND(WEEKDAY(A167,2)&lt;=5,C167="NO"),"SÍ","NO")</x:f>
        <x:v>NO</x:v>
      </x:c>
      <x:c r="E167" s="2" t="n">
        <x:f>WORKDAY.INTL(A167-1,1,1,FERIADOS!$A$2:$A$250)</x:f>
        <x:v>45824</x:v>
      </x:c>
      <x:c r="F167" t="str">
        <x:f>IF(E167&gt;=WORKDAY.INTL(EOMONTH(E167,0)+1,-2,1,FERIADOS!$A$2:$A$250),"SÍ","NO")</x:f>
        <x:v>NO</x:v>
      </x:c>
      <x:c r="G167" s="10" t="n">
        <x:f>IF(F167="SÍ",EOMONTH(E167,0)+1,DATE(YEAR(E167),MONTH(E167),1))</x:f>
        <x:v>45809</x:v>
      </x:c>
      <x:c r="H167" t="str">
        <x:f>IF(D167="NO",IF(C167="SÍ","FERIADO","FIN DE SEMANA"),"LABORABLE")&amp;IF(F167="SÍ"," + CIERRE","")</x:f>
        <x:v>FIN DE SEMANA</x:v>
      </x:c>
      <x:c r="I167" t="str">
        <x:f>TEXT(G167,"yyyy-mm")</x:f>
        <x:v>2025-06</x:v>
      </x:c>
    </x:row>
    <x:row r="168" ht="19" customHeight="1">
      <x:c r="A168" s="2" t="n">
        <x:v>45824</x:v>
      </x:c>
      <x:c r="B168" t="str">
        <x:f>CHOOSE(WEEKDAY(A168,2),"Lunes","Martes","Miércoles","Jueves","Viernes","Sábado","Domingo")</x:f>
        <x:v>Lunes</x:v>
      </x:c>
      <x:c r="C168" t="str">
        <x:f>IF(COUNTIF(FERIADOS!$A$2:$A$250,A168)&gt;0,"SÍ","NO")</x:f>
        <x:v>NO</x:v>
      </x:c>
      <x:c r="D168" t="str">
        <x:f>IF(AND(WEEKDAY(A168,2)&lt;=5,C168="NO"),"SÍ","NO")</x:f>
        <x:v>SÍ</x:v>
      </x:c>
      <x:c r="E168" s="2" t="n">
        <x:f>WORKDAY.INTL(A168-1,1,1,FERIADOS!$A$2:$A$250)</x:f>
        <x:v>45824</x:v>
      </x:c>
      <x:c r="F168" t="str">
        <x:f>IF(E168&gt;=WORKDAY.INTL(EOMONTH(E168,0)+1,-2,1,FERIADOS!$A$2:$A$250),"SÍ","NO")</x:f>
        <x:v>NO</x:v>
      </x:c>
      <x:c r="G168" s="10" t="n">
        <x:f>IF(F168="SÍ",EOMONTH(E168,0)+1,DATE(YEAR(E168),MONTH(E168),1))</x:f>
        <x:v>45809</x:v>
      </x:c>
      <x:c r="H168" t="str">
        <x:f>IF(D168="NO",IF(C168="SÍ","FERIADO","FIN DE SEMANA"),"LABORABLE")&amp;IF(F168="SÍ"," + CIERRE","")</x:f>
        <x:v>LABORABLE</x:v>
      </x:c>
      <x:c r="I168" t="str">
        <x:f>TEXT(G168,"yyyy-mm")</x:f>
        <x:v>2025-06</x:v>
      </x:c>
    </x:row>
    <x:row r="169" ht="19" customHeight="1">
      <x:c r="A169" s="2" t="n">
        <x:v>45825</x:v>
      </x:c>
      <x:c r="B169" t="str">
        <x:f>CHOOSE(WEEKDAY(A169,2),"Lunes","Martes","Miércoles","Jueves","Viernes","Sábado","Domingo")</x:f>
        <x:v>Martes</x:v>
      </x:c>
      <x:c r="C169" t="str">
        <x:f>IF(COUNTIF(FERIADOS!$A$2:$A$250,A169)&gt;0,"SÍ","NO")</x:f>
        <x:v>NO</x:v>
      </x:c>
      <x:c r="D169" t="str">
        <x:f>IF(AND(WEEKDAY(A169,2)&lt;=5,C169="NO"),"SÍ","NO")</x:f>
        <x:v>SÍ</x:v>
      </x:c>
      <x:c r="E169" s="2" t="n">
        <x:f>WORKDAY.INTL(A169-1,1,1,FERIADOS!$A$2:$A$250)</x:f>
        <x:v>45825</x:v>
      </x:c>
      <x:c r="F169" t="str">
        <x:f>IF(E169&gt;=WORKDAY.INTL(EOMONTH(E169,0)+1,-2,1,FERIADOS!$A$2:$A$250),"SÍ","NO")</x:f>
        <x:v>NO</x:v>
      </x:c>
      <x:c r="G169" s="10" t="n">
        <x:f>IF(F169="SÍ",EOMONTH(E169,0)+1,DATE(YEAR(E169),MONTH(E169),1))</x:f>
        <x:v>45809</x:v>
      </x:c>
      <x:c r="H169" t="str">
        <x:f>IF(D169="NO",IF(C169="SÍ","FERIADO","FIN DE SEMANA"),"LABORABLE")&amp;IF(F169="SÍ"," + CIERRE","")</x:f>
        <x:v>LABORABLE</x:v>
      </x:c>
      <x:c r="I169" t="str">
        <x:f>TEXT(G169,"yyyy-mm")</x:f>
        <x:v>2025-06</x:v>
      </x:c>
    </x:row>
    <x:row r="170" ht="19" customHeight="1">
      <x:c r="A170" s="2" t="n">
        <x:v>45826</x:v>
      </x:c>
      <x:c r="B170" t="str">
        <x:f>CHOOSE(WEEKDAY(A170,2),"Lunes","Martes","Miércoles","Jueves","Viernes","Sábado","Domingo")</x:f>
        <x:v>Miércoles</x:v>
      </x:c>
      <x:c r="C170" t="str">
        <x:f>IF(COUNTIF(FERIADOS!$A$2:$A$250,A170)&gt;0,"SÍ","NO")</x:f>
        <x:v>NO</x:v>
      </x:c>
      <x:c r="D170" t="str">
        <x:f>IF(AND(WEEKDAY(A170,2)&lt;=5,C170="NO"),"SÍ","NO")</x:f>
        <x:v>SÍ</x:v>
      </x:c>
      <x:c r="E170" s="2" t="n">
        <x:f>WORKDAY.INTL(A170-1,1,1,FERIADOS!$A$2:$A$250)</x:f>
        <x:v>45826</x:v>
      </x:c>
      <x:c r="F170" t="str">
        <x:f>IF(E170&gt;=WORKDAY.INTL(EOMONTH(E170,0)+1,-2,1,FERIADOS!$A$2:$A$250),"SÍ","NO")</x:f>
        <x:v>NO</x:v>
      </x:c>
      <x:c r="G170" s="10" t="n">
        <x:f>IF(F170="SÍ",EOMONTH(E170,0)+1,DATE(YEAR(E170),MONTH(E170),1))</x:f>
        <x:v>45809</x:v>
      </x:c>
      <x:c r="H170" t="str">
        <x:f>IF(D170="NO",IF(C170="SÍ","FERIADO","FIN DE SEMANA"),"LABORABLE")&amp;IF(F170="SÍ"," + CIERRE","")</x:f>
        <x:v>LABORABLE</x:v>
      </x:c>
      <x:c r="I170" t="str">
        <x:f>TEXT(G170,"yyyy-mm")</x:f>
        <x:v>2025-06</x:v>
      </x:c>
    </x:row>
    <x:row r="171" ht="19" customHeight="1">
      <x:c r="A171" s="2" t="n">
        <x:v>45827</x:v>
      </x:c>
      <x:c r="B171" t="str">
        <x:f>CHOOSE(WEEKDAY(A171,2),"Lunes","Martes","Miércoles","Jueves","Viernes","Sábado","Domingo")</x:f>
        <x:v>Jueves</x:v>
      </x:c>
      <x:c r="C171" t="str">
        <x:f>IF(COUNTIF(FERIADOS!$A$2:$A$250,A171)&gt;0,"SÍ","NO")</x:f>
        <x:v>NO</x:v>
      </x:c>
      <x:c r="D171" t="str">
        <x:f>IF(AND(WEEKDAY(A171,2)&lt;=5,C171="NO"),"SÍ","NO")</x:f>
        <x:v>SÍ</x:v>
      </x:c>
      <x:c r="E171" s="2" t="n">
        <x:f>WORKDAY.INTL(A171-1,1,1,FERIADOS!$A$2:$A$250)</x:f>
        <x:v>45827</x:v>
      </x:c>
      <x:c r="F171" t="str">
        <x:f>IF(E171&gt;=WORKDAY.INTL(EOMONTH(E171,0)+1,-2,1,FERIADOS!$A$2:$A$250),"SÍ","NO")</x:f>
        <x:v>NO</x:v>
      </x:c>
      <x:c r="G171" s="10" t="n">
        <x:f>IF(F171="SÍ",EOMONTH(E171,0)+1,DATE(YEAR(E171),MONTH(E171),1))</x:f>
        <x:v>45809</x:v>
      </x:c>
      <x:c r="H171" t="str">
        <x:f>IF(D171="NO",IF(C171="SÍ","FERIADO","FIN DE SEMANA"),"LABORABLE")&amp;IF(F171="SÍ"," + CIERRE","")</x:f>
        <x:v>LABORABLE</x:v>
      </x:c>
      <x:c r="I171" t="str">
        <x:f>TEXT(G171,"yyyy-mm")</x:f>
        <x:v>2025-06</x:v>
      </x:c>
    </x:row>
    <x:row r="172" ht="19" customHeight="1">
      <x:c r="A172" s="2" t="n">
        <x:v>45828</x:v>
      </x:c>
      <x:c r="B172" t="str">
        <x:f>CHOOSE(WEEKDAY(A172,2),"Lunes","Martes","Miércoles","Jueves","Viernes","Sábado","Domingo")</x:f>
        <x:v>Viernes</x:v>
      </x:c>
      <x:c r="C172" t="str">
        <x:f>IF(COUNTIF(FERIADOS!$A$2:$A$250,A172)&gt;0,"SÍ","NO")</x:f>
        <x:v>NO</x:v>
      </x:c>
      <x:c r="D172" t="str">
        <x:f>IF(AND(WEEKDAY(A172,2)&lt;=5,C172="NO"),"SÍ","NO")</x:f>
        <x:v>SÍ</x:v>
      </x:c>
      <x:c r="E172" s="2" t="n">
        <x:f>WORKDAY.INTL(A172-1,1,1,FERIADOS!$A$2:$A$250)</x:f>
        <x:v>45828</x:v>
      </x:c>
      <x:c r="F172" t="str">
        <x:f>IF(E172&gt;=WORKDAY.INTL(EOMONTH(E172,0)+1,-2,1,FERIADOS!$A$2:$A$250),"SÍ","NO")</x:f>
        <x:v>NO</x:v>
      </x:c>
      <x:c r="G172" s="10" t="n">
        <x:f>IF(F172="SÍ",EOMONTH(E172,0)+1,DATE(YEAR(E172),MONTH(E172),1))</x:f>
        <x:v>45809</x:v>
      </x:c>
      <x:c r="H172" t="str">
        <x:f>IF(D172="NO",IF(C172="SÍ","FERIADO","FIN DE SEMANA"),"LABORABLE")&amp;IF(F172="SÍ"," + CIERRE","")</x:f>
        <x:v>LABORABLE</x:v>
      </x:c>
      <x:c r="I172" t="str">
        <x:f>TEXT(G172,"yyyy-mm")</x:f>
        <x:v>2025-06</x:v>
      </x:c>
    </x:row>
    <x:row r="173" ht="19" customHeight="1">
      <x:c r="A173" s="2" t="n">
        <x:v>45829</x:v>
      </x:c>
      <x:c r="B173" t="str">
        <x:f>CHOOSE(WEEKDAY(A173,2),"Lunes","Martes","Miércoles","Jueves","Viernes","Sábado","Domingo")</x:f>
        <x:v>Sábado</x:v>
      </x:c>
      <x:c r="C173" t="str">
        <x:f>IF(COUNTIF(FERIADOS!$A$2:$A$250,A173)&gt;0,"SÍ","NO")</x:f>
        <x:v>NO</x:v>
      </x:c>
      <x:c r="D173" t="str">
        <x:f>IF(AND(WEEKDAY(A173,2)&lt;=5,C173="NO"),"SÍ","NO")</x:f>
        <x:v>NO</x:v>
      </x:c>
      <x:c r="E173" s="2" t="n">
        <x:f>WORKDAY.INTL(A173-1,1,1,FERIADOS!$A$2:$A$250)</x:f>
        <x:v>45831</x:v>
      </x:c>
      <x:c r="F173" t="str">
        <x:f>IF(E173&gt;=WORKDAY.INTL(EOMONTH(E173,0)+1,-2,1,FERIADOS!$A$2:$A$250),"SÍ","NO")</x:f>
        <x:v>NO</x:v>
      </x:c>
      <x:c r="G173" s="10" t="n">
        <x:f>IF(F173="SÍ",EOMONTH(E173,0)+1,DATE(YEAR(E173),MONTH(E173),1))</x:f>
        <x:v>45809</x:v>
      </x:c>
      <x:c r="H173" t="str">
        <x:f>IF(D173="NO",IF(C173="SÍ","FERIADO","FIN DE SEMANA"),"LABORABLE")&amp;IF(F173="SÍ"," + CIERRE","")</x:f>
        <x:v>FIN DE SEMANA</x:v>
      </x:c>
      <x:c r="I173" t="str">
        <x:f>TEXT(G173,"yyyy-mm")</x:f>
        <x:v>2025-06</x:v>
      </x:c>
    </x:row>
    <x:row r="174" ht="19" customHeight="1">
      <x:c r="A174" s="2" t="n">
        <x:v>45830</x:v>
      </x:c>
      <x:c r="B174" t="str">
        <x:f>CHOOSE(WEEKDAY(A174,2),"Lunes","Martes","Miércoles","Jueves","Viernes","Sábado","Domingo")</x:f>
        <x:v>Domingo</x:v>
      </x:c>
      <x:c r="C174" t="str">
        <x:f>IF(COUNTIF(FERIADOS!$A$2:$A$250,A174)&gt;0,"SÍ","NO")</x:f>
        <x:v>NO</x:v>
      </x:c>
      <x:c r="D174" t="str">
        <x:f>IF(AND(WEEKDAY(A174,2)&lt;=5,C174="NO"),"SÍ","NO")</x:f>
        <x:v>NO</x:v>
      </x:c>
      <x:c r="E174" s="2" t="n">
        <x:f>WORKDAY.INTL(A174-1,1,1,FERIADOS!$A$2:$A$250)</x:f>
        <x:v>45831</x:v>
      </x:c>
      <x:c r="F174" t="str">
        <x:f>IF(E174&gt;=WORKDAY.INTL(EOMONTH(E174,0)+1,-2,1,FERIADOS!$A$2:$A$250),"SÍ","NO")</x:f>
        <x:v>NO</x:v>
      </x:c>
      <x:c r="G174" s="10" t="n">
        <x:f>IF(F174="SÍ",EOMONTH(E174,0)+1,DATE(YEAR(E174),MONTH(E174),1))</x:f>
        <x:v>45809</x:v>
      </x:c>
      <x:c r="H174" t="str">
        <x:f>IF(D174="NO",IF(C174="SÍ","FERIADO","FIN DE SEMANA"),"LABORABLE")&amp;IF(F174="SÍ"," + CIERRE","")</x:f>
        <x:v>FIN DE SEMANA</x:v>
      </x:c>
      <x:c r="I174" t="str">
        <x:f>TEXT(G174,"yyyy-mm")</x:f>
        <x:v>2025-06</x:v>
      </x:c>
    </x:row>
    <x:row r="175" ht="19" customHeight="1">
      <x:c r="A175" s="2" t="n">
        <x:v>45831</x:v>
      </x:c>
      <x:c r="B175" t="str">
        <x:f>CHOOSE(WEEKDAY(A175,2),"Lunes","Martes","Miércoles","Jueves","Viernes","Sábado","Domingo")</x:f>
        <x:v>Lunes</x:v>
      </x:c>
      <x:c r="C175" t="str">
        <x:f>IF(COUNTIF(FERIADOS!$A$2:$A$250,A175)&gt;0,"SÍ","NO")</x:f>
        <x:v>NO</x:v>
      </x:c>
      <x:c r="D175" t="str">
        <x:f>IF(AND(WEEKDAY(A175,2)&lt;=5,C175="NO"),"SÍ","NO")</x:f>
        <x:v>SÍ</x:v>
      </x:c>
      <x:c r="E175" s="2" t="n">
        <x:f>WORKDAY.INTL(A175-1,1,1,FERIADOS!$A$2:$A$250)</x:f>
        <x:v>45831</x:v>
      </x:c>
      <x:c r="F175" t="str">
        <x:f>IF(E175&gt;=WORKDAY.INTL(EOMONTH(E175,0)+1,-2,1,FERIADOS!$A$2:$A$250),"SÍ","NO")</x:f>
        <x:v>NO</x:v>
      </x:c>
      <x:c r="G175" s="10" t="n">
        <x:f>IF(F175="SÍ",EOMONTH(E175,0)+1,DATE(YEAR(E175),MONTH(E175),1))</x:f>
        <x:v>45809</x:v>
      </x:c>
      <x:c r="H175" t="str">
        <x:f>IF(D175="NO",IF(C175="SÍ","FERIADO","FIN DE SEMANA"),"LABORABLE")&amp;IF(F175="SÍ"," + CIERRE","")</x:f>
        <x:v>LABORABLE</x:v>
      </x:c>
      <x:c r="I175" t="str">
        <x:f>TEXT(G175,"yyyy-mm")</x:f>
        <x:v>2025-06</x:v>
      </x:c>
    </x:row>
    <x:row r="176" ht="19" customHeight="1">
      <x:c r="A176" s="2" t="n">
        <x:v>45832</x:v>
      </x:c>
      <x:c r="B176" t="str">
        <x:f>CHOOSE(WEEKDAY(A176,2),"Lunes","Martes","Miércoles","Jueves","Viernes","Sábado","Domingo")</x:f>
        <x:v>Martes</x:v>
      </x:c>
      <x:c r="C176" t="str">
        <x:f>IF(COUNTIF(FERIADOS!$A$2:$A$250,A176)&gt;0,"SÍ","NO")</x:f>
        <x:v>NO</x:v>
      </x:c>
      <x:c r="D176" t="str">
        <x:f>IF(AND(WEEKDAY(A176,2)&lt;=5,C176="NO"),"SÍ","NO")</x:f>
        <x:v>SÍ</x:v>
      </x:c>
      <x:c r="E176" s="2" t="n">
        <x:f>WORKDAY.INTL(A176-1,1,1,FERIADOS!$A$2:$A$250)</x:f>
        <x:v>45832</x:v>
      </x:c>
      <x:c r="F176" t="str">
        <x:f>IF(E176&gt;=WORKDAY.INTL(EOMONTH(E176,0)+1,-2,1,FERIADOS!$A$2:$A$250),"SÍ","NO")</x:f>
        <x:v>NO</x:v>
      </x:c>
      <x:c r="G176" s="10" t="n">
        <x:f>IF(F176="SÍ",EOMONTH(E176,0)+1,DATE(YEAR(E176),MONTH(E176),1))</x:f>
        <x:v>45809</x:v>
      </x:c>
      <x:c r="H176" t="str">
        <x:f>IF(D176="NO",IF(C176="SÍ","FERIADO","FIN DE SEMANA"),"LABORABLE")&amp;IF(F176="SÍ"," + CIERRE","")</x:f>
        <x:v>LABORABLE</x:v>
      </x:c>
      <x:c r="I176" t="str">
        <x:f>TEXT(G176,"yyyy-mm")</x:f>
        <x:v>2025-06</x:v>
      </x:c>
    </x:row>
    <x:row r="177" ht="19" customHeight="1">
      <x:c r="A177" s="2" t="n">
        <x:v>45833</x:v>
      </x:c>
      <x:c r="B177" t="str">
        <x:f>CHOOSE(WEEKDAY(A177,2),"Lunes","Martes","Miércoles","Jueves","Viernes","Sábado","Domingo")</x:f>
        <x:v>Miércoles</x:v>
      </x:c>
      <x:c r="C177" t="str">
        <x:f>IF(COUNTIF(FERIADOS!$A$2:$A$250,A177)&gt;0,"SÍ","NO")</x:f>
        <x:v>NO</x:v>
      </x:c>
      <x:c r="D177" t="str">
        <x:f>IF(AND(WEEKDAY(A177,2)&lt;=5,C177="NO"),"SÍ","NO")</x:f>
        <x:v>SÍ</x:v>
      </x:c>
      <x:c r="E177" s="2" t="n">
        <x:f>WORKDAY.INTL(A177-1,1,1,FERIADOS!$A$2:$A$250)</x:f>
        <x:v>45833</x:v>
      </x:c>
      <x:c r="F177" t="str">
        <x:f>IF(E177&gt;=WORKDAY.INTL(EOMONTH(E177,0)+1,-2,1,FERIADOS!$A$2:$A$250),"SÍ","NO")</x:f>
        <x:v>NO</x:v>
      </x:c>
      <x:c r="G177" s="10" t="n">
        <x:f>IF(F177="SÍ",EOMONTH(E177,0)+1,DATE(YEAR(E177),MONTH(E177),1))</x:f>
        <x:v>45809</x:v>
      </x:c>
      <x:c r="H177" t="str">
        <x:f>IF(D177="NO",IF(C177="SÍ","FERIADO","FIN DE SEMANA"),"LABORABLE")&amp;IF(F177="SÍ"," + CIERRE","")</x:f>
        <x:v>LABORABLE</x:v>
      </x:c>
      <x:c r="I177" t="str">
        <x:f>TEXT(G177,"yyyy-mm")</x:f>
        <x:v>2025-06</x:v>
      </x:c>
    </x:row>
    <x:row r="178" ht="19" customHeight="1">
      <x:c r="A178" s="2" t="n">
        <x:v>45834</x:v>
      </x:c>
      <x:c r="B178" t="str">
        <x:f>CHOOSE(WEEKDAY(A178,2),"Lunes","Martes","Miércoles","Jueves","Viernes","Sábado","Domingo")</x:f>
        <x:v>Jueves</x:v>
      </x:c>
      <x:c r="C178" t="str">
        <x:f>IF(COUNTIF(FERIADOS!$A$2:$A$250,A178)&gt;0,"SÍ","NO")</x:f>
        <x:v>NO</x:v>
      </x:c>
      <x:c r="D178" t="str">
        <x:f>IF(AND(WEEKDAY(A178,2)&lt;=5,C178="NO"),"SÍ","NO")</x:f>
        <x:v>SÍ</x:v>
      </x:c>
      <x:c r="E178" s="2" t="n">
        <x:f>WORKDAY.INTL(A178-1,1,1,FERIADOS!$A$2:$A$250)</x:f>
        <x:v>45834</x:v>
      </x:c>
      <x:c r="F178" t="str">
        <x:f>IF(E178&gt;=WORKDAY.INTL(EOMONTH(E178,0)+1,-2,1,FERIADOS!$A$2:$A$250),"SÍ","NO")</x:f>
        <x:v>NO</x:v>
      </x:c>
      <x:c r="G178" s="10" t="n">
        <x:f>IF(F178="SÍ",EOMONTH(E178,0)+1,DATE(YEAR(E178),MONTH(E178),1))</x:f>
        <x:v>45809</x:v>
      </x:c>
      <x:c r="H178" t="str">
        <x:f>IF(D178="NO",IF(C178="SÍ","FERIADO","FIN DE SEMANA"),"LABORABLE")&amp;IF(F178="SÍ"," + CIERRE","")</x:f>
        <x:v>LABORABLE</x:v>
      </x:c>
      <x:c r="I178" t="str">
        <x:f>TEXT(G178,"yyyy-mm")</x:f>
        <x:v>2025-06</x:v>
      </x:c>
    </x:row>
    <x:row r="179" ht="19" customHeight="1">
      <x:c r="A179" s="2" t="n">
        <x:v>45835</x:v>
      </x:c>
      <x:c r="B179" t="str">
        <x:f>CHOOSE(WEEKDAY(A179,2),"Lunes","Martes","Miércoles","Jueves","Viernes","Sábado","Domingo")</x:f>
        <x:v>Viernes</x:v>
      </x:c>
      <x:c r="C179" t="str">
        <x:f>IF(COUNTIF(FERIADOS!$A$2:$A$250,A179)&gt;0,"SÍ","NO")</x:f>
        <x:v>NO</x:v>
      </x:c>
      <x:c r="D179" t="str">
        <x:f>IF(AND(WEEKDAY(A179,2)&lt;=5,C179="NO"),"SÍ","NO")</x:f>
        <x:v>SÍ</x:v>
      </x:c>
      <x:c r="E179" s="2" t="n">
        <x:f>WORKDAY.INTL(A179-1,1,1,FERIADOS!$A$2:$A$250)</x:f>
        <x:v>45835</x:v>
      </x:c>
      <x:c r="F179" t="str">
        <x:f>IF(E179&gt;=WORKDAY.INTL(EOMONTH(E179,0)+1,-2,1,FERIADOS!$A$2:$A$250),"SÍ","NO")</x:f>
        <x:v>SÍ</x:v>
      </x:c>
      <x:c r="G179" s="10" t="n">
        <x:f>IF(F179="SÍ",EOMONTH(E179,0)+1,DATE(YEAR(E179),MONTH(E179),1))</x:f>
        <x:v>45839</x:v>
      </x:c>
      <x:c r="H179" t="str">
        <x:f>IF(D179="NO",IF(C179="SÍ","FERIADO","FIN DE SEMANA"),"LABORABLE")&amp;IF(F179="SÍ"," + CIERRE","")</x:f>
        <x:v>LABORABLE + CIERRE</x:v>
      </x:c>
      <x:c r="I179" t="str">
        <x:f>TEXT(G179,"yyyy-mm")</x:f>
        <x:v>2025-07</x:v>
      </x:c>
    </x:row>
    <x:row r="180" ht="19" customHeight="1">
      <x:c r="A180" s="2" t="n">
        <x:v>45836</x:v>
      </x:c>
      <x:c r="B180" t="str">
        <x:f>CHOOSE(WEEKDAY(A180,2),"Lunes","Martes","Miércoles","Jueves","Viernes","Sábado","Domingo")</x:f>
        <x:v>Sábado</x:v>
      </x:c>
      <x:c r="C180" t="str">
        <x:f>IF(COUNTIF(FERIADOS!$A$2:$A$250,A180)&gt;0,"SÍ","NO")</x:f>
        <x:v>NO</x:v>
      </x:c>
      <x:c r="D180" t="str">
        <x:f>IF(AND(WEEKDAY(A180,2)&lt;=5,C180="NO"),"SÍ","NO")</x:f>
        <x:v>NO</x:v>
      </x:c>
      <x:c r="E180" s="2" t="n">
        <x:f>WORKDAY.INTL(A180-1,1,1,FERIADOS!$A$2:$A$250)</x:f>
        <x:v>45838</x:v>
      </x:c>
      <x:c r="F180" t="str">
        <x:f>IF(E180&gt;=WORKDAY.INTL(EOMONTH(E180,0)+1,-2,1,FERIADOS!$A$2:$A$250),"SÍ","NO")</x:f>
        <x:v>SÍ</x:v>
      </x:c>
      <x:c r="G180" s="10" t="n">
        <x:f>IF(F180="SÍ",EOMONTH(E180,0)+1,DATE(YEAR(E180),MONTH(E180),1))</x:f>
        <x:v>45839</x:v>
      </x:c>
      <x:c r="H180" t="str">
        <x:f>IF(D180="NO",IF(C180="SÍ","FERIADO","FIN DE SEMANA"),"LABORABLE")&amp;IF(F180="SÍ"," + CIERRE","")</x:f>
        <x:v>FIN DE SEMANA + CIERRE</x:v>
      </x:c>
      <x:c r="I180" t="str">
        <x:f>TEXT(G180,"yyyy-mm")</x:f>
        <x:v>2025-07</x:v>
      </x:c>
    </x:row>
    <x:row r="181" ht="19" customHeight="1">
      <x:c r="A181" s="2" t="n">
        <x:v>45837</x:v>
      </x:c>
      <x:c r="B181" t="str">
        <x:f>CHOOSE(WEEKDAY(A181,2),"Lunes","Martes","Miércoles","Jueves","Viernes","Sábado","Domingo")</x:f>
        <x:v>Domingo</x:v>
      </x:c>
      <x:c r="C181" t="str">
        <x:f>IF(COUNTIF(FERIADOS!$A$2:$A$250,A181)&gt;0,"SÍ","NO")</x:f>
        <x:v>NO</x:v>
      </x:c>
      <x:c r="D181" t="str">
        <x:f>IF(AND(WEEKDAY(A181,2)&lt;=5,C181="NO"),"SÍ","NO")</x:f>
        <x:v>NO</x:v>
      </x:c>
      <x:c r="E181" s="2" t="n">
        <x:f>WORKDAY.INTL(A181-1,1,1,FERIADOS!$A$2:$A$250)</x:f>
        <x:v>45838</x:v>
      </x:c>
      <x:c r="F181" t="str">
        <x:f>IF(E181&gt;=WORKDAY.INTL(EOMONTH(E181,0)+1,-2,1,FERIADOS!$A$2:$A$250),"SÍ","NO")</x:f>
        <x:v>SÍ</x:v>
      </x:c>
      <x:c r="G181" s="10" t="n">
        <x:f>IF(F181="SÍ",EOMONTH(E181,0)+1,DATE(YEAR(E181),MONTH(E181),1))</x:f>
        <x:v>45839</x:v>
      </x:c>
      <x:c r="H181" t="str">
        <x:f>IF(D181="NO",IF(C181="SÍ","FERIADO","FIN DE SEMANA"),"LABORABLE")&amp;IF(F181="SÍ"," + CIERRE","")</x:f>
        <x:v>FIN DE SEMANA + CIERRE</x:v>
      </x:c>
      <x:c r="I181" t="str">
        <x:f>TEXT(G181,"yyyy-mm")</x:f>
        <x:v>2025-07</x:v>
      </x:c>
    </x:row>
    <x:row r="182" ht="19" customHeight="1">
      <x:c r="A182" s="2" t="n">
        <x:v>45838</x:v>
      </x:c>
      <x:c r="B182" t="str">
        <x:f>CHOOSE(WEEKDAY(A182,2),"Lunes","Martes","Miércoles","Jueves","Viernes","Sábado","Domingo")</x:f>
        <x:v>Lunes</x:v>
      </x:c>
      <x:c r="C182" t="str">
        <x:f>IF(COUNTIF(FERIADOS!$A$2:$A$250,A182)&gt;0,"SÍ","NO")</x:f>
        <x:v>NO</x:v>
      </x:c>
      <x:c r="D182" t="str">
        <x:f>IF(AND(WEEKDAY(A182,2)&lt;=5,C182="NO"),"SÍ","NO")</x:f>
        <x:v>SÍ</x:v>
      </x:c>
      <x:c r="E182" s="2" t="n">
        <x:f>WORKDAY.INTL(A182-1,1,1,FERIADOS!$A$2:$A$250)</x:f>
        <x:v>45838</x:v>
      </x:c>
      <x:c r="F182" t="str">
        <x:f>IF(E182&gt;=WORKDAY.INTL(EOMONTH(E182,0)+1,-2,1,FERIADOS!$A$2:$A$250),"SÍ","NO")</x:f>
        <x:v>SÍ</x:v>
      </x:c>
      <x:c r="G182" s="10" t="n">
        <x:f>IF(F182="SÍ",EOMONTH(E182,0)+1,DATE(YEAR(E182),MONTH(E182),1))</x:f>
        <x:v>45839</x:v>
      </x:c>
      <x:c r="H182" t="str">
        <x:f>IF(D182="NO",IF(C182="SÍ","FERIADO","FIN DE SEMANA"),"LABORABLE")&amp;IF(F182="SÍ"," + CIERRE","")</x:f>
        <x:v>LABORABLE + CIERRE</x:v>
      </x:c>
      <x:c r="I182" t="str">
        <x:f>TEXT(G182,"yyyy-mm")</x:f>
        <x:v>2025-07</x:v>
      </x:c>
    </x:row>
    <x:row r="183" ht="19" customHeight="1">
      <x:c r="A183" s="2" t="n">
        <x:v>45839</x:v>
      </x:c>
      <x:c r="B183" t="str">
        <x:f>CHOOSE(WEEKDAY(A183,2),"Lunes","Martes","Miércoles","Jueves","Viernes","Sábado","Domingo")</x:f>
        <x:v>Martes</x:v>
      </x:c>
      <x:c r="C183" t="str">
        <x:f>IF(COUNTIF(FERIADOS!$A$2:$A$250,A183)&gt;0,"SÍ","NO")</x:f>
        <x:v>NO</x:v>
      </x:c>
      <x:c r="D183" t="str">
        <x:f>IF(AND(WEEKDAY(A183,2)&lt;=5,C183="NO"),"SÍ","NO")</x:f>
        <x:v>SÍ</x:v>
      </x:c>
      <x:c r="E183" s="2" t="n">
        <x:f>WORKDAY.INTL(A183-1,1,1,FERIADOS!$A$2:$A$250)</x:f>
        <x:v>45839</x:v>
      </x:c>
      <x:c r="F183" t="str">
        <x:f>IF(E183&gt;=WORKDAY.INTL(EOMONTH(E183,0)+1,-2,1,FERIADOS!$A$2:$A$250),"SÍ","NO")</x:f>
        <x:v>NO</x:v>
      </x:c>
      <x:c r="G183" s="10" t="n">
        <x:f>IF(F183="SÍ",EOMONTH(E183,0)+1,DATE(YEAR(E183),MONTH(E183),1))</x:f>
        <x:v>45839</x:v>
      </x:c>
      <x:c r="H183" t="str">
        <x:f>IF(D183="NO",IF(C183="SÍ","FERIADO","FIN DE SEMANA"),"LABORABLE")&amp;IF(F183="SÍ"," + CIERRE","")</x:f>
        <x:v>LABORABLE</x:v>
      </x:c>
      <x:c r="I183" t="str">
        <x:f>TEXT(G183,"yyyy-mm")</x:f>
        <x:v>2025-07</x:v>
      </x:c>
    </x:row>
    <x:row r="184" ht="19" customHeight="1">
      <x:c r="A184" s="2" t="n">
        <x:v>45840</x:v>
      </x:c>
      <x:c r="B184" t="str">
        <x:f>CHOOSE(WEEKDAY(A184,2),"Lunes","Martes","Miércoles","Jueves","Viernes","Sábado","Domingo")</x:f>
        <x:v>Miércoles</x:v>
      </x:c>
      <x:c r="C184" t="str">
        <x:f>IF(COUNTIF(FERIADOS!$A$2:$A$250,A184)&gt;0,"SÍ","NO")</x:f>
        <x:v>NO</x:v>
      </x:c>
      <x:c r="D184" t="str">
        <x:f>IF(AND(WEEKDAY(A184,2)&lt;=5,C184="NO"),"SÍ","NO")</x:f>
        <x:v>SÍ</x:v>
      </x:c>
      <x:c r="E184" s="2" t="n">
        <x:f>WORKDAY.INTL(A184-1,1,1,FERIADOS!$A$2:$A$250)</x:f>
        <x:v>45840</x:v>
      </x:c>
      <x:c r="F184" t="str">
        <x:f>IF(E184&gt;=WORKDAY.INTL(EOMONTH(E184,0)+1,-2,1,FERIADOS!$A$2:$A$250),"SÍ","NO")</x:f>
        <x:v>NO</x:v>
      </x:c>
      <x:c r="G184" s="10" t="n">
        <x:f>IF(F184="SÍ",EOMONTH(E184,0)+1,DATE(YEAR(E184),MONTH(E184),1))</x:f>
        <x:v>45839</x:v>
      </x:c>
      <x:c r="H184" t="str">
        <x:f>IF(D184="NO",IF(C184="SÍ","FERIADO","FIN DE SEMANA"),"LABORABLE")&amp;IF(F184="SÍ"," + CIERRE","")</x:f>
        <x:v>LABORABLE</x:v>
      </x:c>
      <x:c r="I184" t="str">
        <x:f>TEXT(G184,"yyyy-mm")</x:f>
        <x:v>2025-07</x:v>
      </x:c>
    </x:row>
    <x:row r="185" ht="19" customHeight="1">
      <x:c r="A185" s="2" t="n">
        <x:v>45841</x:v>
      </x:c>
      <x:c r="B185" t="str">
        <x:f>CHOOSE(WEEKDAY(A185,2),"Lunes","Martes","Miércoles","Jueves","Viernes","Sábado","Domingo")</x:f>
        <x:v>Jueves</x:v>
      </x:c>
      <x:c r="C185" t="str">
        <x:f>IF(COUNTIF(FERIADOS!$A$2:$A$250,A185)&gt;0,"SÍ","NO")</x:f>
        <x:v>NO</x:v>
      </x:c>
      <x:c r="D185" t="str">
        <x:f>IF(AND(WEEKDAY(A185,2)&lt;=5,C185="NO"),"SÍ","NO")</x:f>
        <x:v>SÍ</x:v>
      </x:c>
      <x:c r="E185" s="2" t="n">
        <x:f>WORKDAY.INTL(A185-1,1,1,FERIADOS!$A$2:$A$250)</x:f>
        <x:v>45841</x:v>
      </x:c>
      <x:c r="F185" t="str">
        <x:f>IF(E185&gt;=WORKDAY.INTL(EOMONTH(E185,0)+1,-2,1,FERIADOS!$A$2:$A$250),"SÍ","NO")</x:f>
        <x:v>NO</x:v>
      </x:c>
      <x:c r="G185" s="10" t="n">
        <x:f>IF(F185="SÍ",EOMONTH(E185,0)+1,DATE(YEAR(E185),MONTH(E185),1))</x:f>
        <x:v>45839</x:v>
      </x:c>
      <x:c r="H185" t="str">
        <x:f>IF(D185="NO",IF(C185="SÍ","FERIADO","FIN DE SEMANA"),"LABORABLE")&amp;IF(F185="SÍ"," + CIERRE","")</x:f>
        <x:v>LABORABLE</x:v>
      </x:c>
      <x:c r="I185" t="str">
        <x:f>TEXT(G185,"yyyy-mm")</x:f>
        <x:v>2025-07</x:v>
      </x:c>
    </x:row>
    <x:row r="186" ht="19" customHeight="1">
      <x:c r="A186" s="2" t="n">
        <x:v>45842</x:v>
      </x:c>
      <x:c r="B186" t="str">
        <x:f>CHOOSE(WEEKDAY(A186,2),"Lunes","Martes","Miércoles","Jueves","Viernes","Sábado","Domingo")</x:f>
        <x:v>Viernes</x:v>
      </x:c>
      <x:c r="C186" t="str">
        <x:f>IF(COUNTIF(FERIADOS!$A$2:$A$250,A186)&gt;0,"SÍ","NO")</x:f>
        <x:v>NO</x:v>
      </x:c>
      <x:c r="D186" t="str">
        <x:f>IF(AND(WEEKDAY(A186,2)&lt;=5,C186="NO"),"SÍ","NO")</x:f>
        <x:v>SÍ</x:v>
      </x:c>
      <x:c r="E186" s="2" t="n">
        <x:f>WORKDAY.INTL(A186-1,1,1,FERIADOS!$A$2:$A$250)</x:f>
        <x:v>45842</x:v>
      </x:c>
      <x:c r="F186" t="str">
        <x:f>IF(E186&gt;=WORKDAY.INTL(EOMONTH(E186,0)+1,-2,1,FERIADOS!$A$2:$A$250),"SÍ","NO")</x:f>
        <x:v>NO</x:v>
      </x:c>
      <x:c r="G186" s="10" t="n">
        <x:f>IF(F186="SÍ",EOMONTH(E186,0)+1,DATE(YEAR(E186),MONTH(E186),1))</x:f>
        <x:v>45839</x:v>
      </x:c>
      <x:c r="H186" t="str">
        <x:f>IF(D186="NO",IF(C186="SÍ","FERIADO","FIN DE SEMANA"),"LABORABLE")&amp;IF(F186="SÍ"," + CIERRE","")</x:f>
        <x:v>LABORABLE</x:v>
      </x:c>
      <x:c r="I186" t="str">
        <x:f>TEXT(G186,"yyyy-mm")</x:f>
        <x:v>2025-07</x:v>
      </x:c>
    </x:row>
    <x:row r="187" ht="19" customHeight="1">
      <x:c r="A187" s="2" t="n">
        <x:v>45843</x:v>
      </x:c>
      <x:c r="B187" t="str">
        <x:f>CHOOSE(WEEKDAY(A187,2),"Lunes","Martes","Miércoles","Jueves","Viernes","Sábado","Domingo")</x:f>
        <x:v>Sábado</x:v>
      </x:c>
      <x:c r="C187" t="str">
        <x:f>IF(COUNTIF(FERIADOS!$A$2:$A$250,A187)&gt;0,"SÍ","NO")</x:f>
        <x:v>NO</x:v>
      </x:c>
      <x:c r="D187" t="str">
        <x:f>IF(AND(WEEKDAY(A187,2)&lt;=5,C187="NO"),"SÍ","NO")</x:f>
        <x:v>NO</x:v>
      </x:c>
      <x:c r="E187" s="2" t="n">
        <x:f>WORKDAY.INTL(A187-1,1,1,FERIADOS!$A$2:$A$250)</x:f>
        <x:v>45845</x:v>
      </x:c>
      <x:c r="F187" t="str">
        <x:f>IF(E187&gt;=WORKDAY.INTL(EOMONTH(E187,0)+1,-2,1,FERIADOS!$A$2:$A$250),"SÍ","NO")</x:f>
        <x:v>NO</x:v>
      </x:c>
      <x:c r="G187" s="10" t="n">
        <x:f>IF(F187="SÍ",EOMONTH(E187,0)+1,DATE(YEAR(E187),MONTH(E187),1))</x:f>
        <x:v>45839</x:v>
      </x:c>
      <x:c r="H187" t="str">
        <x:f>IF(D187="NO",IF(C187="SÍ","FERIADO","FIN DE SEMANA"),"LABORABLE")&amp;IF(F187="SÍ"," + CIERRE","")</x:f>
        <x:v>FIN DE SEMANA</x:v>
      </x:c>
      <x:c r="I187" t="str">
        <x:f>TEXT(G187,"yyyy-mm")</x:f>
        <x:v>2025-07</x:v>
      </x:c>
    </x:row>
    <x:row r="188" ht="19" customHeight="1">
      <x:c r="A188" s="2" t="n">
        <x:v>45844</x:v>
      </x:c>
      <x:c r="B188" t="str">
        <x:f>CHOOSE(WEEKDAY(A188,2),"Lunes","Martes","Miércoles","Jueves","Viernes","Sábado","Domingo")</x:f>
        <x:v>Domingo</x:v>
      </x:c>
      <x:c r="C188" t="str">
        <x:f>IF(COUNTIF(FERIADOS!$A$2:$A$250,A188)&gt;0,"SÍ","NO")</x:f>
        <x:v>NO</x:v>
      </x:c>
      <x:c r="D188" t="str">
        <x:f>IF(AND(WEEKDAY(A188,2)&lt;=5,C188="NO"),"SÍ","NO")</x:f>
        <x:v>NO</x:v>
      </x:c>
      <x:c r="E188" s="2" t="n">
        <x:f>WORKDAY.INTL(A188-1,1,1,FERIADOS!$A$2:$A$250)</x:f>
        <x:v>45845</x:v>
      </x:c>
      <x:c r="F188" t="str">
        <x:f>IF(E188&gt;=WORKDAY.INTL(EOMONTH(E188,0)+1,-2,1,FERIADOS!$A$2:$A$250),"SÍ","NO")</x:f>
        <x:v>NO</x:v>
      </x:c>
      <x:c r="G188" s="10" t="n">
        <x:f>IF(F188="SÍ",EOMONTH(E188,0)+1,DATE(YEAR(E188),MONTH(E188),1))</x:f>
        <x:v>45839</x:v>
      </x:c>
      <x:c r="H188" t="str">
        <x:f>IF(D188="NO",IF(C188="SÍ","FERIADO","FIN DE SEMANA"),"LABORABLE")&amp;IF(F188="SÍ"," + CIERRE","")</x:f>
        <x:v>FIN DE SEMANA</x:v>
      </x:c>
      <x:c r="I188" t="str">
        <x:f>TEXT(G188,"yyyy-mm")</x:f>
        <x:v>2025-07</x:v>
      </x:c>
    </x:row>
    <x:row r="189" ht="19" customHeight="1">
      <x:c r="A189" s="2" t="n">
        <x:v>45845</x:v>
      </x:c>
      <x:c r="B189" t="str">
        <x:f>CHOOSE(WEEKDAY(A189,2),"Lunes","Martes","Miércoles","Jueves","Viernes","Sábado","Domingo")</x:f>
        <x:v>Lunes</x:v>
      </x:c>
      <x:c r="C189" t="str">
        <x:f>IF(COUNTIF(FERIADOS!$A$2:$A$250,A189)&gt;0,"SÍ","NO")</x:f>
        <x:v>NO</x:v>
      </x:c>
      <x:c r="D189" t="str">
        <x:f>IF(AND(WEEKDAY(A189,2)&lt;=5,C189="NO"),"SÍ","NO")</x:f>
        <x:v>SÍ</x:v>
      </x:c>
      <x:c r="E189" s="2" t="n">
        <x:f>WORKDAY.INTL(A189-1,1,1,FERIADOS!$A$2:$A$250)</x:f>
        <x:v>45845</x:v>
      </x:c>
      <x:c r="F189" t="str">
        <x:f>IF(E189&gt;=WORKDAY.INTL(EOMONTH(E189,0)+1,-2,1,FERIADOS!$A$2:$A$250),"SÍ","NO")</x:f>
        <x:v>NO</x:v>
      </x:c>
      <x:c r="G189" s="10" t="n">
        <x:f>IF(F189="SÍ",EOMONTH(E189,0)+1,DATE(YEAR(E189),MONTH(E189),1))</x:f>
        <x:v>45839</x:v>
      </x:c>
      <x:c r="H189" t="str">
        <x:f>IF(D189="NO",IF(C189="SÍ","FERIADO","FIN DE SEMANA"),"LABORABLE")&amp;IF(F189="SÍ"," + CIERRE","")</x:f>
        <x:v>LABORABLE</x:v>
      </x:c>
      <x:c r="I189" t="str">
        <x:f>TEXT(G189,"yyyy-mm")</x:f>
        <x:v>2025-07</x:v>
      </x:c>
    </x:row>
    <x:row r="190" ht="19" customHeight="1">
      <x:c r="A190" s="2" t="n">
        <x:v>45846</x:v>
      </x:c>
      <x:c r="B190" t="str">
        <x:f>CHOOSE(WEEKDAY(A190,2),"Lunes","Martes","Miércoles","Jueves","Viernes","Sábado","Domingo")</x:f>
        <x:v>Martes</x:v>
      </x:c>
      <x:c r="C190" t="str">
        <x:f>IF(COUNTIF(FERIADOS!$A$2:$A$250,A190)&gt;0,"SÍ","NO")</x:f>
        <x:v>NO</x:v>
      </x:c>
      <x:c r="D190" t="str">
        <x:f>IF(AND(WEEKDAY(A190,2)&lt;=5,C190="NO"),"SÍ","NO")</x:f>
        <x:v>SÍ</x:v>
      </x:c>
      <x:c r="E190" s="2" t="n">
        <x:f>WORKDAY.INTL(A190-1,1,1,FERIADOS!$A$2:$A$250)</x:f>
        <x:v>45846</x:v>
      </x:c>
      <x:c r="F190" t="str">
        <x:f>IF(E190&gt;=WORKDAY.INTL(EOMONTH(E190,0)+1,-2,1,FERIADOS!$A$2:$A$250),"SÍ","NO")</x:f>
        <x:v>NO</x:v>
      </x:c>
      <x:c r="G190" s="10" t="n">
        <x:f>IF(F190="SÍ",EOMONTH(E190,0)+1,DATE(YEAR(E190),MONTH(E190),1))</x:f>
        <x:v>45839</x:v>
      </x:c>
      <x:c r="H190" t="str">
        <x:f>IF(D190="NO",IF(C190="SÍ","FERIADO","FIN DE SEMANA"),"LABORABLE")&amp;IF(F190="SÍ"," + CIERRE","")</x:f>
        <x:v>LABORABLE</x:v>
      </x:c>
      <x:c r="I190" t="str">
        <x:f>TEXT(G190,"yyyy-mm")</x:f>
        <x:v>2025-07</x:v>
      </x:c>
    </x:row>
    <x:row r="191" ht="19" customHeight="1">
      <x:c r="A191" s="2" t="n">
        <x:v>45847</x:v>
      </x:c>
      <x:c r="B191" t="str">
        <x:f>CHOOSE(WEEKDAY(A191,2),"Lunes","Martes","Miércoles","Jueves","Viernes","Sábado","Domingo")</x:f>
        <x:v>Miércoles</x:v>
      </x:c>
      <x:c r="C191" t="str">
        <x:f>IF(COUNTIF(FERIADOS!$A$2:$A$250,A191)&gt;0,"SÍ","NO")</x:f>
        <x:v>NO</x:v>
      </x:c>
      <x:c r="D191" t="str">
        <x:f>IF(AND(WEEKDAY(A191,2)&lt;=5,C191="NO"),"SÍ","NO")</x:f>
        <x:v>SÍ</x:v>
      </x:c>
      <x:c r="E191" s="2" t="n">
        <x:f>WORKDAY.INTL(A191-1,1,1,FERIADOS!$A$2:$A$250)</x:f>
        <x:v>45847</x:v>
      </x:c>
      <x:c r="F191" t="str">
        <x:f>IF(E191&gt;=WORKDAY.INTL(EOMONTH(E191,0)+1,-2,1,FERIADOS!$A$2:$A$250),"SÍ","NO")</x:f>
        <x:v>NO</x:v>
      </x:c>
      <x:c r="G191" s="10" t="n">
        <x:f>IF(F191="SÍ",EOMONTH(E191,0)+1,DATE(YEAR(E191),MONTH(E191),1))</x:f>
        <x:v>45839</x:v>
      </x:c>
      <x:c r="H191" t="str">
        <x:f>IF(D191="NO",IF(C191="SÍ","FERIADO","FIN DE SEMANA"),"LABORABLE")&amp;IF(F191="SÍ"," + CIERRE","")</x:f>
        <x:v>LABORABLE</x:v>
      </x:c>
      <x:c r="I191" t="str">
        <x:f>TEXT(G191,"yyyy-mm")</x:f>
        <x:v>2025-07</x:v>
      </x:c>
    </x:row>
    <x:row r="192" ht="19" customHeight="1">
      <x:c r="A192" s="2" t="n">
        <x:v>45848</x:v>
      </x:c>
      <x:c r="B192" t="str">
        <x:f>CHOOSE(WEEKDAY(A192,2),"Lunes","Martes","Miércoles","Jueves","Viernes","Sábado","Domingo")</x:f>
        <x:v>Jueves</x:v>
      </x:c>
      <x:c r="C192" t="str">
        <x:f>IF(COUNTIF(FERIADOS!$A$2:$A$250,A192)&gt;0,"SÍ","NO")</x:f>
        <x:v>NO</x:v>
      </x:c>
      <x:c r="D192" t="str">
        <x:f>IF(AND(WEEKDAY(A192,2)&lt;=5,C192="NO"),"SÍ","NO")</x:f>
        <x:v>SÍ</x:v>
      </x:c>
      <x:c r="E192" s="2" t="n">
        <x:f>WORKDAY.INTL(A192-1,1,1,FERIADOS!$A$2:$A$250)</x:f>
        <x:v>45848</x:v>
      </x:c>
      <x:c r="F192" t="str">
        <x:f>IF(E192&gt;=WORKDAY.INTL(EOMONTH(E192,0)+1,-2,1,FERIADOS!$A$2:$A$250),"SÍ","NO")</x:f>
        <x:v>NO</x:v>
      </x:c>
      <x:c r="G192" s="10" t="n">
        <x:f>IF(F192="SÍ",EOMONTH(E192,0)+1,DATE(YEAR(E192),MONTH(E192),1))</x:f>
        <x:v>45839</x:v>
      </x:c>
      <x:c r="H192" t="str">
        <x:f>IF(D192="NO",IF(C192="SÍ","FERIADO","FIN DE SEMANA"),"LABORABLE")&amp;IF(F192="SÍ"," + CIERRE","")</x:f>
        <x:v>LABORABLE</x:v>
      </x:c>
      <x:c r="I192" t="str">
        <x:f>TEXT(G192,"yyyy-mm")</x:f>
        <x:v>2025-07</x:v>
      </x:c>
    </x:row>
    <x:row r="193" ht="19" customHeight="1">
      <x:c r="A193" s="2" t="n">
        <x:v>45849</x:v>
      </x:c>
      <x:c r="B193" t="str">
        <x:f>CHOOSE(WEEKDAY(A193,2),"Lunes","Martes","Miércoles","Jueves","Viernes","Sábado","Domingo")</x:f>
        <x:v>Viernes</x:v>
      </x:c>
      <x:c r="C193" t="str">
        <x:f>IF(COUNTIF(FERIADOS!$A$2:$A$250,A193)&gt;0,"SÍ","NO")</x:f>
        <x:v>NO</x:v>
      </x:c>
      <x:c r="D193" t="str">
        <x:f>IF(AND(WEEKDAY(A193,2)&lt;=5,C193="NO"),"SÍ","NO")</x:f>
        <x:v>SÍ</x:v>
      </x:c>
      <x:c r="E193" s="2" t="n">
        <x:f>WORKDAY.INTL(A193-1,1,1,FERIADOS!$A$2:$A$250)</x:f>
        <x:v>45849</x:v>
      </x:c>
      <x:c r="F193" t="str">
        <x:f>IF(E193&gt;=WORKDAY.INTL(EOMONTH(E193,0)+1,-2,1,FERIADOS!$A$2:$A$250),"SÍ","NO")</x:f>
        <x:v>NO</x:v>
      </x:c>
      <x:c r="G193" s="10" t="n">
        <x:f>IF(F193="SÍ",EOMONTH(E193,0)+1,DATE(YEAR(E193),MONTH(E193),1))</x:f>
        <x:v>45839</x:v>
      </x:c>
      <x:c r="H193" t="str">
        <x:f>IF(D193="NO",IF(C193="SÍ","FERIADO","FIN DE SEMANA"),"LABORABLE")&amp;IF(F193="SÍ"," + CIERRE","")</x:f>
        <x:v>LABORABLE</x:v>
      </x:c>
      <x:c r="I193" t="str">
        <x:f>TEXT(G193,"yyyy-mm")</x:f>
        <x:v>2025-07</x:v>
      </x:c>
    </x:row>
    <x:row r="194" ht="19" customHeight="1">
      <x:c r="A194" s="2" t="n">
        <x:v>45850</x:v>
      </x:c>
      <x:c r="B194" t="str">
        <x:f>CHOOSE(WEEKDAY(A194,2),"Lunes","Martes","Miércoles","Jueves","Viernes","Sábado","Domingo")</x:f>
        <x:v>Sábado</x:v>
      </x:c>
      <x:c r="C194" t="str">
        <x:f>IF(COUNTIF(FERIADOS!$A$2:$A$250,A194)&gt;0,"SÍ","NO")</x:f>
        <x:v>NO</x:v>
      </x:c>
      <x:c r="D194" t="str">
        <x:f>IF(AND(WEEKDAY(A194,2)&lt;=5,C194="NO"),"SÍ","NO")</x:f>
        <x:v>NO</x:v>
      </x:c>
      <x:c r="E194" s="2" t="n">
        <x:f>WORKDAY.INTL(A194-1,1,1,FERIADOS!$A$2:$A$250)</x:f>
        <x:v>45852</x:v>
      </x:c>
      <x:c r="F194" t="str">
        <x:f>IF(E194&gt;=WORKDAY.INTL(EOMONTH(E194,0)+1,-2,1,FERIADOS!$A$2:$A$250),"SÍ","NO")</x:f>
        <x:v>NO</x:v>
      </x:c>
      <x:c r="G194" s="10" t="n">
        <x:f>IF(F194="SÍ",EOMONTH(E194,0)+1,DATE(YEAR(E194),MONTH(E194),1))</x:f>
        <x:v>45839</x:v>
      </x:c>
      <x:c r="H194" t="str">
        <x:f>IF(D194="NO",IF(C194="SÍ","FERIADO","FIN DE SEMANA"),"LABORABLE")&amp;IF(F194="SÍ"," + CIERRE","")</x:f>
        <x:v>FIN DE SEMANA</x:v>
      </x:c>
      <x:c r="I194" t="str">
        <x:f>TEXT(G194,"yyyy-mm")</x:f>
        <x:v>2025-07</x:v>
      </x:c>
    </x:row>
    <x:row r="195" ht="19" customHeight="1">
      <x:c r="A195" s="2" t="n">
        <x:v>45851</x:v>
      </x:c>
      <x:c r="B195" t="str">
        <x:f>CHOOSE(WEEKDAY(A195,2),"Lunes","Martes","Miércoles","Jueves","Viernes","Sábado","Domingo")</x:f>
        <x:v>Domingo</x:v>
      </x:c>
      <x:c r="C195" t="str">
        <x:f>IF(COUNTIF(FERIADOS!$A$2:$A$250,A195)&gt;0,"SÍ","NO")</x:f>
        <x:v>NO</x:v>
      </x:c>
      <x:c r="D195" t="str">
        <x:f>IF(AND(WEEKDAY(A195,2)&lt;=5,C195="NO"),"SÍ","NO")</x:f>
        <x:v>NO</x:v>
      </x:c>
      <x:c r="E195" s="2" t="n">
        <x:f>WORKDAY.INTL(A195-1,1,1,FERIADOS!$A$2:$A$250)</x:f>
        <x:v>45852</x:v>
      </x:c>
      <x:c r="F195" t="str">
        <x:f>IF(E195&gt;=WORKDAY.INTL(EOMONTH(E195,0)+1,-2,1,FERIADOS!$A$2:$A$250),"SÍ","NO")</x:f>
        <x:v>NO</x:v>
      </x:c>
      <x:c r="G195" s="10" t="n">
        <x:f>IF(F195="SÍ",EOMONTH(E195,0)+1,DATE(YEAR(E195),MONTH(E195),1))</x:f>
        <x:v>45839</x:v>
      </x:c>
      <x:c r="H195" t="str">
        <x:f>IF(D195="NO",IF(C195="SÍ","FERIADO","FIN DE SEMANA"),"LABORABLE")&amp;IF(F195="SÍ"," + CIERRE","")</x:f>
        <x:v>FIN DE SEMANA</x:v>
      </x:c>
      <x:c r="I195" t="str">
        <x:f>TEXT(G195,"yyyy-mm")</x:f>
        <x:v>2025-07</x:v>
      </x:c>
    </x:row>
    <x:row r="196" ht="19" customHeight="1">
      <x:c r="A196" s="2" t="n">
        <x:v>45852</x:v>
      </x:c>
      <x:c r="B196" t="str">
        <x:f>CHOOSE(WEEKDAY(A196,2),"Lunes","Martes","Miércoles","Jueves","Viernes","Sábado","Domingo")</x:f>
        <x:v>Lunes</x:v>
      </x:c>
      <x:c r="C196" t="str">
        <x:f>IF(COUNTIF(FERIADOS!$A$2:$A$250,A196)&gt;0,"SÍ","NO")</x:f>
        <x:v>NO</x:v>
      </x:c>
      <x:c r="D196" t="str">
        <x:f>IF(AND(WEEKDAY(A196,2)&lt;=5,C196="NO"),"SÍ","NO")</x:f>
        <x:v>SÍ</x:v>
      </x:c>
      <x:c r="E196" s="2" t="n">
        <x:f>WORKDAY.INTL(A196-1,1,1,FERIADOS!$A$2:$A$250)</x:f>
        <x:v>45852</x:v>
      </x:c>
      <x:c r="F196" t="str">
        <x:f>IF(E196&gt;=WORKDAY.INTL(EOMONTH(E196,0)+1,-2,1,FERIADOS!$A$2:$A$250),"SÍ","NO")</x:f>
        <x:v>NO</x:v>
      </x:c>
      <x:c r="G196" s="10" t="n">
        <x:f>IF(F196="SÍ",EOMONTH(E196,0)+1,DATE(YEAR(E196),MONTH(E196),1))</x:f>
        <x:v>45839</x:v>
      </x:c>
      <x:c r="H196" t="str">
        <x:f>IF(D196="NO",IF(C196="SÍ","FERIADO","FIN DE SEMANA"),"LABORABLE")&amp;IF(F196="SÍ"," + CIERRE","")</x:f>
        <x:v>LABORABLE</x:v>
      </x:c>
      <x:c r="I196" t="str">
        <x:f>TEXT(G196,"yyyy-mm")</x:f>
        <x:v>2025-07</x:v>
      </x:c>
    </x:row>
    <x:row r="197" ht="19" customHeight="1">
      <x:c r="A197" s="2" t="n">
        <x:v>45853</x:v>
      </x:c>
      <x:c r="B197" t="str">
        <x:f>CHOOSE(WEEKDAY(A197,2),"Lunes","Martes","Miércoles","Jueves","Viernes","Sábado","Domingo")</x:f>
        <x:v>Martes</x:v>
      </x:c>
      <x:c r="C197" t="str">
        <x:f>IF(COUNTIF(FERIADOS!$A$2:$A$250,A197)&gt;0,"SÍ","NO")</x:f>
        <x:v>NO</x:v>
      </x:c>
      <x:c r="D197" t="str">
        <x:f>IF(AND(WEEKDAY(A197,2)&lt;=5,C197="NO"),"SÍ","NO")</x:f>
        <x:v>SÍ</x:v>
      </x:c>
      <x:c r="E197" s="2" t="n">
        <x:f>WORKDAY.INTL(A197-1,1,1,FERIADOS!$A$2:$A$250)</x:f>
        <x:v>45853</x:v>
      </x:c>
      <x:c r="F197" t="str">
        <x:f>IF(E197&gt;=WORKDAY.INTL(EOMONTH(E197,0)+1,-2,1,FERIADOS!$A$2:$A$250),"SÍ","NO")</x:f>
        <x:v>NO</x:v>
      </x:c>
      <x:c r="G197" s="10" t="n">
        <x:f>IF(F197="SÍ",EOMONTH(E197,0)+1,DATE(YEAR(E197),MONTH(E197),1))</x:f>
        <x:v>45839</x:v>
      </x:c>
      <x:c r="H197" t="str">
        <x:f>IF(D197="NO",IF(C197="SÍ","FERIADO","FIN DE SEMANA"),"LABORABLE")&amp;IF(F197="SÍ"," + CIERRE","")</x:f>
        <x:v>LABORABLE</x:v>
      </x:c>
      <x:c r="I197" t="str">
        <x:f>TEXT(G197,"yyyy-mm")</x:f>
        <x:v>2025-07</x:v>
      </x:c>
    </x:row>
    <x:row r="198" ht="19" customHeight="1">
      <x:c r="A198" s="2" t="n">
        <x:v>45854</x:v>
      </x:c>
      <x:c r="B198" t="str">
        <x:f>CHOOSE(WEEKDAY(A198,2),"Lunes","Martes","Miércoles","Jueves","Viernes","Sábado","Domingo")</x:f>
        <x:v>Miércoles</x:v>
      </x:c>
      <x:c r="C198" t="str">
        <x:f>IF(COUNTIF(FERIADOS!$A$2:$A$250,A198)&gt;0,"SÍ","NO")</x:f>
        <x:v>NO</x:v>
      </x:c>
      <x:c r="D198" t="str">
        <x:f>IF(AND(WEEKDAY(A198,2)&lt;=5,C198="NO"),"SÍ","NO")</x:f>
        <x:v>SÍ</x:v>
      </x:c>
      <x:c r="E198" s="2" t="n">
        <x:f>WORKDAY.INTL(A198-1,1,1,FERIADOS!$A$2:$A$250)</x:f>
        <x:v>45854</x:v>
      </x:c>
      <x:c r="F198" t="str">
        <x:f>IF(E198&gt;=WORKDAY.INTL(EOMONTH(E198,0)+1,-2,1,FERIADOS!$A$2:$A$250),"SÍ","NO")</x:f>
        <x:v>NO</x:v>
      </x:c>
      <x:c r="G198" s="10" t="n">
        <x:f>IF(F198="SÍ",EOMONTH(E198,0)+1,DATE(YEAR(E198),MONTH(E198),1))</x:f>
        <x:v>45839</x:v>
      </x:c>
      <x:c r="H198" t="str">
        <x:f>IF(D198="NO",IF(C198="SÍ","FERIADO","FIN DE SEMANA"),"LABORABLE")&amp;IF(F198="SÍ"," + CIERRE","")</x:f>
        <x:v>LABORABLE</x:v>
      </x:c>
      <x:c r="I198" t="str">
        <x:f>TEXT(G198,"yyyy-mm")</x:f>
        <x:v>2025-07</x:v>
      </x:c>
    </x:row>
    <x:row r="199" ht="19" customHeight="1">
      <x:c r="A199" s="2" t="n">
        <x:v>45855</x:v>
      </x:c>
      <x:c r="B199" t="str">
        <x:f>CHOOSE(WEEKDAY(A199,2),"Lunes","Martes","Miércoles","Jueves","Viernes","Sábado","Domingo")</x:f>
        <x:v>Jueves</x:v>
      </x:c>
      <x:c r="C199" t="str">
        <x:f>IF(COUNTIF(FERIADOS!$A$2:$A$250,A199)&gt;0,"SÍ","NO")</x:f>
        <x:v>NO</x:v>
      </x:c>
      <x:c r="D199" t="str">
        <x:f>IF(AND(WEEKDAY(A199,2)&lt;=5,C199="NO"),"SÍ","NO")</x:f>
        <x:v>SÍ</x:v>
      </x:c>
      <x:c r="E199" s="2" t="n">
        <x:f>WORKDAY.INTL(A199-1,1,1,FERIADOS!$A$2:$A$250)</x:f>
        <x:v>45855</x:v>
      </x:c>
      <x:c r="F199" t="str">
        <x:f>IF(E199&gt;=WORKDAY.INTL(EOMONTH(E199,0)+1,-2,1,FERIADOS!$A$2:$A$250),"SÍ","NO")</x:f>
        <x:v>NO</x:v>
      </x:c>
      <x:c r="G199" s="10" t="n">
        <x:f>IF(F199="SÍ",EOMONTH(E199,0)+1,DATE(YEAR(E199),MONTH(E199),1))</x:f>
        <x:v>45839</x:v>
      </x:c>
      <x:c r="H199" t="str">
        <x:f>IF(D199="NO",IF(C199="SÍ","FERIADO","FIN DE SEMANA"),"LABORABLE")&amp;IF(F199="SÍ"," + CIERRE","")</x:f>
        <x:v>LABORABLE</x:v>
      </x:c>
      <x:c r="I199" t="str">
        <x:f>TEXT(G199,"yyyy-mm")</x:f>
        <x:v>2025-07</x:v>
      </x:c>
    </x:row>
    <x:row r="200" ht="19" customHeight="1">
      <x:c r="A200" s="2" t="n">
        <x:v>45856</x:v>
      </x:c>
      <x:c r="B200" t="str">
        <x:f>CHOOSE(WEEKDAY(A200,2),"Lunes","Martes","Miércoles","Jueves","Viernes","Sábado","Domingo")</x:f>
        <x:v>Viernes</x:v>
      </x:c>
      <x:c r="C200" t="str">
        <x:f>IF(COUNTIF(FERIADOS!$A$2:$A$250,A200)&gt;0,"SÍ","NO")</x:f>
        <x:v>NO</x:v>
      </x:c>
      <x:c r="D200" t="str">
        <x:f>IF(AND(WEEKDAY(A200,2)&lt;=5,C200="NO"),"SÍ","NO")</x:f>
        <x:v>SÍ</x:v>
      </x:c>
      <x:c r="E200" s="2" t="n">
        <x:f>WORKDAY.INTL(A200-1,1,1,FERIADOS!$A$2:$A$250)</x:f>
        <x:v>45856</x:v>
      </x:c>
      <x:c r="F200" t="str">
        <x:f>IF(E200&gt;=WORKDAY.INTL(EOMONTH(E200,0)+1,-2,1,FERIADOS!$A$2:$A$250),"SÍ","NO")</x:f>
        <x:v>NO</x:v>
      </x:c>
      <x:c r="G200" s="10" t="n">
        <x:f>IF(F200="SÍ",EOMONTH(E200,0)+1,DATE(YEAR(E200),MONTH(E200),1))</x:f>
        <x:v>45839</x:v>
      </x:c>
      <x:c r="H200" t="str">
        <x:f>IF(D200="NO",IF(C200="SÍ","FERIADO","FIN DE SEMANA"),"LABORABLE")&amp;IF(F200="SÍ"," + CIERRE","")</x:f>
        <x:v>LABORABLE</x:v>
      </x:c>
      <x:c r="I200" t="str">
        <x:f>TEXT(G200,"yyyy-mm")</x:f>
        <x:v>2025-07</x:v>
      </x:c>
    </x:row>
    <x:row r="201" ht="19" customHeight="1">
      <x:c r="A201" s="2" t="n">
        <x:v>45857</x:v>
      </x:c>
      <x:c r="B201" t="str">
        <x:f>CHOOSE(WEEKDAY(A201,2),"Lunes","Martes","Miércoles","Jueves","Viernes","Sábado","Domingo")</x:f>
        <x:v>Sábado</x:v>
      </x:c>
      <x:c r="C201" t="str">
        <x:f>IF(COUNTIF(FERIADOS!$A$2:$A$250,A201)&gt;0,"SÍ","NO")</x:f>
        <x:v>NO</x:v>
      </x:c>
      <x:c r="D201" t="str">
        <x:f>IF(AND(WEEKDAY(A201,2)&lt;=5,C201="NO"),"SÍ","NO")</x:f>
        <x:v>NO</x:v>
      </x:c>
      <x:c r="E201" s="2" t="n">
        <x:f>WORKDAY.INTL(A201-1,1,1,FERIADOS!$A$2:$A$250)</x:f>
        <x:v>45859</x:v>
      </x:c>
      <x:c r="F201" t="str">
        <x:f>IF(E201&gt;=WORKDAY.INTL(EOMONTH(E201,0)+1,-2,1,FERIADOS!$A$2:$A$250),"SÍ","NO")</x:f>
        <x:v>NO</x:v>
      </x:c>
      <x:c r="G201" s="10" t="n">
        <x:f>IF(F201="SÍ",EOMONTH(E201,0)+1,DATE(YEAR(E201),MONTH(E201),1))</x:f>
        <x:v>45839</x:v>
      </x:c>
      <x:c r="H201" t="str">
        <x:f>IF(D201="NO",IF(C201="SÍ","FERIADO","FIN DE SEMANA"),"LABORABLE")&amp;IF(F201="SÍ"," + CIERRE","")</x:f>
        <x:v>FIN DE SEMANA</x:v>
      </x:c>
      <x:c r="I201" t="str">
        <x:f>TEXT(G201,"yyyy-mm")</x:f>
        <x:v>2025-07</x:v>
      </x:c>
    </x:row>
    <x:row r="202" ht="19" customHeight="1">
      <x:c r="A202" s="2" t="n">
        <x:v>45858</x:v>
      </x:c>
      <x:c r="B202" t="str">
        <x:f>CHOOSE(WEEKDAY(A202,2),"Lunes","Martes","Miércoles","Jueves","Viernes","Sábado","Domingo")</x:f>
        <x:v>Domingo</x:v>
      </x:c>
      <x:c r="C202" t="str">
        <x:f>IF(COUNTIF(FERIADOS!$A$2:$A$250,A202)&gt;0,"SÍ","NO")</x:f>
        <x:v>NO</x:v>
      </x:c>
      <x:c r="D202" t="str">
        <x:f>IF(AND(WEEKDAY(A202,2)&lt;=5,C202="NO"),"SÍ","NO")</x:f>
        <x:v>NO</x:v>
      </x:c>
      <x:c r="E202" s="2" t="n">
        <x:f>WORKDAY.INTL(A202-1,1,1,FERIADOS!$A$2:$A$250)</x:f>
        <x:v>45859</x:v>
      </x:c>
      <x:c r="F202" t="str">
        <x:f>IF(E202&gt;=WORKDAY.INTL(EOMONTH(E202,0)+1,-2,1,FERIADOS!$A$2:$A$250),"SÍ","NO")</x:f>
        <x:v>NO</x:v>
      </x:c>
      <x:c r="G202" s="10" t="n">
        <x:f>IF(F202="SÍ",EOMONTH(E202,0)+1,DATE(YEAR(E202),MONTH(E202),1))</x:f>
        <x:v>45839</x:v>
      </x:c>
      <x:c r="H202" t="str">
        <x:f>IF(D202="NO",IF(C202="SÍ","FERIADO","FIN DE SEMANA"),"LABORABLE")&amp;IF(F202="SÍ"," + CIERRE","")</x:f>
        <x:v>FIN DE SEMANA</x:v>
      </x:c>
      <x:c r="I202" t="str">
        <x:f>TEXT(G202,"yyyy-mm")</x:f>
        <x:v>2025-07</x:v>
      </x:c>
    </x:row>
    <x:row r="203" ht="19" customHeight="1">
      <x:c r="A203" s="2" t="n">
        <x:v>45859</x:v>
      </x:c>
      <x:c r="B203" t="str">
        <x:f>CHOOSE(WEEKDAY(A203,2),"Lunes","Martes","Miércoles","Jueves","Viernes","Sábado","Domingo")</x:f>
        <x:v>Lunes</x:v>
      </x:c>
      <x:c r="C203" t="str">
        <x:f>IF(COUNTIF(FERIADOS!$A$2:$A$250,A203)&gt;0,"SÍ","NO")</x:f>
        <x:v>NO</x:v>
      </x:c>
      <x:c r="D203" t="str">
        <x:f>IF(AND(WEEKDAY(A203,2)&lt;=5,C203="NO"),"SÍ","NO")</x:f>
        <x:v>SÍ</x:v>
      </x:c>
      <x:c r="E203" s="2" t="n">
        <x:f>WORKDAY.INTL(A203-1,1,1,FERIADOS!$A$2:$A$250)</x:f>
        <x:v>45859</x:v>
      </x:c>
      <x:c r="F203" t="str">
        <x:f>IF(E203&gt;=WORKDAY.INTL(EOMONTH(E203,0)+1,-2,1,FERIADOS!$A$2:$A$250),"SÍ","NO")</x:f>
        <x:v>NO</x:v>
      </x:c>
      <x:c r="G203" s="10" t="n">
        <x:f>IF(F203="SÍ",EOMONTH(E203,0)+1,DATE(YEAR(E203),MONTH(E203),1))</x:f>
        <x:v>45839</x:v>
      </x:c>
      <x:c r="H203" t="str">
        <x:f>IF(D203="NO",IF(C203="SÍ","FERIADO","FIN DE SEMANA"),"LABORABLE")&amp;IF(F203="SÍ"," + CIERRE","")</x:f>
        <x:v>LABORABLE</x:v>
      </x:c>
      <x:c r="I203" t="str">
        <x:f>TEXT(G203,"yyyy-mm")</x:f>
        <x:v>2025-07</x:v>
      </x:c>
    </x:row>
    <x:row r="204" ht="19" customHeight="1">
      <x:c r="A204" s="2" t="n">
        <x:v>45860</x:v>
      </x:c>
      <x:c r="B204" t="str">
        <x:f>CHOOSE(WEEKDAY(A204,2),"Lunes","Martes","Miércoles","Jueves","Viernes","Sábado","Domingo")</x:f>
        <x:v>Martes</x:v>
      </x:c>
      <x:c r="C204" t="str">
        <x:f>IF(COUNTIF(FERIADOS!$A$2:$A$250,A204)&gt;0,"SÍ","NO")</x:f>
        <x:v>NO</x:v>
      </x:c>
      <x:c r="D204" t="str">
        <x:f>IF(AND(WEEKDAY(A204,2)&lt;=5,C204="NO"),"SÍ","NO")</x:f>
        <x:v>SÍ</x:v>
      </x:c>
      <x:c r="E204" s="2" t="n">
        <x:f>WORKDAY.INTL(A204-1,1,1,FERIADOS!$A$2:$A$250)</x:f>
        <x:v>45860</x:v>
      </x:c>
      <x:c r="F204" t="str">
        <x:f>IF(E204&gt;=WORKDAY.INTL(EOMONTH(E204,0)+1,-2,1,FERIADOS!$A$2:$A$250),"SÍ","NO")</x:f>
        <x:v>NO</x:v>
      </x:c>
      <x:c r="G204" s="10" t="n">
        <x:f>IF(F204="SÍ",EOMONTH(E204,0)+1,DATE(YEAR(E204),MONTH(E204),1))</x:f>
        <x:v>45839</x:v>
      </x:c>
      <x:c r="H204" t="str">
        <x:f>IF(D204="NO",IF(C204="SÍ","FERIADO","FIN DE SEMANA"),"LABORABLE")&amp;IF(F204="SÍ"," + CIERRE","")</x:f>
        <x:v>LABORABLE</x:v>
      </x:c>
      <x:c r="I204" t="str">
        <x:f>TEXT(G204,"yyyy-mm")</x:f>
        <x:v>2025-07</x:v>
      </x:c>
    </x:row>
    <x:row r="205" ht="19" customHeight="1">
      <x:c r="A205" s="2" t="n">
        <x:v>45861</x:v>
      </x:c>
      <x:c r="B205" t="str">
        <x:f>CHOOSE(WEEKDAY(A205,2),"Lunes","Martes","Miércoles","Jueves","Viernes","Sábado","Domingo")</x:f>
        <x:v>Miércoles</x:v>
      </x:c>
      <x:c r="C205" t="str">
        <x:f>IF(COUNTIF(FERIADOS!$A$2:$A$250,A205)&gt;0,"SÍ","NO")</x:f>
        <x:v>NO</x:v>
      </x:c>
      <x:c r="D205" t="str">
        <x:f>IF(AND(WEEKDAY(A205,2)&lt;=5,C205="NO"),"SÍ","NO")</x:f>
        <x:v>SÍ</x:v>
      </x:c>
      <x:c r="E205" s="2" t="n">
        <x:f>WORKDAY.INTL(A205-1,1,1,FERIADOS!$A$2:$A$250)</x:f>
        <x:v>45861</x:v>
      </x:c>
      <x:c r="F205" t="str">
        <x:f>IF(E205&gt;=WORKDAY.INTL(EOMONTH(E205,0)+1,-2,1,FERIADOS!$A$2:$A$250),"SÍ","NO")</x:f>
        <x:v>NO</x:v>
      </x:c>
      <x:c r="G205" s="10" t="n">
        <x:f>IF(F205="SÍ",EOMONTH(E205,0)+1,DATE(YEAR(E205),MONTH(E205),1))</x:f>
        <x:v>45839</x:v>
      </x:c>
      <x:c r="H205" t="str">
        <x:f>IF(D205="NO",IF(C205="SÍ","FERIADO","FIN DE SEMANA"),"LABORABLE")&amp;IF(F205="SÍ"," + CIERRE","")</x:f>
        <x:v>LABORABLE</x:v>
      </x:c>
      <x:c r="I205" t="str">
        <x:f>TEXT(G205,"yyyy-mm")</x:f>
        <x:v>2025-07</x:v>
      </x:c>
    </x:row>
    <x:row r="206" ht="19" customHeight="1">
      <x:c r="A206" s="2" t="n">
        <x:v>45862</x:v>
      </x:c>
      <x:c r="B206" t="str">
        <x:f>CHOOSE(WEEKDAY(A206,2),"Lunes","Martes","Miércoles","Jueves","Viernes","Sábado","Domingo")</x:f>
        <x:v>Jueves</x:v>
      </x:c>
      <x:c r="C206" t="str">
        <x:f>IF(COUNTIF(FERIADOS!$A$2:$A$250,A206)&gt;0,"SÍ","NO")</x:f>
        <x:v>NO</x:v>
      </x:c>
      <x:c r="D206" t="str">
        <x:f>IF(AND(WEEKDAY(A206,2)&lt;=5,C206="NO"),"SÍ","NO")</x:f>
        <x:v>SÍ</x:v>
      </x:c>
      <x:c r="E206" s="2" t="n">
        <x:f>WORKDAY.INTL(A206-1,1,1,FERIADOS!$A$2:$A$250)</x:f>
        <x:v>45862</x:v>
      </x:c>
      <x:c r="F206" t="str">
        <x:f>IF(E206&gt;=WORKDAY.INTL(EOMONTH(E206,0)+1,-2,1,FERIADOS!$A$2:$A$250),"SÍ","NO")</x:f>
        <x:v>NO</x:v>
      </x:c>
      <x:c r="G206" s="10" t="n">
        <x:f>IF(F206="SÍ",EOMONTH(E206,0)+1,DATE(YEAR(E206),MONTH(E206),1))</x:f>
        <x:v>45839</x:v>
      </x:c>
      <x:c r="H206" t="str">
        <x:f>IF(D206="NO",IF(C206="SÍ","FERIADO","FIN DE SEMANA"),"LABORABLE")&amp;IF(F206="SÍ"," + CIERRE","")</x:f>
        <x:v>LABORABLE</x:v>
      </x:c>
      <x:c r="I206" t="str">
        <x:f>TEXT(G206,"yyyy-mm")</x:f>
        <x:v>2025-07</x:v>
      </x:c>
    </x:row>
    <x:row r="207" ht="19" customHeight="1">
      <x:c r="A207" s="2" t="n">
        <x:v>45863</x:v>
      </x:c>
      <x:c r="B207" t="str">
        <x:f>CHOOSE(WEEKDAY(A207,2),"Lunes","Martes","Miércoles","Jueves","Viernes","Sábado","Domingo")</x:f>
        <x:v>Viernes</x:v>
      </x:c>
      <x:c r="C207" t="str">
        <x:f>IF(COUNTIF(FERIADOS!$A$2:$A$250,A207)&gt;0,"SÍ","NO")</x:f>
        <x:v>NO</x:v>
      </x:c>
      <x:c r="D207" t="str">
        <x:f>IF(AND(WEEKDAY(A207,2)&lt;=5,C207="NO"),"SÍ","NO")</x:f>
        <x:v>SÍ</x:v>
      </x:c>
      <x:c r="E207" s="2" t="n">
        <x:f>WORKDAY.INTL(A207-1,1,1,FERIADOS!$A$2:$A$250)</x:f>
        <x:v>45863</x:v>
      </x:c>
      <x:c r="F207" t="str">
        <x:f>IF(E207&gt;=WORKDAY.INTL(EOMONTH(E207,0)+1,-2,1,FERIADOS!$A$2:$A$250),"SÍ","NO")</x:f>
        <x:v>NO</x:v>
      </x:c>
      <x:c r="G207" s="10" t="n">
        <x:f>IF(F207="SÍ",EOMONTH(E207,0)+1,DATE(YEAR(E207),MONTH(E207),1))</x:f>
        <x:v>45839</x:v>
      </x:c>
      <x:c r="H207" t="str">
        <x:f>IF(D207="NO",IF(C207="SÍ","FERIADO","FIN DE SEMANA"),"LABORABLE")&amp;IF(F207="SÍ"," + CIERRE","")</x:f>
        <x:v>LABORABLE</x:v>
      </x:c>
      <x:c r="I207" t="str">
        <x:f>TEXT(G207,"yyyy-mm")</x:f>
        <x:v>2025-07</x:v>
      </x:c>
    </x:row>
    <x:row r="208" ht="19" customHeight="1">
      <x:c r="A208" s="2" t="n">
        <x:v>45864</x:v>
      </x:c>
      <x:c r="B208" t="str">
        <x:f>CHOOSE(WEEKDAY(A208,2),"Lunes","Martes","Miércoles","Jueves","Viernes","Sábado","Domingo")</x:f>
        <x:v>Sábado</x:v>
      </x:c>
      <x:c r="C208" t="str">
        <x:f>IF(COUNTIF(FERIADOS!$A$2:$A$250,A208)&gt;0,"SÍ","NO")</x:f>
        <x:v>NO</x:v>
      </x:c>
      <x:c r="D208" t="str">
        <x:f>IF(AND(WEEKDAY(A208,2)&lt;=5,C208="NO"),"SÍ","NO")</x:f>
        <x:v>NO</x:v>
      </x:c>
      <x:c r="E208" s="2" t="n">
        <x:f>WORKDAY.INTL(A208-1,1,1,FERIADOS!$A$2:$A$250)</x:f>
        <x:v>45866</x:v>
      </x:c>
      <x:c r="F208" t="str">
        <x:f>IF(E208&gt;=WORKDAY.INTL(EOMONTH(E208,0)+1,-2,1,FERIADOS!$A$2:$A$250),"SÍ","NO")</x:f>
        <x:v>NO</x:v>
      </x:c>
      <x:c r="G208" s="10" t="n">
        <x:f>IF(F208="SÍ",EOMONTH(E208,0)+1,DATE(YEAR(E208),MONTH(E208),1))</x:f>
        <x:v>45839</x:v>
      </x:c>
      <x:c r="H208" t="str">
        <x:f>IF(D208="NO",IF(C208="SÍ","FERIADO","FIN DE SEMANA"),"LABORABLE")&amp;IF(F208="SÍ"," + CIERRE","")</x:f>
        <x:v>FIN DE SEMANA</x:v>
      </x:c>
      <x:c r="I208" t="str">
        <x:f>TEXT(G208,"yyyy-mm")</x:f>
        <x:v>2025-07</x:v>
      </x:c>
    </x:row>
    <x:row r="209" ht="19" customHeight="1">
      <x:c r="A209" s="2" t="n">
        <x:v>45865</x:v>
      </x:c>
      <x:c r="B209" t="str">
        <x:f>CHOOSE(WEEKDAY(A209,2),"Lunes","Martes","Miércoles","Jueves","Viernes","Sábado","Domingo")</x:f>
        <x:v>Domingo</x:v>
      </x:c>
      <x:c r="C209" t="str">
        <x:f>IF(COUNTIF(FERIADOS!$A$2:$A$250,A209)&gt;0,"SÍ","NO")</x:f>
        <x:v>NO</x:v>
      </x:c>
      <x:c r="D209" t="str">
        <x:f>IF(AND(WEEKDAY(A209,2)&lt;=5,C209="NO"),"SÍ","NO")</x:f>
        <x:v>NO</x:v>
      </x:c>
      <x:c r="E209" s="2" t="n">
        <x:f>WORKDAY.INTL(A209-1,1,1,FERIADOS!$A$2:$A$250)</x:f>
        <x:v>45866</x:v>
      </x:c>
      <x:c r="F209" t="str">
        <x:f>IF(E209&gt;=WORKDAY.INTL(EOMONTH(E209,0)+1,-2,1,FERIADOS!$A$2:$A$250),"SÍ","NO")</x:f>
        <x:v>NO</x:v>
      </x:c>
      <x:c r="G209" s="10" t="n">
        <x:f>IF(F209="SÍ",EOMONTH(E209,0)+1,DATE(YEAR(E209),MONTH(E209),1))</x:f>
        <x:v>45839</x:v>
      </x:c>
      <x:c r="H209" t="str">
        <x:f>IF(D209="NO",IF(C209="SÍ","FERIADO","FIN DE SEMANA"),"LABORABLE")&amp;IF(F209="SÍ"," + CIERRE","")</x:f>
        <x:v>FIN DE SEMANA</x:v>
      </x:c>
      <x:c r="I209" t="str">
        <x:f>TEXT(G209,"yyyy-mm")</x:f>
        <x:v>2025-07</x:v>
      </x:c>
    </x:row>
    <x:row r="210" ht="19" customHeight="1">
      <x:c r="A210" s="2" t="n">
        <x:v>45866</x:v>
      </x:c>
      <x:c r="B210" t="str">
        <x:f>CHOOSE(WEEKDAY(A210,2),"Lunes","Martes","Miércoles","Jueves","Viernes","Sábado","Domingo")</x:f>
        <x:v>Lunes</x:v>
      </x:c>
      <x:c r="C210" t="str">
        <x:f>IF(COUNTIF(FERIADOS!$A$2:$A$250,A210)&gt;0,"SÍ","NO")</x:f>
        <x:v>NO</x:v>
      </x:c>
      <x:c r="D210" t="str">
        <x:f>IF(AND(WEEKDAY(A210,2)&lt;=5,C210="NO"),"SÍ","NO")</x:f>
        <x:v>SÍ</x:v>
      </x:c>
      <x:c r="E210" s="2" t="n">
        <x:f>WORKDAY.INTL(A210-1,1,1,FERIADOS!$A$2:$A$250)</x:f>
        <x:v>45866</x:v>
      </x:c>
      <x:c r="F210" t="str">
        <x:f>IF(E210&gt;=WORKDAY.INTL(EOMONTH(E210,0)+1,-2,1,FERIADOS!$A$2:$A$250),"SÍ","NO")</x:f>
        <x:v>NO</x:v>
      </x:c>
      <x:c r="G210" s="10" t="n">
        <x:f>IF(F210="SÍ",EOMONTH(E210,0)+1,DATE(YEAR(E210),MONTH(E210),1))</x:f>
        <x:v>45839</x:v>
      </x:c>
      <x:c r="H210" t="str">
        <x:f>IF(D210="NO",IF(C210="SÍ","FERIADO","FIN DE SEMANA"),"LABORABLE")&amp;IF(F210="SÍ"," + CIERRE","")</x:f>
        <x:v>LABORABLE</x:v>
      </x:c>
      <x:c r="I210" t="str">
        <x:f>TEXT(G210,"yyyy-mm")</x:f>
        <x:v>2025-07</x:v>
      </x:c>
    </x:row>
    <x:row r="211" ht="19" customHeight="1">
      <x:c r="A211" s="2" t="n">
        <x:v>45867</x:v>
      </x:c>
      <x:c r="B211" t="str">
        <x:f>CHOOSE(WEEKDAY(A211,2),"Lunes","Martes","Miércoles","Jueves","Viernes","Sábado","Domingo")</x:f>
        <x:v>Martes</x:v>
      </x:c>
      <x:c r="C211" t="str">
        <x:f>IF(COUNTIF(FERIADOS!$A$2:$A$250,A211)&gt;0,"SÍ","NO")</x:f>
        <x:v>NO</x:v>
      </x:c>
      <x:c r="D211" t="str">
        <x:f>IF(AND(WEEKDAY(A211,2)&lt;=5,C211="NO"),"SÍ","NO")</x:f>
        <x:v>SÍ</x:v>
      </x:c>
      <x:c r="E211" s="2" t="n">
        <x:f>WORKDAY.INTL(A211-1,1,1,FERIADOS!$A$2:$A$250)</x:f>
        <x:v>45867</x:v>
      </x:c>
      <x:c r="F211" t="str">
        <x:f>IF(E211&gt;=WORKDAY.INTL(EOMONTH(E211,0)+1,-2,1,FERIADOS!$A$2:$A$250),"SÍ","NO")</x:f>
        <x:v>NO</x:v>
      </x:c>
      <x:c r="G211" s="10" t="n">
        <x:f>IF(F211="SÍ",EOMONTH(E211,0)+1,DATE(YEAR(E211),MONTH(E211),1))</x:f>
        <x:v>45839</x:v>
      </x:c>
      <x:c r="H211" t="str">
        <x:f>IF(D211="NO",IF(C211="SÍ","FERIADO","FIN DE SEMANA"),"LABORABLE")&amp;IF(F211="SÍ"," + CIERRE","")</x:f>
        <x:v>LABORABLE</x:v>
      </x:c>
      <x:c r="I211" t="str">
        <x:f>TEXT(G211,"yyyy-mm")</x:f>
        <x:v>2025-07</x:v>
      </x:c>
    </x:row>
    <x:row r="212" ht="19" customHeight="1">
      <x:c r="A212" s="2" t="n">
        <x:v>45868</x:v>
      </x:c>
      <x:c r="B212" t="str">
        <x:f>CHOOSE(WEEKDAY(A212,2),"Lunes","Martes","Miércoles","Jueves","Viernes","Sábado","Domingo")</x:f>
        <x:v>Miércoles</x:v>
      </x:c>
      <x:c r="C212" t="str">
        <x:f>IF(COUNTIF(FERIADOS!$A$2:$A$250,A212)&gt;0,"SÍ","NO")</x:f>
        <x:v>NO</x:v>
      </x:c>
      <x:c r="D212" t="str">
        <x:f>IF(AND(WEEKDAY(A212,2)&lt;=5,C212="NO"),"SÍ","NO")</x:f>
        <x:v>SÍ</x:v>
      </x:c>
      <x:c r="E212" s="2" t="n">
        <x:f>WORKDAY.INTL(A212-1,1,1,FERIADOS!$A$2:$A$250)</x:f>
        <x:v>45868</x:v>
      </x:c>
      <x:c r="F212" t="str">
        <x:f>IF(E212&gt;=WORKDAY.INTL(EOMONTH(E212,0)+1,-2,1,FERIADOS!$A$2:$A$250),"SÍ","NO")</x:f>
        <x:v>SÍ</x:v>
      </x:c>
      <x:c r="G212" s="10" t="n">
        <x:f>IF(F212="SÍ",EOMONTH(E212,0)+1,DATE(YEAR(E212),MONTH(E212),1))</x:f>
        <x:v>45870</x:v>
      </x:c>
      <x:c r="H212" t="str">
        <x:f>IF(D212="NO",IF(C212="SÍ","FERIADO","FIN DE SEMANA"),"LABORABLE")&amp;IF(F212="SÍ"," + CIERRE","")</x:f>
        <x:v>LABORABLE + CIERRE</x:v>
      </x:c>
      <x:c r="I212" t="str">
        <x:f>TEXT(G212,"yyyy-mm")</x:f>
        <x:v>2025-08</x:v>
      </x:c>
    </x:row>
    <x:row r="213" ht="19" customHeight="1">
      <x:c r="A213" s="2" t="n">
        <x:v>45869</x:v>
      </x:c>
      <x:c r="B213" t="str">
        <x:f>CHOOSE(WEEKDAY(A213,2),"Lunes","Martes","Miércoles","Jueves","Viernes","Sábado","Domingo")</x:f>
        <x:v>Jueves</x:v>
      </x:c>
      <x:c r="C213" t="str">
        <x:f>IF(COUNTIF(FERIADOS!$A$2:$A$250,A213)&gt;0,"SÍ","NO")</x:f>
        <x:v>NO</x:v>
      </x:c>
      <x:c r="D213" t="str">
        <x:f>IF(AND(WEEKDAY(A213,2)&lt;=5,C213="NO"),"SÍ","NO")</x:f>
        <x:v>SÍ</x:v>
      </x:c>
      <x:c r="E213" s="2" t="n">
        <x:f>WORKDAY.INTL(A213-1,1,1,FERIADOS!$A$2:$A$250)</x:f>
        <x:v>45869</x:v>
      </x:c>
      <x:c r="F213" t="str">
        <x:f>IF(E213&gt;=WORKDAY.INTL(EOMONTH(E213,0)+1,-2,1,FERIADOS!$A$2:$A$250),"SÍ","NO")</x:f>
        <x:v>SÍ</x:v>
      </x:c>
      <x:c r="G213" s="10" t="n">
        <x:f>IF(F213="SÍ",EOMONTH(E213,0)+1,DATE(YEAR(E213),MONTH(E213),1))</x:f>
        <x:v>45870</x:v>
      </x:c>
      <x:c r="H213" t="str">
        <x:f>IF(D213="NO",IF(C213="SÍ","FERIADO","FIN DE SEMANA"),"LABORABLE")&amp;IF(F213="SÍ"," + CIERRE","")</x:f>
        <x:v>LABORABLE + CIERRE</x:v>
      </x:c>
      <x:c r="I213" t="str">
        <x:f>TEXT(G213,"yyyy-mm")</x:f>
        <x:v>2025-08</x:v>
      </x:c>
    </x:row>
    <x:row r="214" ht="19" customHeight="1">
      <x:c r="A214" s="2" t="n">
        <x:v>45870</x:v>
      </x:c>
      <x:c r="B214" t="str">
        <x:f>CHOOSE(WEEKDAY(A214,2),"Lunes","Martes","Miércoles","Jueves","Viernes","Sábado","Domingo")</x:f>
        <x:v>Viernes</x:v>
      </x:c>
      <x:c r="C214" t="str">
        <x:f>IF(COUNTIF(FERIADOS!$A$2:$A$250,A214)&gt;0,"SÍ","NO")</x:f>
        <x:v>NO</x:v>
      </x:c>
      <x:c r="D214" t="str">
        <x:f>IF(AND(WEEKDAY(A214,2)&lt;=5,C214="NO"),"SÍ","NO")</x:f>
        <x:v>SÍ</x:v>
      </x:c>
      <x:c r="E214" s="2" t="n">
        <x:f>WORKDAY.INTL(A214-1,1,1,FERIADOS!$A$2:$A$250)</x:f>
        <x:v>45870</x:v>
      </x:c>
      <x:c r="F214" t="str">
        <x:f>IF(E214&gt;=WORKDAY.INTL(EOMONTH(E214,0)+1,-2,1,FERIADOS!$A$2:$A$250),"SÍ","NO")</x:f>
        <x:v>NO</x:v>
      </x:c>
      <x:c r="G214" s="10" t="n">
        <x:f>IF(F214="SÍ",EOMONTH(E214,0)+1,DATE(YEAR(E214),MONTH(E214),1))</x:f>
        <x:v>45870</x:v>
      </x:c>
      <x:c r="H214" t="str">
        <x:f>IF(D214="NO",IF(C214="SÍ","FERIADO","FIN DE SEMANA"),"LABORABLE")&amp;IF(F214="SÍ"," + CIERRE","")</x:f>
        <x:v>LABORABLE</x:v>
      </x:c>
      <x:c r="I214" t="str">
        <x:f>TEXT(G214,"yyyy-mm")</x:f>
        <x:v>2025-08</x:v>
      </x:c>
    </x:row>
    <x:row r="215" ht="19" customHeight="1">
      <x:c r="A215" s="2" t="n">
        <x:v>45871</x:v>
      </x:c>
      <x:c r="B215" t="str">
        <x:f>CHOOSE(WEEKDAY(A215,2),"Lunes","Martes","Miércoles","Jueves","Viernes","Sábado","Domingo")</x:f>
        <x:v>Sábado</x:v>
      </x:c>
      <x:c r="C215" t="str">
        <x:f>IF(COUNTIF(FERIADOS!$A$2:$A$250,A215)&gt;0,"SÍ","NO")</x:f>
        <x:v>NO</x:v>
      </x:c>
      <x:c r="D215" t="str">
        <x:f>IF(AND(WEEKDAY(A215,2)&lt;=5,C215="NO"),"SÍ","NO")</x:f>
        <x:v>NO</x:v>
      </x:c>
      <x:c r="E215" s="2" t="n">
        <x:f>WORKDAY.INTL(A215-1,1,1,FERIADOS!$A$2:$A$250)</x:f>
        <x:v>45873</x:v>
      </x:c>
      <x:c r="F215" t="str">
        <x:f>IF(E215&gt;=WORKDAY.INTL(EOMONTH(E215,0)+1,-2,1,FERIADOS!$A$2:$A$250),"SÍ","NO")</x:f>
        <x:v>NO</x:v>
      </x:c>
      <x:c r="G215" s="10" t="n">
        <x:f>IF(F215="SÍ",EOMONTH(E215,0)+1,DATE(YEAR(E215),MONTH(E215),1))</x:f>
        <x:v>45870</x:v>
      </x:c>
      <x:c r="H215" t="str">
        <x:f>IF(D215="NO",IF(C215="SÍ","FERIADO","FIN DE SEMANA"),"LABORABLE")&amp;IF(F215="SÍ"," + CIERRE","")</x:f>
        <x:v>FIN DE SEMANA</x:v>
      </x:c>
      <x:c r="I215" t="str">
        <x:f>TEXT(G215,"yyyy-mm")</x:f>
        <x:v>2025-08</x:v>
      </x:c>
    </x:row>
    <x:row r="216" ht="19" customHeight="1">
      <x:c r="A216" s="2" t="n">
        <x:v>45872</x:v>
      </x:c>
      <x:c r="B216" t="str">
        <x:f>CHOOSE(WEEKDAY(A216,2),"Lunes","Martes","Miércoles","Jueves","Viernes","Sábado","Domingo")</x:f>
        <x:v>Domingo</x:v>
      </x:c>
      <x:c r="C216" t="str">
        <x:f>IF(COUNTIF(FERIADOS!$A$2:$A$250,A216)&gt;0,"SÍ","NO")</x:f>
        <x:v>NO</x:v>
      </x:c>
      <x:c r="D216" t="str">
        <x:f>IF(AND(WEEKDAY(A216,2)&lt;=5,C216="NO"),"SÍ","NO")</x:f>
        <x:v>NO</x:v>
      </x:c>
      <x:c r="E216" s="2" t="n">
        <x:f>WORKDAY.INTL(A216-1,1,1,FERIADOS!$A$2:$A$250)</x:f>
        <x:v>45873</x:v>
      </x:c>
      <x:c r="F216" t="str">
        <x:f>IF(E216&gt;=WORKDAY.INTL(EOMONTH(E216,0)+1,-2,1,FERIADOS!$A$2:$A$250),"SÍ","NO")</x:f>
        <x:v>NO</x:v>
      </x:c>
      <x:c r="G216" s="10" t="n">
        <x:f>IF(F216="SÍ",EOMONTH(E216,0)+1,DATE(YEAR(E216),MONTH(E216),1))</x:f>
        <x:v>45870</x:v>
      </x:c>
      <x:c r="H216" t="str">
        <x:f>IF(D216="NO",IF(C216="SÍ","FERIADO","FIN DE SEMANA"),"LABORABLE")&amp;IF(F216="SÍ"," + CIERRE","")</x:f>
        <x:v>FIN DE SEMANA</x:v>
      </x:c>
      <x:c r="I216" t="str">
        <x:f>TEXT(G216,"yyyy-mm")</x:f>
        <x:v>2025-08</x:v>
      </x:c>
    </x:row>
    <x:row r="217" ht="19" customHeight="1">
      <x:c r="A217" s="2" t="n">
        <x:v>45873</x:v>
      </x:c>
      <x:c r="B217" t="str">
        <x:f>CHOOSE(WEEKDAY(A217,2),"Lunes","Martes","Miércoles","Jueves","Viernes","Sábado","Domingo")</x:f>
        <x:v>Lunes</x:v>
      </x:c>
      <x:c r="C217" t="str">
        <x:f>IF(COUNTIF(FERIADOS!$A$2:$A$250,A217)&gt;0,"SÍ","NO")</x:f>
        <x:v>NO</x:v>
      </x:c>
      <x:c r="D217" t="str">
        <x:f>IF(AND(WEEKDAY(A217,2)&lt;=5,C217="NO"),"SÍ","NO")</x:f>
        <x:v>SÍ</x:v>
      </x:c>
      <x:c r="E217" s="2" t="n">
        <x:f>WORKDAY.INTL(A217-1,1,1,FERIADOS!$A$2:$A$250)</x:f>
        <x:v>45873</x:v>
      </x:c>
      <x:c r="F217" t="str">
        <x:f>IF(E217&gt;=WORKDAY.INTL(EOMONTH(E217,0)+1,-2,1,FERIADOS!$A$2:$A$250),"SÍ","NO")</x:f>
        <x:v>NO</x:v>
      </x:c>
      <x:c r="G217" s="10" t="n">
        <x:f>IF(F217="SÍ",EOMONTH(E217,0)+1,DATE(YEAR(E217),MONTH(E217),1))</x:f>
        <x:v>45870</x:v>
      </x:c>
      <x:c r="H217" t="str">
        <x:f>IF(D217="NO",IF(C217="SÍ","FERIADO","FIN DE SEMANA"),"LABORABLE")&amp;IF(F217="SÍ"," + CIERRE","")</x:f>
        <x:v>LABORABLE</x:v>
      </x:c>
      <x:c r="I217" t="str">
        <x:f>TEXT(G217,"yyyy-mm")</x:f>
        <x:v>2025-08</x:v>
      </x:c>
    </x:row>
    <x:row r="218" ht="19" customHeight="1">
      <x:c r="A218" s="2" t="n">
        <x:v>45874</x:v>
      </x:c>
      <x:c r="B218" t="str">
        <x:f>CHOOSE(WEEKDAY(A218,2),"Lunes","Martes","Miércoles","Jueves","Viernes","Sábado","Domingo")</x:f>
        <x:v>Martes</x:v>
      </x:c>
      <x:c r="C218" t="str">
        <x:f>IF(COUNTIF(FERIADOS!$A$2:$A$250,A218)&gt;0,"SÍ","NO")</x:f>
        <x:v>NO</x:v>
      </x:c>
      <x:c r="D218" t="str">
        <x:f>IF(AND(WEEKDAY(A218,2)&lt;=5,C218="NO"),"SÍ","NO")</x:f>
        <x:v>SÍ</x:v>
      </x:c>
      <x:c r="E218" s="2" t="n">
        <x:f>WORKDAY.INTL(A218-1,1,1,FERIADOS!$A$2:$A$250)</x:f>
        <x:v>45874</x:v>
      </x:c>
      <x:c r="F218" t="str">
        <x:f>IF(E218&gt;=WORKDAY.INTL(EOMONTH(E218,0)+1,-2,1,FERIADOS!$A$2:$A$250),"SÍ","NO")</x:f>
        <x:v>NO</x:v>
      </x:c>
      <x:c r="G218" s="10" t="n">
        <x:f>IF(F218="SÍ",EOMONTH(E218,0)+1,DATE(YEAR(E218),MONTH(E218),1))</x:f>
        <x:v>45870</x:v>
      </x:c>
      <x:c r="H218" t="str">
        <x:f>IF(D218="NO",IF(C218="SÍ","FERIADO","FIN DE SEMANA"),"LABORABLE")&amp;IF(F218="SÍ"," + CIERRE","")</x:f>
        <x:v>LABORABLE</x:v>
      </x:c>
      <x:c r="I218" t="str">
        <x:f>TEXT(G218,"yyyy-mm")</x:f>
        <x:v>2025-08</x:v>
      </x:c>
    </x:row>
    <x:row r="219" ht="19" customHeight="1">
      <x:c r="A219" s="2" t="n">
        <x:v>45875</x:v>
      </x:c>
      <x:c r="B219" t="str">
        <x:f>CHOOSE(WEEKDAY(A219,2),"Lunes","Martes","Miércoles","Jueves","Viernes","Sábado","Domingo")</x:f>
        <x:v>Miércoles</x:v>
      </x:c>
      <x:c r="C219" t="str">
        <x:f>IF(COUNTIF(FERIADOS!$A$2:$A$250,A219)&gt;0,"SÍ","NO")</x:f>
        <x:v>NO</x:v>
      </x:c>
      <x:c r="D219" t="str">
        <x:f>IF(AND(WEEKDAY(A219,2)&lt;=5,C219="NO"),"SÍ","NO")</x:f>
        <x:v>SÍ</x:v>
      </x:c>
      <x:c r="E219" s="2" t="n">
        <x:f>WORKDAY.INTL(A219-1,1,1,FERIADOS!$A$2:$A$250)</x:f>
        <x:v>45875</x:v>
      </x:c>
      <x:c r="F219" t="str">
        <x:f>IF(E219&gt;=WORKDAY.INTL(EOMONTH(E219,0)+1,-2,1,FERIADOS!$A$2:$A$250),"SÍ","NO")</x:f>
        <x:v>NO</x:v>
      </x:c>
      <x:c r="G219" s="10" t="n">
        <x:f>IF(F219="SÍ",EOMONTH(E219,0)+1,DATE(YEAR(E219),MONTH(E219),1))</x:f>
        <x:v>45870</x:v>
      </x:c>
      <x:c r="H219" t="str">
        <x:f>IF(D219="NO",IF(C219="SÍ","FERIADO","FIN DE SEMANA"),"LABORABLE")&amp;IF(F219="SÍ"," + CIERRE","")</x:f>
        <x:v>LABORABLE</x:v>
      </x:c>
      <x:c r="I219" t="str">
        <x:f>TEXT(G219,"yyyy-mm")</x:f>
        <x:v>2025-08</x:v>
      </x:c>
    </x:row>
    <x:row r="220" ht="19" customHeight="1">
      <x:c r="A220" s="2" t="n">
        <x:v>45876</x:v>
      </x:c>
      <x:c r="B220" t="str">
        <x:f>CHOOSE(WEEKDAY(A220,2),"Lunes","Martes","Miércoles","Jueves","Viernes","Sábado","Domingo")</x:f>
        <x:v>Jueves</x:v>
      </x:c>
      <x:c r="C220" t="str">
        <x:f>IF(COUNTIF(FERIADOS!$A$2:$A$250,A220)&gt;0,"SÍ","NO")</x:f>
        <x:v>NO</x:v>
      </x:c>
      <x:c r="D220" t="str">
        <x:f>IF(AND(WEEKDAY(A220,2)&lt;=5,C220="NO"),"SÍ","NO")</x:f>
        <x:v>SÍ</x:v>
      </x:c>
      <x:c r="E220" s="2" t="n">
        <x:f>WORKDAY.INTL(A220-1,1,1,FERIADOS!$A$2:$A$250)</x:f>
        <x:v>45876</x:v>
      </x:c>
      <x:c r="F220" t="str">
        <x:f>IF(E220&gt;=WORKDAY.INTL(EOMONTH(E220,0)+1,-2,1,FERIADOS!$A$2:$A$250),"SÍ","NO")</x:f>
        <x:v>NO</x:v>
      </x:c>
      <x:c r="G220" s="10" t="n">
        <x:f>IF(F220="SÍ",EOMONTH(E220,0)+1,DATE(YEAR(E220),MONTH(E220),1))</x:f>
        <x:v>45870</x:v>
      </x:c>
      <x:c r="H220" t="str">
        <x:f>IF(D220="NO",IF(C220="SÍ","FERIADO","FIN DE SEMANA"),"LABORABLE")&amp;IF(F220="SÍ"," + CIERRE","")</x:f>
        <x:v>LABORABLE</x:v>
      </x:c>
      <x:c r="I220" t="str">
        <x:f>TEXT(G220,"yyyy-mm")</x:f>
        <x:v>2025-08</x:v>
      </x:c>
    </x:row>
    <x:row r="221" ht="19" customHeight="1">
      <x:c r="A221" s="2" t="n">
        <x:v>45877</x:v>
      </x:c>
      <x:c r="B221" t="str">
        <x:f>CHOOSE(WEEKDAY(A221,2),"Lunes","Martes","Miércoles","Jueves","Viernes","Sábado","Domingo")</x:f>
        <x:v>Viernes</x:v>
      </x:c>
      <x:c r="C221" t="str">
        <x:f>IF(COUNTIF(FERIADOS!$A$2:$A$250,A221)&gt;0,"SÍ","NO")</x:f>
        <x:v>NO</x:v>
      </x:c>
      <x:c r="D221" t="str">
        <x:f>IF(AND(WEEKDAY(A221,2)&lt;=5,C221="NO"),"SÍ","NO")</x:f>
        <x:v>SÍ</x:v>
      </x:c>
      <x:c r="E221" s="2" t="n">
        <x:f>WORKDAY.INTL(A221-1,1,1,FERIADOS!$A$2:$A$250)</x:f>
        <x:v>45877</x:v>
      </x:c>
      <x:c r="F221" t="str">
        <x:f>IF(E221&gt;=WORKDAY.INTL(EOMONTH(E221,0)+1,-2,1,FERIADOS!$A$2:$A$250),"SÍ","NO")</x:f>
        <x:v>NO</x:v>
      </x:c>
      <x:c r="G221" s="10" t="n">
        <x:f>IF(F221="SÍ",EOMONTH(E221,0)+1,DATE(YEAR(E221),MONTH(E221),1))</x:f>
        <x:v>45870</x:v>
      </x:c>
      <x:c r="H221" t="str">
        <x:f>IF(D221="NO",IF(C221="SÍ","FERIADO","FIN DE SEMANA"),"LABORABLE")&amp;IF(F221="SÍ"," + CIERRE","")</x:f>
        <x:v>LABORABLE</x:v>
      </x:c>
      <x:c r="I221" t="str">
        <x:f>TEXT(G221,"yyyy-mm")</x:f>
        <x:v>2025-08</x:v>
      </x:c>
    </x:row>
    <x:row r="222" ht="19" customHeight="1">
      <x:c r="A222" s="2" t="n">
        <x:v>45878</x:v>
      </x:c>
      <x:c r="B222" t="str">
        <x:f>CHOOSE(WEEKDAY(A222,2),"Lunes","Martes","Miércoles","Jueves","Viernes","Sábado","Domingo")</x:f>
        <x:v>Sábado</x:v>
      </x:c>
      <x:c r="C222" t="str">
        <x:f>IF(COUNTIF(FERIADOS!$A$2:$A$250,A222)&gt;0,"SÍ","NO")</x:f>
        <x:v>NO</x:v>
      </x:c>
      <x:c r="D222" t="str">
        <x:f>IF(AND(WEEKDAY(A222,2)&lt;=5,C222="NO"),"SÍ","NO")</x:f>
        <x:v>NO</x:v>
      </x:c>
      <x:c r="E222" s="2" t="n">
        <x:f>WORKDAY.INTL(A222-1,1,1,FERIADOS!$A$2:$A$250)</x:f>
        <x:v>45881</x:v>
      </x:c>
      <x:c r="F222" t="str">
        <x:f>IF(E222&gt;=WORKDAY.INTL(EOMONTH(E222,0)+1,-2,1,FERIADOS!$A$2:$A$250),"SÍ","NO")</x:f>
        <x:v>NO</x:v>
      </x:c>
      <x:c r="G222" s="10" t="n">
        <x:f>IF(F222="SÍ",EOMONTH(E222,0)+1,DATE(YEAR(E222),MONTH(E222),1))</x:f>
        <x:v>45870</x:v>
      </x:c>
      <x:c r="H222" t="str">
        <x:f>IF(D222="NO",IF(C222="SÍ","FERIADO","FIN DE SEMANA"),"LABORABLE")&amp;IF(F222="SÍ"," + CIERRE","")</x:f>
        <x:v>FIN DE SEMANA</x:v>
      </x:c>
      <x:c r="I222" t="str">
        <x:f>TEXT(G222,"yyyy-mm")</x:f>
        <x:v>2025-08</x:v>
      </x:c>
    </x:row>
    <x:row r="223" ht="19" customHeight="1">
      <x:c r="A223" s="2" t="n">
        <x:v>45879</x:v>
      </x:c>
      <x:c r="B223" t="str">
        <x:f>CHOOSE(WEEKDAY(A223,2),"Lunes","Martes","Miércoles","Jueves","Viernes","Sábado","Domingo")</x:f>
        <x:v>Domingo</x:v>
      </x:c>
      <x:c r="C223" t="str">
        <x:f>IF(COUNTIF(FERIADOS!$A$2:$A$250,A223)&gt;0,"SÍ","NO")</x:f>
        <x:v>NO</x:v>
      </x:c>
      <x:c r="D223" t="str">
        <x:f>IF(AND(WEEKDAY(A223,2)&lt;=5,C223="NO"),"SÍ","NO")</x:f>
        <x:v>NO</x:v>
      </x:c>
      <x:c r="E223" s="2" t="n">
        <x:f>WORKDAY.INTL(A223-1,1,1,FERIADOS!$A$2:$A$250)</x:f>
        <x:v>45881</x:v>
      </x:c>
      <x:c r="F223" t="str">
        <x:f>IF(E223&gt;=WORKDAY.INTL(EOMONTH(E223,0)+1,-2,1,FERIADOS!$A$2:$A$250),"SÍ","NO")</x:f>
        <x:v>NO</x:v>
      </x:c>
      <x:c r="G223" s="10" t="n">
        <x:f>IF(F223="SÍ",EOMONTH(E223,0)+1,DATE(YEAR(E223),MONTH(E223),1))</x:f>
        <x:v>45870</x:v>
      </x:c>
      <x:c r="H223" t="str">
        <x:f>IF(D223="NO",IF(C223="SÍ","FERIADO","FIN DE SEMANA"),"LABORABLE")&amp;IF(F223="SÍ"," + CIERRE","")</x:f>
        <x:v>FIN DE SEMANA</x:v>
      </x:c>
      <x:c r="I223" t="str">
        <x:f>TEXT(G223,"yyyy-mm")</x:f>
        <x:v>2025-08</x:v>
      </x:c>
    </x:row>
    <x:row r="224" ht="19" customHeight="1">
      <x:c r="A224" s="2" t="n">
        <x:v>45880</x:v>
      </x:c>
      <x:c r="B224" t="str">
        <x:f>CHOOSE(WEEKDAY(A224,2),"Lunes","Martes","Miércoles","Jueves","Viernes","Sábado","Domingo")</x:f>
        <x:v>Lunes</x:v>
      </x:c>
      <x:c r="C224" t="str">
        <x:f>IF(COUNTIF(FERIADOS!$A$2:$A$250,A224)&gt;0,"SÍ","NO")</x:f>
        <x:v>SÍ</x:v>
      </x:c>
      <x:c r="D224" t="str">
        <x:f>IF(AND(WEEKDAY(A224,2)&lt;=5,C224="NO"),"SÍ","NO")</x:f>
        <x:v>NO</x:v>
      </x:c>
      <x:c r="E224" s="2" t="n">
        <x:f>WORKDAY.INTL(A224-1,1,1,FERIADOS!$A$2:$A$250)</x:f>
        <x:v>45881</x:v>
      </x:c>
      <x:c r="F224" t="str">
        <x:f>IF(E224&gt;=WORKDAY.INTL(EOMONTH(E224,0)+1,-2,1,FERIADOS!$A$2:$A$250),"SÍ","NO")</x:f>
        <x:v>NO</x:v>
      </x:c>
      <x:c r="G224" s="10" t="n">
        <x:f>IF(F224="SÍ",EOMONTH(E224,0)+1,DATE(YEAR(E224),MONTH(E224),1))</x:f>
        <x:v>45870</x:v>
      </x:c>
      <x:c r="H224" t="str">
        <x:f>IF(D224="NO",IF(C224="SÍ","FERIADO","FIN DE SEMANA"),"LABORABLE")&amp;IF(F224="SÍ"," + CIERRE","")</x:f>
        <x:v>FERIADO</x:v>
      </x:c>
      <x:c r="I224" t="str">
        <x:f>TEXT(G224,"yyyy-mm")</x:f>
        <x:v>2025-08</x:v>
      </x:c>
    </x:row>
    <x:row r="225" ht="19" customHeight="1">
      <x:c r="A225" s="2" t="n">
        <x:v>45881</x:v>
      </x:c>
      <x:c r="B225" t="str">
        <x:f>CHOOSE(WEEKDAY(A225,2),"Lunes","Martes","Miércoles","Jueves","Viernes","Sábado","Domingo")</x:f>
        <x:v>Martes</x:v>
      </x:c>
      <x:c r="C225" t="str">
        <x:f>IF(COUNTIF(FERIADOS!$A$2:$A$250,A225)&gt;0,"SÍ","NO")</x:f>
        <x:v>NO</x:v>
      </x:c>
      <x:c r="D225" t="str">
        <x:f>IF(AND(WEEKDAY(A225,2)&lt;=5,C225="NO"),"SÍ","NO")</x:f>
        <x:v>SÍ</x:v>
      </x:c>
      <x:c r="E225" s="2" t="n">
        <x:f>WORKDAY.INTL(A225-1,1,1,FERIADOS!$A$2:$A$250)</x:f>
        <x:v>45881</x:v>
      </x:c>
      <x:c r="F225" t="str">
        <x:f>IF(E225&gt;=WORKDAY.INTL(EOMONTH(E225,0)+1,-2,1,FERIADOS!$A$2:$A$250),"SÍ","NO")</x:f>
        <x:v>NO</x:v>
      </x:c>
      <x:c r="G225" s="10" t="n">
        <x:f>IF(F225="SÍ",EOMONTH(E225,0)+1,DATE(YEAR(E225),MONTH(E225),1))</x:f>
        <x:v>45870</x:v>
      </x:c>
      <x:c r="H225" t="str">
        <x:f>IF(D225="NO",IF(C225="SÍ","FERIADO","FIN DE SEMANA"),"LABORABLE")&amp;IF(F225="SÍ"," + CIERRE","")</x:f>
        <x:v>LABORABLE</x:v>
      </x:c>
      <x:c r="I225" t="str">
        <x:f>TEXT(G225,"yyyy-mm")</x:f>
        <x:v>2025-08</x:v>
      </x:c>
    </x:row>
    <x:row r="226" ht="19" customHeight="1">
      <x:c r="A226" s="2" t="n">
        <x:v>45882</x:v>
      </x:c>
      <x:c r="B226" t="str">
        <x:f>CHOOSE(WEEKDAY(A226,2),"Lunes","Martes","Miércoles","Jueves","Viernes","Sábado","Domingo")</x:f>
        <x:v>Miércoles</x:v>
      </x:c>
      <x:c r="C226" t="str">
        <x:f>IF(COUNTIF(FERIADOS!$A$2:$A$250,A226)&gt;0,"SÍ","NO")</x:f>
        <x:v>NO</x:v>
      </x:c>
      <x:c r="D226" t="str">
        <x:f>IF(AND(WEEKDAY(A226,2)&lt;=5,C226="NO"),"SÍ","NO")</x:f>
        <x:v>SÍ</x:v>
      </x:c>
      <x:c r="E226" s="2" t="n">
        <x:f>WORKDAY.INTL(A226-1,1,1,FERIADOS!$A$2:$A$250)</x:f>
        <x:v>45882</x:v>
      </x:c>
      <x:c r="F226" t="str">
        <x:f>IF(E226&gt;=WORKDAY.INTL(EOMONTH(E226,0)+1,-2,1,FERIADOS!$A$2:$A$250),"SÍ","NO")</x:f>
        <x:v>NO</x:v>
      </x:c>
      <x:c r="G226" s="10" t="n">
        <x:f>IF(F226="SÍ",EOMONTH(E226,0)+1,DATE(YEAR(E226),MONTH(E226),1))</x:f>
        <x:v>45870</x:v>
      </x:c>
      <x:c r="H226" t="str">
        <x:f>IF(D226="NO",IF(C226="SÍ","FERIADO","FIN DE SEMANA"),"LABORABLE")&amp;IF(F226="SÍ"," + CIERRE","")</x:f>
        <x:v>LABORABLE</x:v>
      </x:c>
      <x:c r="I226" t="str">
        <x:f>TEXT(G226,"yyyy-mm")</x:f>
        <x:v>2025-08</x:v>
      </x:c>
    </x:row>
    <x:row r="227" ht="19" customHeight="1">
      <x:c r="A227" s="2" t="n">
        <x:v>45883</x:v>
      </x:c>
      <x:c r="B227" t="str">
        <x:f>CHOOSE(WEEKDAY(A227,2),"Lunes","Martes","Miércoles","Jueves","Viernes","Sábado","Domingo")</x:f>
        <x:v>Jueves</x:v>
      </x:c>
      <x:c r="C227" t="str">
        <x:f>IF(COUNTIF(FERIADOS!$A$2:$A$250,A227)&gt;0,"SÍ","NO")</x:f>
        <x:v>NO</x:v>
      </x:c>
      <x:c r="D227" t="str">
        <x:f>IF(AND(WEEKDAY(A227,2)&lt;=5,C227="NO"),"SÍ","NO")</x:f>
        <x:v>SÍ</x:v>
      </x:c>
      <x:c r="E227" s="2" t="n">
        <x:f>WORKDAY.INTL(A227-1,1,1,FERIADOS!$A$2:$A$250)</x:f>
        <x:v>45883</x:v>
      </x:c>
      <x:c r="F227" t="str">
        <x:f>IF(E227&gt;=WORKDAY.INTL(EOMONTH(E227,0)+1,-2,1,FERIADOS!$A$2:$A$250),"SÍ","NO")</x:f>
        <x:v>NO</x:v>
      </x:c>
      <x:c r="G227" s="10" t="n">
        <x:f>IF(F227="SÍ",EOMONTH(E227,0)+1,DATE(YEAR(E227),MONTH(E227),1))</x:f>
        <x:v>45870</x:v>
      </x:c>
      <x:c r="H227" t="str">
        <x:f>IF(D227="NO",IF(C227="SÍ","FERIADO","FIN DE SEMANA"),"LABORABLE")&amp;IF(F227="SÍ"," + CIERRE","")</x:f>
        <x:v>LABORABLE</x:v>
      </x:c>
      <x:c r="I227" t="str">
        <x:f>TEXT(G227,"yyyy-mm")</x:f>
        <x:v>2025-08</x:v>
      </x:c>
    </x:row>
    <x:row r="228" ht="19" customHeight="1">
      <x:c r="A228" s="2" t="n">
        <x:v>45884</x:v>
      </x:c>
      <x:c r="B228" t="str">
        <x:f>CHOOSE(WEEKDAY(A228,2),"Lunes","Martes","Miércoles","Jueves","Viernes","Sábado","Domingo")</x:f>
        <x:v>Viernes</x:v>
      </x:c>
      <x:c r="C228" t="str">
        <x:f>IF(COUNTIF(FERIADOS!$A$2:$A$250,A228)&gt;0,"SÍ","NO")</x:f>
        <x:v>NO</x:v>
      </x:c>
      <x:c r="D228" t="str">
        <x:f>IF(AND(WEEKDAY(A228,2)&lt;=5,C228="NO"),"SÍ","NO")</x:f>
        <x:v>SÍ</x:v>
      </x:c>
      <x:c r="E228" s="2" t="n">
        <x:f>WORKDAY.INTL(A228-1,1,1,FERIADOS!$A$2:$A$250)</x:f>
        <x:v>45884</x:v>
      </x:c>
      <x:c r="F228" t="str">
        <x:f>IF(E228&gt;=WORKDAY.INTL(EOMONTH(E228,0)+1,-2,1,FERIADOS!$A$2:$A$250),"SÍ","NO")</x:f>
        <x:v>NO</x:v>
      </x:c>
      <x:c r="G228" s="10" t="n">
        <x:f>IF(F228="SÍ",EOMONTH(E228,0)+1,DATE(YEAR(E228),MONTH(E228),1))</x:f>
        <x:v>45870</x:v>
      </x:c>
      <x:c r="H228" t="str">
        <x:f>IF(D228="NO",IF(C228="SÍ","FERIADO","FIN DE SEMANA"),"LABORABLE")&amp;IF(F228="SÍ"," + CIERRE","")</x:f>
        <x:v>LABORABLE</x:v>
      </x:c>
      <x:c r="I228" t="str">
        <x:f>TEXT(G228,"yyyy-mm")</x:f>
        <x:v>2025-08</x:v>
      </x:c>
    </x:row>
    <x:row r="229" ht="19" customHeight="1">
      <x:c r="A229" s="2" t="n">
        <x:v>45885</x:v>
      </x:c>
      <x:c r="B229" t="str">
        <x:f>CHOOSE(WEEKDAY(A229,2),"Lunes","Martes","Miércoles","Jueves","Viernes","Sábado","Domingo")</x:f>
        <x:v>Sábado</x:v>
      </x:c>
      <x:c r="C229" t="str">
        <x:f>IF(COUNTIF(FERIADOS!$A$2:$A$250,A229)&gt;0,"SÍ","NO")</x:f>
        <x:v>NO</x:v>
      </x:c>
      <x:c r="D229" t="str">
        <x:f>IF(AND(WEEKDAY(A229,2)&lt;=5,C229="NO"),"SÍ","NO")</x:f>
        <x:v>NO</x:v>
      </x:c>
      <x:c r="E229" s="2" t="n">
        <x:f>WORKDAY.INTL(A229-1,1,1,FERIADOS!$A$2:$A$250)</x:f>
        <x:v>45887</x:v>
      </x:c>
      <x:c r="F229" t="str">
        <x:f>IF(E229&gt;=WORKDAY.INTL(EOMONTH(E229,0)+1,-2,1,FERIADOS!$A$2:$A$250),"SÍ","NO")</x:f>
        <x:v>NO</x:v>
      </x:c>
      <x:c r="G229" s="10" t="n">
        <x:f>IF(F229="SÍ",EOMONTH(E229,0)+1,DATE(YEAR(E229),MONTH(E229),1))</x:f>
        <x:v>45870</x:v>
      </x:c>
      <x:c r="H229" t="str">
        <x:f>IF(D229="NO",IF(C229="SÍ","FERIADO","FIN DE SEMANA"),"LABORABLE")&amp;IF(F229="SÍ"," + CIERRE","")</x:f>
        <x:v>FIN DE SEMANA</x:v>
      </x:c>
      <x:c r="I229" t="str">
        <x:f>TEXT(G229,"yyyy-mm")</x:f>
        <x:v>2025-08</x:v>
      </x:c>
    </x:row>
    <x:row r="230" ht="19" customHeight="1">
      <x:c r="A230" s="2" t="n">
        <x:v>45886</x:v>
      </x:c>
      <x:c r="B230" t="str">
        <x:f>CHOOSE(WEEKDAY(A230,2),"Lunes","Martes","Miércoles","Jueves","Viernes","Sábado","Domingo")</x:f>
        <x:v>Domingo</x:v>
      </x:c>
      <x:c r="C230" t="str">
        <x:f>IF(COUNTIF(FERIADOS!$A$2:$A$250,A230)&gt;0,"SÍ","NO")</x:f>
        <x:v>NO</x:v>
      </x:c>
      <x:c r="D230" t="str">
        <x:f>IF(AND(WEEKDAY(A230,2)&lt;=5,C230="NO"),"SÍ","NO")</x:f>
        <x:v>NO</x:v>
      </x:c>
      <x:c r="E230" s="2" t="n">
        <x:f>WORKDAY.INTL(A230-1,1,1,FERIADOS!$A$2:$A$250)</x:f>
        <x:v>45887</x:v>
      </x:c>
      <x:c r="F230" t="str">
        <x:f>IF(E230&gt;=WORKDAY.INTL(EOMONTH(E230,0)+1,-2,1,FERIADOS!$A$2:$A$250),"SÍ","NO")</x:f>
        <x:v>NO</x:v>
      </x:c>
      <x:c r="G230" s="10" t="n">
        <x:f>IF(F230="SÍ",EOMONTH(E230,0)+1,DATE(YEAR(E230),MONTH(E230),1))</x:f>
        <x:v>45870</x:v>
      </x:c>
      <x:c r="H230" t="str">
        <x:f>IF(D230="NO",IF(C230="SÍ","FERIADO","FIN DE SEMANA"),"LABORABLE")&amp;IF(F230="SÍ"," + CIERRE","")</x:f>
        <x:v>FIN DE SEMANA</x:v>
      </x:c>
      <x:c r="I230" t="str">
        <x:f>TEXT(G230,"yyyy-mm")</x:f>
        <x:v>2025-08</x:v>
      </x:c>
    </x:row>
    <x:row r="231" ht="19" customHeight="1">
      <x:c r="A231" s="2" t="n">
        <x:v>45887</x:v>
      </x:c>
      <x:c r="B231" t="str">
        <x:f>CHOOSE(WEEKDAY(A231,2),"Lunes","Martes","Miércoles","Jueves","Viernes","Sábado","Domingo")</x:f>
        <x:v>Lunes</x:v>
      </x:c>
      <x:c r="C231" t="str">
        <x:f>IF(COUNTIF(FERIADOS!$A$2:$A$250,A231)&gt;0,"SÍ","NO")</x:f>
        <x:v>NO</x:v>
      </x:c>
      <x:c r="D231" t="str">
        <x:f>IF(AND(WEEKDAY(A231,2)&lt;=5,C231="NO"),"SÍ","NO")</x:f>
        <x:v>SÍ</x:v>
      </x:c>
      <x:c r="E231" s="2" t="n">
        <x:f>WORKDAY.INTL(A231-1,1,1,FERIADOS!$A$2:$A$250)</x:f>
        <x:v>45887</x:v>
      </x:c>
      <x:c r="F231" t="str">
        <x:f>IF(E231&gt;=WORKDAY.INTL(EOMONTH(E231,0)+1,-2,1,FERIADOS!$A$2:$A$250),"SÍ","NO")</x:f>
        <x:v>NO</x:v>
      </x:c>
      <x:c r="G231" s="10" t="n">
        <x:f>IF(F231="SÍ",EOMONTH(E231,0)+1,DATE(YEAR(E231),MONTH(E231),1))</x:f>
        <x:v>45870</x:v>
      </x:c>
      <x:c r="H231" t="str">
        <x:f>IF(D231="NO",IF(C231="SÍ","FERIADO","FIN DE SEMANA"),"LABORABLE")&amp;IF(F231="SÍ"," + CIERRE","")</x:f>
        <x:v>LABORABLE</x:v>
      </x:c>
      <x:c r="I231" t="str">
        <x:f>TEXT(G231,"yyyy-mm")</x:f>
        <x:v>2025-08</x:v>
      </x:c>
    </x:row>
    <x:row r="232" ht="19" customHeight="1">
      <x:c r="A232" s="2" t="n">
        <x:v>45888</x:v>
      </x:c>
      <x:c r="B232" t="str">
        <x:f>CHOOSE(WEEKDAY(A232,2),"Lunes","Martes","Miércoles","Jueves","Viernes","Sábado","Domingo")</x:f>
        <x:v>Martes</x:v>
      </x:c>
      <x:c r="C232" t="str">
        <x:f>IF(COUNTIF(FERIADOS!$A$2:$A$250,A232)&gt;0,"SÍ","NO")</x:f>
        <x:v>NO</x:v>
      </x:c>
      <x:c r="D232" t="str">
        <x:f>IF(AND(WEEKDAY(A232,2)&lt;=5,C232="NO"),"SÍ","NO")</x:f>
        <x:v>SÍ</x:v>
      </x:c>
      <x:c r="E232" s="2" t="n">
        <x:f>WORKDAY.INTL(A232-1,1,1,FERIADOS!$A$2:$A$250)</x:f>
        <x:v>45888</x:v>
      </x:c>
      <x:c r="F232" t="str">
        <x:f>IF(E232&gt;=WORKDAY.INTL(EOMONTH(E232,0)+1,-2,1,FERIADOS!$A$2:$A$250),"SÍ","NO")</x:f>
        <x:v>NO</x:v>
      </x:c>
      <x:c r="G232" s="10" t="n">
        <x:f>IF(F232="SÍ",EOMONTH(E232,0)+1,DATE(YEAR(E232),MONTH(E232),1))</x:f>
        <x:v>45870</x:v>
      </x:c>
      <x:c r="H232" t="str">
        <x:f>IF(D232="NO",IF(C232="SÍ","FERIADO","FIN DE SEMANA"),"LABORABLE")&amp;IF(F232="SÍ"," + CIERRE","")</x:f>
        <x:v>LABORABLE</x:v>
      </x:c>
      <x:c r="I232" t="str">
        <x:f>TEXT(G232,"yyyy-mm")</x:f>
        <x:v>2025-08</x:v>
      </x:c>
    </x:row>
    <x:row r="233" ht="19" customHeight="1">
      <x:c r="A233" s="2" t="n">
        <x:v>45889</x:v>
      </x:c>
      <x:c r="B233" t="str">
        <x:f>CHOOSE(WEEKDAY(A233,2),"Lunes","Martes","Miércoles","Jueves","Viernes","Sábado","Domingo")</x:f>
        <x:v>Miércoles</x:v>
      </x:c>
      <x:c r="C233" t="str">
        <x:f>IF(COUNTIF(FERIADOS!$A$2:$A$250,A233)&gt;0,"SÍ","NO")</x:f>
        <x:v>NO</x:v>
      </x:c>
      <x:c r="D233" t="str">
        <x:f>IF(AND(WEEKDAY(A233,2)&lt;=5,C233="NO"),"SÍ","NO")</x:f>
        <x:v>SÍ</x:v>
      </x:c>
      <x:c r="E233" s="2" t="n">
        <x:f>WORKDAY.INTL(A233-1,1,1,FERIADOS!$A$2:$A$250)</x:f>
        <x:v>45889</x:v>
      </x:c>
      <x:c r="F233" t="str">
        <x:f>IF(E233&gt;=WORKDAY.INTL(EOMONTH(E233,0)+1,-2,1,FERIADOS!$A$2:$A$250),"SÍ","NO")</x:f>
        <x:v>NO</x:v>
      </x:c>
      <x:c r="G233" s="10" t="n">
        <x:f>IF(F233="SÍ",EOMONTH(E233,0)+1,DATE(YEAR(E233),MONTH(E233),1))</x:f>
        <x:v>45870</x:v>
      </x:c>
      <x:c r="H233" t="str">
        <x:f>IF(D233="NO",IF(C233="SÍ","FERIADO","FIN DE SEMANA"),"LABORABLE")&amp;IF(F233="SÍ"," + CIERRE","")</x:f>
        <x:v>LABORABLE</x:v>
      </x:c>
      <x:c r="I233" t="str">
        <x:f>TEXT(G233,"yyyy-mm")</x:f>
        <x:v>2025-08</x:v>
      </x:c>
    </x:row>
    <x:row r="234" ht="19" customHeight="1">
      <x:c r="A234" s="2" t="n">
        <x:v>45890</x:v>
      </x:c>
      <x:c r="B234" t="str">
        <x:f>CHOOSE(WEEKDAY(A234,2),"Lunes","Martes","Miércoles","Jueves","Viernes","Sábado","Domingo")</x:f>
        <x:v>Jueves</x:v>
      </x:c>
      <x:c r="C234" t="str">
        <x:f>IF(COUNTIF(FERIADOS!$A$2:$A$250,A234)&gt;0,"SÍ","NO")</x:f>
        <x:v>NO</x:v>
      </x:c>
      <x:c r="D234" t="str">
        <x:f>IF(AND(WEEKDAY(A234,2)&lt;=5,C234="NO"),"SÍ","NO")</x:f>
        <x:v>SÍ</x:v>
      </x:c>
      <x:c r="E234" s="2" t="n">
        <x:f>WORKDAY.INTL(A234-1,1,1,FERIADOS!$A$2:$A$250)</x:f>
        <x:v>45890</x:v>
      </x:c>
      <x:c r="F234" t="str">
        <x:f>IF(E234&gt;=WORKDAY.INTL(EOMONTH(E234,0)+1,-2,1,FERIADOS!$A$2:$A$250),"SÍ","NO")</x:f>
        <x:v>NO</x:v>
      </x:c>
      <x:c r="G234" s="10" t="n">
        <x:f>IF(F234="SÍ",EOMONTH(E234,0)+1,DATE(YEAR(E234),MONTH(E234),1))</x:f>
        <x:v>45870</x:v>
      </x:c>
      <x:c r="H234" t="str">
        <x:f>IF(D234="NO",IF(C234="SÍ","FERIADO","FIN DE SEMANA"),"LABORABLE")&amp;IF(F234="SÍ"," + CIERRE","")</x:f>
        <x:v>LABORABLE</x:v>
      </x:c>
      <x:c r="I234" t="str">
        <x:f>TEXT(G234,"yyyy-mm")</x:f>
        <x:v>2025-08</x:v>
      </x:c>
    </x:row>
    <x:row r="235" ht="19" customHeight="1">
      <x:c r="A235" s="2" t="n">
        <x:v>45891</x:v>
      </x:c>
      <x:c r="B235" t="str">
        <x:f>CHOOSE(WEEKDAY(A235,2),"Lunes","Martes","Miércoles","Jueves","Viernes","Sábado","Domingo")</x:f>
        <x:v>Viernes</x:v>
      </x:c>
      <x:c r="C235" t="str">
        <x:f>IF(COUNTIF(FERIADOS!$A$2:$A$250,A235)&gt;0,"SÍ","NO")</x:f>
        <x:v>NO</x:v>
      </x:c>
      <x:c r="D235" t="str">
        <x:f>IF(AND(WEEKDAY(A235,2)&lt;=5,C235="NO"),"SÍ","NO")</x:f>
        <x:v>SÍ</x:v>
      </x:c>
      <x:c r="E235" s="2" t="n">
        <x:f>WORKDAY.INTL(A235-1,1,1,FERIADOS!$A$2:$A$250)</x:f>
        <x:v>45891</x:v>
      </x:c>
      <x:c r="F235" t="str">
        <x:f>IF(E235&gt;=WORKDAY.INTL(EOMONTH(E235,0)+1,-2,1,FERIADOS!$A$2:$A$250),"SÍ","NO")</x:f>
        <x:v>NO</x:v>
      </x:c>
      <x:c r="G235" s="10" t="n">
        <x:f>IF(F235="SÍ",EOMONTH(E235,0)+1,DATE(YEAR(E235),MONTH(E235),1))</x:f>
        <x:v>45870</x:v>
      </x:c>
      <x:c r="H235" t="str">
        <x:f>IF(D235="NO",IF(C235="SÍ","FERIADO","FIN DE SEMANA"),"LABORABLE")&amp;IF(F235="SÍ"," + CIERRE","")</x:f>
        <x:v>LABORABLE</x:v>
      </x:c>
      <x:c r="I235" t="str">
        <x:f>TEXT(G235,"yyyy-mm")</x:f>
        <x:v>2025-08</x:v>
      </x:c>
    </x:row>
    <x:row r="236" ht="19" customHeight="1">
      <x:c r="A236" s="2" t="n">
        <x:v>45892</x:v>
      </x:c>
      <x:c r="B236" t="str">
        <x:f>CHOOSE(WEEKDAY(A236,2),"Lunes","Martes","Miércoles","Jueves","Viernes","Sábado","Domingo")</x:f>
        <x:v>Sábado</x:v>
      </x:c>
      <x:c r="C236" t="str">
        <x:f>IF(COUNTIF(FERIADOS!$A$2:$A$250,A236)&gt;0,"SÍ","NO")</x:f>
        <x:v>NO</x:v>
      </x:c>
      <x:c r="D236" t="str">
        <x:f>IF(AND(WEEKDAY(A236,2)&lt;=5,C236="NO"),"SÍ","NO")</x:f>
        <x:v>NO</x:v>
      </x:c>
      <x:c r="E236" s="2" t="n">
        <x:f>WORKDAY.INTL(A236-1,1,1,FERIADOS!$A$2:$A$250)</x:f>
        <x:v>45894</x:v>
      </x:c>
      <x:c r="F236" t="str">
        <x:f>IF(E236&gt;=WORKDAY.INTL(EOMONTH(E236,0)+1,-2,1,FERIADOS!$A$2:$A$250),"SÍ","NO")</x:f>
        <x:v>NO</x:v>
      </x:c>
      <x:c r="G236" s="10" t="n">
        <x:f>IF(F236="SÍ",EOMONTH(E236,0)+1,DATE(YEAR(E236),MONTH(E236),1))</x:f>
        <x:v>45870</x:v>
      </x:c>
      <x:c r="H236" t="str">
        <x:f>IF(D236="NO",IF(C236="SÍ","FERIADO","FIN DE SEMANA"),"LABORABLE")&amp;IF(F236="SÍ"," + CIERRE","")</x:f>
        <x:v>FIN DE SEMANA</x:v>
      </x:c>
      <x:c r="I236" t="str">
        <x:f>TEXT(G236,"yyyy-mm")</x:f>
        <x:v>2025-08</x:v>
      </x:c>
    </x:row>
    <x:row r="237" ht="19" customHeight="1">
      <x:c r="A237" s="2" t="n">
        <x:v>45893</x:v>
      </x:c>
      <x:c r="B237" t="str">
        <x:f>CHOOSE(WEEKDAY(A237,2),"Lunes","Martes","Miércoles","Jueves","Viernes","Sábado","Domingo")</x:f>
        <x:v>Domingo</x:v>
      </x:c>
      <x:c r="C237" t="str">
        <x:f>IF(COUNTIF(FERIADOS!$A$2:$A$250,A237)&gt;0,"SÍ","NO")</x:f>
        <x:v>NO</x:v>
      </x:c>
      <x:c r="D237" t="str">
        <x:f>IF(AND(WEEKDAY(A237,2)&lt;=5,C237="NO"),"SÍ","NO")</x:f>
        <x:v>NO</x:v>
      </x:c>
      <x:c r="E237" s="2" t="n">
        <x:f>WORKDAY.INTL(A237-1,1,1,FERIADOS!$A$2:$A$250)</x:f>
        <x:v>45894</x:v>
      </x:c>
      <x:c r="F237" t="str">
        <x:f>IF(E237&gt;=WORKDAY.INTL(EOMONTH(E237,0)+1,-2,1,FERIADOS!$A$2:$A$250),"SÍ","NO")</x:f>
        <x:v>NO</x:v>
      </x:c>
      <x:c r="G237" s="10" t="n">
        <x:f>IF(F237="SÍ",EOMONTH(E237,0)+1,DATE(YEAR(E237),MONTH(E237),1))</x:f>
        <x:v>45870</x:v>
      </x:c>
      <x:c r="H237" t="str">
        <x:f>IF(D237="NO",IF(C237="SÍ","FERIADO","FIN DE SEMANA"),"LABORABLE")&amp;IF(F237="SÍ"," + CIERRE","")</x:f>
        <x:v>FIN DE SEMANA</x:v>
      </x:c>
      <x:c r="I237" t="str">
        <x:f>TEXT(G237,"yyyy-mm")</x:f>
        <x:v>2025-08</x:v>
      </x:c>
    </x:row>
    <x:row r="238" ht="19" customHeight="1">
      <x:c r="A238" s="2" t="n">
        <x:v>45894</x:v>
      </x:c>
      <x:c r="B238" t="str">
        <x:f>CHOOSE(WEEKDAY(A238,2),"Lunes","Martes","Miércoles","Jueves","Viernes","Sábado","Domingo")</x:f>
        <x:v>Lunes</x:v>
      </x:c>
      <x:c r="C238" t="str">
        <x:f>IF(COUNTIF(FERIADOS!$A$2:$A$250,A238)&gt;0,"SÍ","NO")</x:f>
        <x:v>NO</x:v>
      </x:c>
      <x:c r="D238" t="str">
        <x:f>IF(AND(WEEKDAY(A238,2)&lt;=5,C238="NO"),"SÍ","NO")</x:f>
        <x:v>SÍ</x:v>
      </x:c>
      <x:c r="E238" s="2" t="n">
        <x:f>WORKDAY.INTL(A238-1,1,1,FERIADOS!$A$2:$A$250)</x:f>
        <x:v>45894</x:v>
      </x:c>
      <x:c r="F238" t="str">
        <x:f>IF(E238&gt;=WORKDAY.INTL(EOMONTH(E238,0)+1,-2,1,FERIADOS!$A$2:$A$250),"SÍ","NO")</x:f>
        <x:v>NO</x:v>
      </x:c>
      <x:c r="G238" s="10" t="n">
        <x:f>IF(F238="SÍ",EOMONTH(E238,0)+1,DATE(YEAR(E238),MONTH(E238),1))</x:f>
        <x:v>45870</x:v>
      </x:c>
      <x:c r="H238" t="str">
        <x:f>IF(D238="NO",IF(C238="SÍ","FERIADO","FIN DE SEMANA"),"LABORABLE")&amp;IF(F238="SÍ"," + CIERRE","")</x:f>
        <x:v>LABORABLE</x:v>
      </x:c>
      <x:c r="I238" t="str">
        <x:f>TEXT(G238,"yyyy-mm")</x:f>
        <x:v>2025-08</x:v>
      </x:c>
    </x:row>
    <x:row r="239" ht="19" customHeight="1">
      <x:c r="A239" s="2" t="n">
        <x:v>45895</x:v>
      </x:c>
      <x:c r="B239" t="str">
        <x:f>CHOOSE(WEEKDAY(A239,2),"Lunes","Martes","Miércoles","Jueves","Viernes","Sábado","Domingo")</x:f>
        <x:v>Martes</x:v>
      </x:c>
      <x:c r="C239" t="str">
        <x:f>IF(COUNTIF(FERIADOS!$A$2:$A$250,A239)&gt;0,"SÍ","NO")</x:f>
        <x:v>NO</x:v>
      </x:c>
      <x:c r="D239" t="str">
        <x:f>IF(AND(WEEKDAY(A239,2)&lt;=5,C239="NO"),"SÍ","NO")</x:f>
        <x:v>SÍ</x:v>
      </x:c>
      <x:c r="E239" s="2" t="n">
        <x:f>WORKDAY.INTL(A239-1,1,1,FERIADOS!$A$2:$A$250)</x:f>
        <x:v>45895</x:v>
      </x:c>
      <x:c r="F239" t="str">
        <x:f>IF(E239&gt;=WORKDAY.INTL(EOMONTH(E239,0)+1,-2,1,FERIADOS!$A$2:$A$250),"SÍ","NO")</x:f>
        <x:v>NO</x:v>
      </x:c>
      <x:c r="G239" s="10" t="n">
        <x:f>IF(F239="SÍ",EOMONTH(E239,0)+1,DATE(YEAR(E239),MONTH(E239),1))</x:f>
        <x:v>45870</x:v>
      </x:c>
      <x:c r="H239" t="str">
        <x:f>IF(D239="NO",IF(C239="SÍ","FERIADO","FIN DE SEMANA"),"LABORABLE")&amp;IF(F239="SÍ"," + CIERRE","")</x:f>
        <x:v>LABORABLE</x:v>
      </x:c>
      <x:c r="I239" t="str">
        <x:f>TEXT(G239,"yyyy-mm")</x:f>
        <x:v>2025-08</x:v>
      </x:c>
    </x:row>
    <x:row r="240" ht="19" customHeight="1">
      <x:c r="A240" s="2" t="n">
        <x:v>45896</x:v>
      </x:c>
      <x:c r="B240" t="str">
        <x:f>CHOOSE(WEEKDAY(A240,2),"Lunes","Martes","Miércoles","Jueves","Viernes","Sábado","Domingo")</x:f>
        <x:v>Miércoles</x:v>
      </x:c>
      <x:c r="C240" t="str">
        <x:f>IF(COUNTIF(FERIADOS!$A$2:$A$250,A240)&gt;0,"SÍ","NO")</x:f>
        <x:v>NO</x:v>
      </x:c>
      <x:c r="D240" t="str">
        <x:f>IF(AND(WEEKDAY(A240,2)&lt;=5,C240="NO"),"SÍ","NO")</x:f>
        <x:v>SÍ</x:v>
      </x:c>
      <x:c r="E240" s="2" t="n">
        <x:f>WORKDAY.INTL(A240-1,1,1,FERIADOS!$A$2:$A$250)</x:f>
        <x:v>45896</x:v>
      </x:c>
      <x:c r="F240" t="str">
        <x:f>IF(E240&gt;=WORKDAY.INTL(EOMONTH(E240,0)+1,-2,1,FERIADOS!$A$2:$A$250),"SÍ","NO")</x:f>
        <x:v>NO</x:v>
      </x:c>
      <x:c r="G240" s="10" t="n">
        <x:f>IF(F240="SÍ",EOMONTH(E240,0)+1,DATE(YEAR(E240),MONTH(E240),1))</x:f>
        <x:v>45870</x:v>
      </x:c>
      <x:c r="H240" t="str">
        <x:f>IF(D240="NO",IF(C240="SÍ","FERIADO","FIN DE SEMANA"),"LABORABLE")&amp;IF(F240="SÍ"," + CIERRE","")</x:f>
        <x:v>LABORABLE</x:v>
      </x:c>
      <x:c r="I240" t="str">
        <x:f>TEXT(G240,"yyyy-mm")</x:f>
        <x:v>2025-08</x:v>
      </x:c>
    </x:row>
    <x:row r="241" ht="19" customHeight="1">
      <x:c r="A241" s="2" t="n">
        <x:v>45897</x:v>
      </x:c>
      <x:c r="B241" t="str">
        <x:f>CHOOSE(WEEKDAY(A241,2),"Lunes","Martes","Miércoles","Jueves","Viernes","Sábado","Domingo")</x:f>
        <x:v>Jueves</x:v>
      </x:c>
      <x:c r="C241" t="str">
        <x:f>IF(COUNTIF(FERIADOS!$A$2:$A$250,A241)&gt;0,"SÍ","NO")</x:f>
        <x:v>NO</x:v>
      </x:c>
      <x:c r="D241" t="str">
        <x:f>IF(AND(WEEKDAY(A241,2)&lt;=5,C241="NO"),"SÍ","NO")</x:f>
        <x:v>SÍ</x:v>
      </x:c>
      <x:c r="E241" s="2" t="n">
        <x:f>WORKDAY.INTL(A241-1,1,1,FERIADOS!$A$2:$A$250)</x:f>
        <x:v>45897</x:v>
      </x:c>
      <x:c r="F241" t="str">
        <x:f>IF(E241&gt;=WORKDAY.INTL(EOMONTH(E241,0)+1,-2,1,FERIADOS!$A$2:$A$250),"SÍ","NO")</x:f>
        <x:v>SÍ</x:v>
      </x:c>
      <x:c r="G241" s="10" t="n">
        <x:f>IF(F241="SÍ",EOMONTH(E241,0)+1,DATE(YEAR(E241),MONTH(E241),1))</x:f>
        <x:v>45901</x:v>
      </x:c>
      <x:c r="H241" t="str">
        <x:f>IF(D241="NO",IF(C241="SÍ","FERIADO","FIN DE SEMANA"),"LABORABLE")&amp;IF(F241="SÍ"," + CIERRE","")</x:f>
        <x:v>LABORABLE + CIERRE</x:v>
      </x:c>
      <x:c r="I241" t="str">
        <x:f>TEXT(G241,"yyyy-mm")</x:f>
        <x:v>2025-09</x:v>
      </x:c>
    </x:row>
    <x:row r="242" ht="19" customHeight="1">
      <x:c r="A242" s="2" t="n">
        <x:v>45898</x:v>
      </x:c>
      <x:c r="B242" t="str">
        <x:f>CHOOSE(WEEKDAY(A242,2),"Lunes","Martes","Miércoles","Jueves","Viernes","Sábado","Domingo")</x:f>
        <x:v>Viernes</x:v>
      </x:c>
      <x:c r="C242" t="str">
        <x:f>IF(COUNTIF(FERIADOS!$A$2:$A$250,A242)&gt;0,"SÍ","NO")</x:f>
        <x:v>NO</x:v>
      </x:c>
      <x:c r="D242" t="str">
        <x:f>IF(AND(WEEKDAY(A242,2)&lt;=5,C242="NO"),"SÍ","NO")</x:f>
        <x:v>SÍ</x:v>
      </x:c>
      <x:c r="E242" s="2" t="n">
        <x:f>WORKDAY.INTL(A242-1,1,1,FERIADOS!$A$2:$A$250)</x:f>
        <x:v>45898</x:v>
      </x:c>
      <x:c r="F242" t="str">
        <x:f>IF(E242&gt;=WORKDAY.INTL(EOMONTH(E242,0)+1,-2,1,FERIADOS!$A$2:$A$250),"SÍ","NO")</x:f>
        <x:v>SÍ</x:v>
      </x:c>
      <x:c r="G242" s="10" t="n">
        <x:f>IF(F242="SÍ",EOMONTH(E242,0)+1,DATE(YEAR(E242),MONTH(E242),1))</x:f>
        <x:v>45901</x:v>
      </x:c>
      <x:c r="H242" t="str">
        <x:f>IF(D242="NO",IF(C242="SÍ","FERIADO","FIN DE SEMANA"),"LABORABLE")&amp;IF(F242="SÍ"," + CIERRE","")</x:f>
        <x:v>LABORABLE + CIERRE</x:v>
      </x:c>
      <x:c r="I242" t="str">
        <x:f>TEXT(G242,"yyyy-mm")</x:f>
        <x:v>2025-09</x:v>
      </x:c>
    </x:row>
    <x:row r="243" ht="19" customHeight="1">
      <x:c r="A243" s="2" t="n">
        <x:v>45899</x:v>
      </x:c>
      <x:c r="B243" t="str">
        <x:f>CHOOSE(WEEKDAY(A243,2),"Lunes","Martes","Miércoles","Jueves","Viernes","Sábado","Domingo")</x:f>
        <x:v>Sábado</x:v>
      </x:c>
      <x:c r="C243" t="str">
        <x:f>IF(COUNTIF(FERIADOS!$A$2:$A$250,A243)&gt;0,"SÍ","NO")</x:f>
        <x:v>NO</x:v>
      </x:c>
      <x:c r="D243" t="str">
        <x:f>IF(AND(WEEKDAY(A243,2)&lt;=5,C243="NO"),"SÍ","NO")</x:f>
        <x:v>NO</x:v>
      </x:c>
      <x:c r="E243" s="2" t="n">
        <x:f>WORKDAY.INTL(A243-1,1,1,FERIADOS!$A$2:$A$250)</x:f>
        <x:v>45901</x:v>
      </x:c>
      <x:c r="F243" t="str">
        <x:f>IF(E243&gt;=WORKDAY.INTL(EOMONTH(E243,0)+1,-2,1,FERIADOS!$A$2:$A$250),"SÍ","NO")</x:f>
        <x:v>NO</x:v>
      </x:c>
      <x:c r="G243" s="10" t="n">
        <x:f>IF(F243="SÍ",EOMONTH(E243,0)+1,DATE(YEAR(E243),MONTH(E243),1))</x:f>
        <x:v>45901</x:v>
      </x:c>
      <x:c r="H243" t="str">
        <x:f>IF(D243="NO",IF(C243="SÍ","FERIADO","FIN DE SEMANA"),"LABORABLE")&amp;IF(F243="SÍ"," + CIERRE","")</x:f>
        <x:v>FIN DE SEMANA</x:v>
      </x:c>
      <x:c r="I243" t="str">
        <x:f>TEXT(G243,"yyyy-mm")</x:f>
        <x:v>2025-09</x:v>
      </x:c>
    </x:row>
    <x:row r="244" ht="19" customHeight="1">
      <x:c r="A244" s="2" t="n">
        <x:v>45900</x:v>
      </x:c>
      <x:c r="B244" t="str">
        <x:f>CHOOSE(WEEKDAY(A244,2),"Lunes","Martes","Miércoles","Jueves","Viernes","Sábado","Domingo")</x:f>
        <x:v>Domingo</x:v>
      </x:c>
      <x:c r="C244" t="str">
        <x:f>IF(COUNTIF(FERIADOS!$A$2:$A$250,A244)&gt;0,"SÍ","NO")</x:f>
        <x:v>NO</x:v>
      </x:c>
      <x:c r="D244" t="str">
        <x:f>IF(AND(WEEKDAY(A244,2)&lt;=5,C244="NO"),"SÍ","NO")</x:f>
        <x:v>NO</x:v>
      </x:c>
      <x:c r="E244" s="2" t="n">
        <x:f>WORKDAY.INTL(A244-1,1,1,FERIADOS!$A$2:$A$250)</x:f>
        <x:v>45901</x:v>
      </x:c>
      <x:c r="F244" t="str">
        <x:f>IF(E244&gt;=WORKDAY.INTL(EOMONTH(E244,0)+1,-2,1,FERIADOS!$A$2:$A$250),"SÍ","NO")</x:f>
        <x:v>NO</x:v>
      </x:c>
      <x:c r="G244" s="10" t="n">
        <x:f>IF(F244="SÍ",EOMONTH(E244,0)+1,DATE(YEAR(E244),MONTH(E244),1))</x:f>
        <x:v>45901</x:v>
      </x:c>
      <x:c r="H244" t="str">
        <x:f>IF(D244="NO",IF(C244="SÍ","FERIADO","FIN DE SEMANA"),"LABORABLE")&amp;IF(F244="SÍ"," + CIERRE","")</x:f>
        <x:v>FIN DE SEMANA</x:v>
      </x:c>
      <x:c r="I244" t="str">
        <x:f>TEXT(G244,"yyyy-mm")</x:f>
        <x:v>2025-09</x:v>
      </x:c>
    </x:row>
    <x:row r="245" ht="19" customHeight="1">
      <x:c r="A245" s="2" t="n">
        <x:v>45901</x:v>
      </x:c>
      <x:c r="B245" t="str">
        <x:f>CHOOSE(WEEKDAY(A245,2),"Lunes","Martes","Miércoles","Jueves","Viernes","Sábado","Domingo")</x:f>
        <x:v>Lunes</x:v>
      </x:c>
      <x:c r="C245" t="str">
        <x:f>IF(COUNTIF(FERIADOS!$A$2:$A$250,A245)&gt;0,"SÍ","NO")</x:f>
        <x:v>NO</x:v>
      </x:c>
      <x:c r="D245" t="str">
        <x:f>IF(AND(WEEKDAY(A245,2)&lt;=5,C245="NO"),"SÍ","NO")</x:f>
        <x:v>SÍ</x:v>
      </x:c>
      <x:c r="E245" s="2" t="n">
        <x:f>WORKDAY.INTL(A245-1,1,1,FERIADOS!$A$2:$A$250)</x:f>
        <x:v>45901</x:v>
      </x:c>
      <x:c r="F245" t="str">
        <x:f>IF(E245&gt;=WORKDAY.INTL(EOMONTH(E245,0)+1,-2,1,FERIADOS!$A$2:$A$250),"SÍ","NO")</x:f>
        <x:v>NO</x:v>
      </x:c>
      <x:c r="G245" s="10" t="n">
        <x:f>IF(F245="SÍ",EOMONTH(E245,0)+1,DATE(YEAR(E245),MONTH(E245),1))</x:f>
        <x:v>45901</x:v>
      </x:c>
      <x:c r="H245" t="str">
        <x:f>IF(D245="NO",IF(C245="SÍ","FERIADO","FIN DE SEMANA"),"LABORABLE")&amp;IF(F245="SÍ"," + CIERRE","")</x:f>
        <x:v>LABORABLE</x:v>
      </x:c>
      <x:c r="I245" t="str">
        <x:f>TEXT(G245,"yyyy-mm")</x:f>
        <x:v>2025-09</x:v>
      </x:c>
    </x:row>
    <x:row r="246" ht="19" customHeight="1">
      <x:c r="A246" s="2" t="n">
        <x:v>45902</x:v>
      </x:c>
      <x:c r="B246" t="str">
        <x:f>CHOOSE(WEEKDAY(A246,2),"Lunes","Martes","Miércoles","Jueves","Viernes","Sábado","Domingo")</x:f>
        <x:v>Martes</x:v>
      </x:c>
      <x:c r="C246" t="str">
        <x:f>IF(COUNTIF(FERIADOS!$A$2:$A$250,A246)&gt;0,"SÍ","NO")</x:f>
        <x:v>NO</x:v>
      </x:c>
      <x:c r="D246" t="str">
        <x:f>IF(AND(WEEKDAY(A246,2)&lt;=5,C246="NO"),"SÍ","NO")</x:f>
        <x:v>SÍ</x:v>
      </x:c>
      <x:c r="E246" s="2" t="n">
        <x:f>WORKDAY.INTL(A246-1,1,1,FERIADOS!$A$2:$A$250)</x:f>
        <x:v>45902</x:v>
      </x:c>
      <x:c r="F246" t="str">
        <x:f>IF(E246&gt;=WORKDAY.INTL(EOMONTH(E246,0)+1,-2,1,FERIADOS!$A$2:$A$250),"SÍ","NO")</x:f>
        <x:v>NO</x:v>
      </x:c>
      <x:c r="G246" s="10" t="n">
        <x:f>IF(F246="SÍ",EOMONTH(E246,0)+1,DATE(YEAR(E246),MONTH(E246),1))</x:f>
        <x:v>45901</x:v>
      </x:c>
      <x:c r="H246" t="str">
        <x:f>IF(D246="NO",IF(C246="SÍ","FERIADO","FIN DE SEMANA"),"LABORABLE")&amp;IF(F246="SÍ"," + CIERRE","")</x:f>
        <x:v>LABORABLE</x:v>
      </x:c>
      <x:c r="I246" t="str">
        <x:f>TEXT(G246,"yyyy-mm")</x:f>
        <x:v>2025-09</x:v>
      </x:c>
    </x:row>
    <x:row r="247" ht="19" customHeight="1">
      <x:c r="A247" s="2" t="n">
        <x:v>45903</x:v>
      </x:c>
      <x:c r="B247" t="str">
        <x:f>CHOOSE(WEEKDAY(A247,2),"Lunes","Martes","Miércoles","Jueves","Viernes","Sábado","Domingo")</x:f>
        <x:v>Miércoles</x:v>
      </x:c>
      <x:c r="C247" t="str">
        <x:f>IF(COUNTIF(FERIADOS!$A$2:$A$250,A247)&gt;0,"SÍ","NO")</x:f>
        <x:v>NO</x:v>
      </x:c>
      <x:c r="D247" t="str">
        <x:f>IF(AND(WEEKDAY(A247,2)&lt;=5,C247="NO"),"SÍ","NO")</x:f>
        <x:v>SÍ</x:v>
      </x:c>
      <x:c r="E247" s="2" t="n">
        <x:f>WORKDAY.INTL(A247-1,1,1,FERIADOS!$A$2:$A$250)</x:f>
        <x:v>45903</x:v>
      </x:c>
      <x:c r="F247" t="str">
        <x:f>IF(E247&gt;=WORKDAY.INTL(EOMONTH(E247,0)+1,-2,1,FERIADOS!$A$2:$A$250),"SÍ","NO")</x:f>
        <x:v>NO</x:v>
      </x:c>
      <x:c r="G247" s="10" t="n">
        <x:f>IF(F247="SÍ",EOMONTH(E247,0)+1,DATE(YEAR(E247),MONTH(E247),1))</x:f>
        <x:v>45901</x:v>
      </x:c>
      <x:c r="H247" t="str">
        <x:f>IF(D247="NO",IF(C247="SÍ","FERIADO","FIN DE SEMANA"),"LABORABLE")&amp;IF(F247="SÍ"," + CIERRE","")</x:f>
        <x:v>LABORABLE</x:v>
      </x:c>
      <x:c r="I247" t="str">
        <x:f>TEXT(G247,"yyyy-mm")</x:f>
        <x:v>2025-09</x:v>
      </x:c>
    </x:row>
    <x:row r="248" ht="19" customHeight="1">
      <x:c r="A248" s="2" t="n">
        <x:v>45904</x:v>
      </x:c>
      <x:c r="B248" t="str">
        <x:f>CHOOSE(WEEKDAY(A248,2),"Lunes","Martes","Miércoles","Jueves","Viernes","Sábado","Domingo")</x:f>
        <x:v>Jueves</x:v>
      </x:c>
      <x:c r="C248" t="str">
        <x:f>IF(COUNTIF(FERIADOS!$A$2:$A$250,A248)&gt;0,"SÍ","NO")</x:f>
        <x:v>NO</x:v>
      </x:c>
      <x:c r="D248" t="str">
        <x:f>IF(AND(WEEKDAY(A248,2)&lt;=5,C248="NO"),"SÍ","NO")</x:f>
        <x:v>SÍ</x:v>
      </x:c>
      <x:c r="E248" s="2" t="n">
        <x:f>WORKDAY.INTL(A248-1,1,1,FERIADOS!$A$2:$A$250)</x:f>
        <x:v>45904</x:v>
      </x:c>
      <x:c r="F248" t="str">
        <x:f>IF(E248&gt;=WORKDAY.INTL(EOMONTH(E248,0)+1,-2,1,FERIADOS!$A$2:$A$250),"SÍ","NO")</x:f>
        <x:v>NO</x:v>
      </x:c>
      <x:c r="G248" s="10" t="n">
        <x:f>IF(F248="SÍ",EOMONTH(E248,0)+1,DATE(YEAR(E248),MONTH(E248),1))</x:f>
        <x:v>45901</x:v>
      </x:c>
      <x:c r="H248" t="str">
        <x:f>IF(D248="NO",IF(C248="SÍ","FERIADO","FIN DE SEMANA"),"LABORABLE")&amp;IF(F248="SÍ"," + CIERRE","")</x:f>
        <x:v>LABORABLE</x:v>
      </x:c>
      <x:c r="I248" t="str">
        <x:f>TEXT(G248,"yyyy-mm")</x:f>
        <x:v>2025-09</x:v>
      </x:c>
    </x:row>
    <x:row r="249" ht="19" customHeight="1">
      <x:c r="A249" s="2" t="n">
        <x:v>45905</x:v>
      </x:c>
      <x:c r="B249" t="str">
        <x:f>CHOOSE(WEEKDAY(A249,2),"Lunes","Martes","Miércoles","Jueves","Viernes","Sábado","Domingo")</x:f>
        <x:v>Viernes</x:v>
      </x:c>
      <x:c r="C249" t="str">
        <x:f>IF(COUNTIF(FERIADOS!$A$2:$A$250,A249)&gt;0,"SÍ","NO")</x:f>
        <x:v>NO</x:v>
      </x:c>
      <x:c r="D249" t="str">
        <x:f>IF(AND(WEEKDAY(A249,2)&lt;=5,C249="NO"),"SÍ","NO")</x:f>
        <x:v>SÍ</x:v>
      </x:c>
      <x:c r="E249" s="2" t="n">
        <x:f>WORKDAY.INTL(A249-1,1,1,FERIADOS!$A$2:$A$250)</x:f>
        <x:v>45905</x:v>
      </x:c>
      <x:c r="F249" t="str">
        <x:f>IF(E249&gt;=WORKDAY.INTL(EOMONTH(E249,0)+1,-2,1,FERIADOS!$A$2:$A$250),"SÍ","NO")</x:f>
        <x:v>NO</x:v>
      </x:c>
      <x:c r="G249" s="10" t="n">
        <x:f>IF(F249="SÍ",EOMONTH(E249,0)+1,DATE(YEAR(E249),MONTH(E249),1))</x:f>
        <x:v>45901</x:v>
      </x:c>
      <x:c r="H249" t="str">
        <x:f>IF(D249="NO",IF(C249="SÍ","FERIADO","FIN DE SEMANA"),"LABORABLE")&amp;IF(F249="SÍ"," + CIERRE","")</x:f>
        <x:v>LABORABLE</x:v>
      </x:c>
      <x:c r="I249" t="str">
        <x:f>TEXT(G249,"yyyy-mm")</x:f>
        <x:v>2025-09</x:v>
      </x:c>
    </x:row>
    <x:row r="250" ht="19" customHeight="1">
      <x:c r="A250" s="2" t="n">
        <x:v>45906</x:v>
      </x:c>
      <x:c r="B250" t="str">
        <x:f>CHOOSE(WEEKDAY(A250,2),"Lunes","Martes","Miércoles","Jueves","Viernes","Sábado","Domingo")</x:f>
        <x:v>Sábado</x:v>
      </x:c>
      <x:c r="C250" t="str">
        <x:f>IF(COUNTIF(FERIADOS!$A$2:$A$250,A250)&gt;0,"SÍ","NO")</x:f>
        <x:v>NO</x:v>
      </x:c>
      <x:c r="D250" t="str">
        <x:f>IF(AND(WEEKDAY(A250,2)&lt;=5,C250="NO"),"SÍ","NO")</x:f>
        <x:v>NO</x:v>
      </x:c>
      <x:c r="E250" s="2" t="n">
        <x:f>WORKDAY.INTL(A250-1,1,1,FERIADOS!$A$2:$A$250)</x:f>
        <x:v>45908</x:v>
      </x:c>
      <x:c r="F250" t="str">
        <x:f>IF(E250&gt;=WORKDAY.INTL(EOMONTH(E250,0)+1,-2,1,FERIADOS!$A$2:$A$250),"SÍ","NO")</x:f>
        <x:v>NO</x:v>
      </x:c>
      <x:c r="G250" s="10" t="n">
        <x:f>IF(F250="SÍ",EOMONTH(E250,0)+1,DATE(YEAR(E250),MONTH(E250),1))</x:f>
        <x:v>45901</x:v>
      </x:c>
      <x:c r="H250" t="str">
        <x:f>IF(D250="NO",IF(C250="SÍ","FERIADO","FIN DE SEMANA"),"LABORABLE")&amp;IF(F250="SÍ"," + CIERRE","")</x:f>
        <x:v>FIN DE SEMANA</x:v>
      </x:c>
      <x:c r="I250" t="str">
        <x:f>TEXT(G250,"yyyy-mm")</x:f>
        <x:v>2025-09</x:v>
      </x:c>
    </x:row>
    <x:row r="251" ht="19" customHeight="1">
      <x:c r="A251" s="2" t="n">
        <x:v>45907</x:v>
      </x:c>
      <x:c r="B251" t="str">
        <x:f>CHOOSE(WEEKDAY(A251,2),"Lunes","Martes","Miércoles","Jueves","Viernes","Sábado","Domingo")</x:f>
        <x:v>Domingo</x:v>
      </x:c>
      <x:c r="C251" t="str">
        <x:f>IF(COUNTIF(FERIADOS!$A$2:$A$250,A251)&gt;0,"SÍ","NO")</x:f>
        <x:v>NO</x:v>
      </x:c>
      <x:c r="D251" t="str">
        <x:f>IF(AND(WEEKDAY(A251,2)&lt;=5,C251="NO"),"SÍ","NO")</x:f>
        <x:v>NO</x:v>
      </x:c>
      <x:c r="E251" s="2" t="n">
        <x:f>WORKDAY.INTL(A251-1,1,1,FERIADOS!$A$2:$A$250)</x:f>
        <x:v>45908</x:v>
      </x:c>
      <x:c r="F251" t="str">
        <x:f>IF(E251&gt;=WORKDAY.INTL(EOMONTH(E251,0)+1,-2,1,FERIADOS!$A$2:$A$250),"SÍ","NO")</x:f>
        <x:v>NO</x:v>
      </x:c>
      <x:c r="G251" s="10" t="n">
        <x:f>IF(F251="SÍ",EOMONTH(E251,0)+1,DATE(YEAR(E251),MONTH(E251),1))</x:f>
        <x:v>45901</x:v>
      </x:c>
      <x:c r="H251" t="str">
        <x:f>IF(D251="NO",IF(C251="SÍ","FERIADO","FIN DE SEMANA"),"LABORABLE")&amp;IF(F251="SÍ"," + CIERRE","")</x:f>
        <x:v>FIN DE SEMANA</x:v>
      </x:c>
      <x:c r="I251" t="str">
        <x:f>TEXT(G251,"yyyy-mm")</x:f>
        <x:v>2025-09</x:v>
      </x:c>
    </x:row>
    <x:row r="252" ht="19" customHeight="1">
      <x:c r="A252" s="2" t="n">
        <x:v>45908</x:v>
      </x:c>
      <x:c r="B252" t="str">
        <x:f>CHOOSE(WEEKDAY(A252,2),"Lunes","Martes","Miércoles","Jueves","Viernes","Sábado","Domingo")</x:f>
        <x:v>Lunes</x:v>
      </x:c>
      <x:c r="C252" t="str">
        <x:f>IF(COUNTIF(FERIADOS!$A$2:$A$250,A252)&gt;0,"SÍ","NO")</x:f>
        <x:v>NO</x:v>
      </x:c>
      <x:c r="D252" t="str">
        <x:f>IF(AND(WEEKDAY(A252,2)&lt;=5,C252="NO"),"SÍ","NO")</x:f>
        <x:v>SÍ</x:v>
      </x:c>
      <x:c r="E252" s="2" t="n">
        <x:f>WORKDAY.INTL(A252-1,1,1,FERIADOS!$A$2:$A$250)</x:f>
        <x:v>45908</x:v>
      </x:c>
      <x:c r="F252" t="str">
        <x:f>IF(E252&gt;=WORKDAY.INTL(EOMONTH(E252,0)+1,-2,1,FERIADOS!$A$2:$A$250),"SÍ","NO")</x:f>
        <x:v>NO</x:v>
      </x:c>
      <x:c r="G252" s="10" t="n">
        <x:f>IF(F252="SÍ",EOMONTH(E252,0)+1,DATE(YEAR(E252),MONTH(E252),1))</x:f>
        <x:v>45901</x:v>
      </x:c>
      <x:c r="H252" t="str">
        <x:f>IF(D252="NO",IF(C252="SÍ","FERIADO","FIN DE SEMANA"),"LABORABLE")&amp;IF(F252="SÍ"," + CIERRE","")</x:f>
        <x:v>LABORABLE</x:v>
      </x:c>
      <x:c r="I252" t="str">
        <x:f>TEXT(G252,"yyyy-mm")</x:f>
        <x:v>2025-09</x:v>
      </x:c>
    </x:row>
    <x:row r="253" ht="19" customHeight="1">
      <x:c r="A253" s="2" t="n">
        <x:v>45909</x:v>
      </x:c>
      <x:c r="B253" t="str">
        <x:f>CHOOSE(WEEKDAY(A253,2),"Lunes","Martes","Miércoles","Jueves","Viernes","Sábado","Domingo")</x:f>
        <x:v>Martes</x:v>
      </x:c>
      <x:c r="C253" t="str">
        <x:f>IF(COUNTIF(FERIADOS!$A$2:$A$250,A253)&gt;0,"SÍ","NO")</x:f>
        <x:v>NO</x:v>
      </x:c>
      <x:c r="D253" t="str">
        <x:f>IF(AND(WEEKDAY(A253,2)&lt;=5,C253="NO"),"SÍ","NO")</x:f>
        <x:v>SÍ</x:v>
      </x:c>
      <x:c r="E253" s="2" t="n">
        <x:f>WORKDAY.INTL(A253-1,1,1,FERIADOS!$A$2:$A$250)</x:f>
        <x:v>45909</x:v>
      </x:c>
      <x:c r="F253" t="str">
        <x:f>IF(E253&gt;=WORKDAY.INTL(EOMONTH(E253,0)+1,-2,1,FERIADOS!$A$2:$A$250),"SÍ","NO")</x:f>
        <x:v>NO</x:v>
      </x:c>
      <x:c r="G253" s="10" t="n">
        <x:f>IF(F253="SÍ",EOMONTH(E253,0)+1,DATE(YEAR(E253),MONTH(E253),1))</x:f>
        <x:v>45901</x:v>
      </x:c>
      <x:c r="H253" t="str">
        <x:f>IF(D253="NO",IF(C253="SÍ","FERIADO","FIN DE SEMANA"),"LABORABLE")&amp;IF(F253="SÍ"," + CIERRE","")</x:f>
        <x:v>LABORABLE</x:v>
      </x:c>
      <x:c r="I253" t="str">
        <x:f>TEXT(G253,"yyyy-mm")</x:f>
        <x:v>2025-09</x:v>
      </x:c>
    </x:row>
    <x:row r="254" ht="19" customHeight="1">
      <x:c r="A254" s="2" t="n">
        <x:v>45910</x:v>
      </x:c>
      <x:c r="B254" t="str">
        <x:f>CHOOSE(WEEKDAY(A254,2),"Lunes","Martes","Miércoles","Jueves","Viernes","Sábado","Domingo")</x:f>
        <x:v>Miércoles</x:v>
      </x:c>
      <x:c r="C254" t="str">
        <x:f>IF(COUNTIF(FERIADOS!$A$2:$A$250,A254)&gt;0,"SÍ","NO")</x:f>
        <x:v>NO</x:v>
      </x:c>
      <x:c r="D254" t="str">
        <x:f>IF(AND(WEEKDAY(A254,2)&lt;=5,C254="NO"),"SÍ","NO")</x:f>
        <x:v>SÍ</x:v>
      </x:c>
      <x:c r="E254" s="2" t="n">
        <x:f>WORKDAY.INTL(A254-1,1,1,FERIADOS!$A$2:$A$250)</x:f>
        <x:v>45910</x:v>
      </x:c>
      <x:c r="F254" t="str">
        <x:f>IF(E254&gt;=WORKDAY.INTL(EOMONTH(E254,0)+1,-2,1,FERIADOS!$A$2:$A$250),"SÍ","NO")</x:f>
        <x:v>NO</x:v>
      </x:c>
      <x:c r="G254" s="10" t="n">
        <x:f>IF(F254="SÍ",EOMONTH(E254,0)+1,DATE(YEAR(E254),MONTH(E254),1))</x:f>
        <x:v>45901</x:v>
      </x:c>
      <x:c r="H254" t="str">
        <x:f>IF(D254="NO",IF(C254="SÍ","FERIADO","FIN DE SEMANA"),"LABORABLE")&amp;IF(F254="SÍ"," + CIERRE","")</x:f>
        <x:v>LABORABLE</x:v>
      </x:c>
      <x:c r="I254" t="str">
        <x:f>TEXT(G254,"yyyy-mm")</x:f>
        <x:v>2025-09</x:v>
      </x:c>
    </x:row>
    <x:row r="255" ht="19" customHeight="1">
      <x:c r="A255" s="2" t="n">
        <x:v>45911</x:v>
      </x:c>
      <x:c r="B255" t="str">
        <x:f>CHOOSE(WEEKDAY(A255,2),"Lunes","Martes","Miércoles","Jueves","Viernes","Sábado","Domingo")</x:f>
        <x:v>Jueves</x:v>
      </x:c>
      <x:c r="C255" t="str">
        <x:f>IF(COUNTIF(FERIADOS!$A$2:$A$250,A255)&gt;0,"SÍ","NO")</x:f>
        <x:v>NO</x:v>
      </x:c>
      <x:c r="D255" t="str">
        <x:f>IF(AND(WEEKDAY(A255,2)&lt;=5,C255="NO"),"SÍ","NO")</x:f>
        <x:v>SÍ</x:v>
      </x:c>
      <x:c r="E255" s="2" t="n">
        <x:f>WORKDAY.INTL(A255-1,1,1,FERIADOS!$A$2:$A$250)</x:f>
        <x:v>45911</x:v>
      </x:c>
      <x:c r="F255" t="str">
        <x:f>IF(E255&gt;=WORKDAY.INTL(EOMONTH(E255,0)+1,-2,1,FERIADOS!$A$2:$A$250),"SÍ","NO")</x:f>
        <x:v>NO</x:v>
      </x:c>
      <x:c r="G255" s="10" t="n">
        <x:f>IF(F255="SÍ",EOMONTH(E255,0)+1,DATE(YEAR(E255),MONTH(E255),1))</x:f>
        <x:v>45901</x:v>
      </x:c>
      <x:c r="H255" t="str">
        <x:f>IF(D255="NO",IF(C255="SÍ","FERIADO","FIN DE SEMANA"),"LABORABLE")&amp;IF(F255="SÍ"," + CIERRE","")</x:f>
        <x:v>LABORABLE</x:v>
      </x:c>
      <x:c r="I255" t="str">
        <x:f>TEXT(G255,"yyyy-mm")</x:f>
        <x:v>2025-09</x:v>
      </x:c>
    </x:row>
    <x:row r="256" ht="19" customHeight="1">
      <x:c r="A256" s="2" t="n">
        <x:v>45912</x:v>
      </x:c>
      <x:c r="B256" t="str">
        <x:f>CHOOSE(WEEKDAY(A256,2),"Lunes","Martes","Miércoles","Jueves","Viernes","Sábado","Domingo")</x:f>
        <x:v>Viernes</x:v>
      </x:c>
      <x:c r="C256" t="str">
        <x:f>IF(COUNTIF(FERIADOS!$A$2:$A$250,A256)&gt;0,"SÍ","NO")</x:f>
        <x:v>NO</x:v>
      </x:c>
      <x:c r="D256" t="str">
        <x:f>IF(AND(WEEKDAY(A256,2)&lt;=5,C256="NO"),"SÍ","NO")</x:f>
        <x:v>SÍ</x:v>
      </x:c>
      <x:c r="E256" s="2" t="n">
        <x:f>WORKDAY.INTL(A256-1,1,1,FERIADOS!$A$2:$A$250)</x:f>
        <x:v>45912</x:v>
      </x:c>
      <x:c r="F256" t="str">
        <x:f>IF(E256&gt;=WORKDAY.INTL(EOMONTH(E256,0)+1,-2,1,FERIADOS!$A$2:$A$250),"SÍ","NO")</x:f>
        <x:v>NO</x:v>
      </x:c>
      <x:c r="G256" s="10" t="n">
        <x:f>IF(F256="SÍ",EOMONTH(E256,0)+1,DATE(YEAR(E256),MONTH(E256),1))</x:f>
        <x:v>45901</x:v>
      </x:c>
      <x:c r="H256" t="str">
        <x:f>IF(D256="NO",IF(C256="SÍ","FERIADO","FIN DE SEMANA"),"LABORABLE")&amp;IF(F256="SÍ"," + CIERRE","")</x:f>
        <x:v>LABORABLE</x:v>
      </x:c>
      <x:c r="I256" t="str">
        <x:f>TEXT(G256,"yyyy-mm")</x:f>
        <x:v>2025-09</x:v>
      </x:c>
    </x:row>
    <x:row r="257" ht="19" customHeight="1">
      <x:c r="A257" s="2" t="n">
        <x:v>45913</x:v>
      </x:c>
      <x:c r="B257" t="str">
        <x:f>CHOOSE(WEEKDAY(A257,2),"Lunes","Martes","Miércoles","Jueves","Viernes","Sábado","Domingo")</x:f>
        <x:v>Sábado</x:v>
      </x:c>
      <x:c r="C257" t="str">
        <x:f>IF(COUNTIF(FERIADOS!$A$2:$A$250,A257)&gt;0,"SÍ","NO")</x:f>
        <x:v>NO</x:v>
      </x:c>
      <x:c r="D257" t="str">
        <x:f>IF(AND(WEEKDAY(A257,2)&lt;=5,C257="NO"),"SÍ","NO")</x:f>
        <x:v>NO</x:v>
      </x:c>
      <x:c r="E257" s="2" t="n">
        <x:f>WORKDAY.INTL(A257-1,1,1,FERIADOS!$A$2:$A$250)</x:f>
        <x:v>45915</x:v>
      </x:c>
      <x:c r="F257" t="str">
        <x:f>IF(E257&gt;=WORKDAY.INTL(EOMONTH(E257,0)+1,-2,1,FERIADOS!$A$2:$A$250),"SÍ","NO")</x:f>
        <x:v>NO</x:v>
      </x:c>
      <x:c r="G257" s="10" t="n">
        <x:f>IF(F257="SÍ",EOMONTH(E257,0)+1,DATE(YEAR(E257),MONTH(E257),1))</x:f>
        <x:v>45901</x:v>
      </x:c>
      <x:c r="H257" t="str">
        <x:f>IF(D257="NO",IF(C257="SÍ","FERIADO","FIN DE SEMANA"),"LABORABLE")&amp;IF(F257="SÍ"," + CIERRE","")</x:f>
        <x:v>FIN DE SEMANA</x:v>
      </x:c>
      <x:c r="I257" t="str">
        <x:f>TEXT(G257,"yyyy-mm")</x:f>
        <x:v>2025-09</x:v>
      </x:c>
    </x:row>
    <x:row r="258" ht="19" customHeight="1">
      <x:c r="A258" s="2" t="n">
        <x:v>45914</x:v>
      </x:c>
      <x:c r="B258" t="str">
        <x:f>CHOOSE(WEEKDAY(A258,2),"Lunes","Martes","Miércoles","Jueves","Viernes","Sábado","Domingo")</x:f>
        <x:v>Domingo</x:v>
      </x:c>
      <x:c r="C258" t="str">
        <x:f>IF(COUNTIF(FERIADOS!$A$2:$A$250,A258)&gt;0,"SÍ","NO")</x:f>
        <x:v>NO</x:v>
      </x:c>
      <x:c r="D258" t="str">
        <x:f>IF(AND(WEEKDAY(A258,2)&lt;=5,C258="NO"),"SÍ","NO")</x:f>
        <x:v>NO</x:v>
      </x:c>
      <x:c r="E258" s="2" t="n">
        <x:f>WORKDAY.INTL(A258-1,1,1,FERIADOS!$A$2:$A$250)</x:f>
        <x:v>45915</x:v>
      </x:c>
      <x:c r="F258" t="str">
        <x:f>IF(E258&gt;=WORKDAY.INTL(EOMONTH(E258,0)+1,-2,1,FERIADOS!$A$2:$A$250),"SÍ","NO")</x:f>
        <x:v>NO</x:v>
      </x:c>
      <x:c r="G258" s="10" t="n">
        <x:f>IF(F258="SÍ",EOMONTH(E258,0)+1,DATE(YEAR(E258),MONTH(E258),1))</x:f>
        <x:v>45901</x:v>
      </x:c>
      <x:c r="H258" t="str">
        <x:f>IF(D258="NO",IF(C258="SÍ","FERIADO","FIN DE SEMANA"),"LABORABLE")&amp;IF(F258="SÍ"," + CIERRE","")</x:f>
        <x:v>FIN DE SEMANA</x:v>
      </x:c>
      <x:c r="I258" t="str">
        <x:f>TEXT(G258,"yyyy-mm")</x:f>
        <x:v>2025-09</x:v>
      </x:c>
    </x:row>
    <x:row r="259" ht="19" customHeight="1">
      <x:c r="A259" s="2" t="n">
        <x:v>45915</x:v>
      </x:c>
      <x:c r="B259" t="str">
        <x:f>CHOOSE(WEEKDAY(A259,2),"Lunes","Martes","Miércoles","Jueves","Viernes","Sábado","Domingo")</x:f>
        <x:v>Lunes</x:v>
      </x:c>
      <x:c r="C259" t="str">
        <x:f>IF(COUNTIF(FERIADOS!$A$2:$A$250,A259)&gt;0,"SÍ","NO")</x:f>
        <x:v>NO</x:v>
      </x:c>
      <x:c r="D259" t="str">
        <x:f>IF(AND(WEEKDAY(A259,2)&lt;=5,C259="NO"),"SÍ","NO")</x:f>
        <x:v>SÍ</x:v>
      </x:c>
      <x:c r="E259" s="2" t="n">
        <x:f>WORKDAY.INTL(A259-1,1,1,FERIADOS!$A$2:$A$250)</x:f>
        <x:v>45915</x:v>
      </x:c>
      <x:c r="F259" t="str">
        <x:f>IF(E259&gt;=WORKDAY.INTL(EOMONTH(E259,0)+1,-2,1,FERIADOS!$A$2:$A$250),"SÍ","NO")</x:f>
        <x:v>NO</x:v>
      </x:c>
      <x:c r="G259" s="10" t="n">
        <x:f>IF(F259="SÍ",EOMONTH(E259,0)+1,DATE(YEAR(E259),MONTH(E259),1))</x:f>
        <x:v>45901</x:v>
      </x:c>
      <x:c r="H259" t="str">
        <x:f>IF(D259="NO",IF(C259="SÍ","FERIADO","FIN DE SEMANA"),"LABORABLE")&amp;IF(F259="SÍ"," + CIERRE","")</x:f>
        <x:v>LABORABLE</x:v>
      </x:c>
      <x:c r="I259" t="str">
        <x:f>TEXT(G259,"yyyy-mm")</x:f>
        <x:v>2025-09</x:v>
      </x:c>
    </x:row>
    <x:row r="260" ht="19" customHeight="1">
      <x:c r="A260" s="2" t="n">
        <x:v>45916</x:v>
      </x:c>
      <x:c r="B260" t="str">
        <x:f>CHOOSE(WEEKDAY(A260,2),"Lunes","Martes","Miércoles","Jueves","Viernes","Sábado","Domingo")</x:f>
        <x:v>Martes</x:v>
      </x:c>
      <x:c r="C260" t="str">
        <x:f>IF(COUNTIF(FERIADOS!$A$2:$A$250,A260)&gt;0,"SÍ","NO")</x:f>
        <x:v>NO</x:v>
      </x:c>
      <x:c r="D260" t="str">
        <x:f>IF(AND(WEEKDAY(A260,2)&lt;=5,C260="NO"),"SÍ","NO")</x:f>
        <x:v>SÍ</x:v>
      </x:c>
      <x:c r="E260" s="2" t="n">
        <x:f>WORKDAY.INTL(A260-1,1,1,FERIADOS!$A$2:$A$250)</x:f>
        <x:v>45916</x:v>
      </x:c>
      <x:c r="F260" t="str">
        <x:f>IF(E260&gt;=WORKDAY.INTL(EOMONTH(E260,0)+1,-2,1,FERIADOS!$A$2:$A$250),"SÍ","NO")</x:f>
        <x:v>NO</x:v>
      </x:c>
      <x:c r="G260" s="10" t="n">
        <x:f>IF(F260="SÍ",EOMONTH(E260,0)+1,DATE(YEAR(E260),MONTH(E260),1))</x:f>
        <x:v>45901</x:v>
      </x:c>
      <x:c r="H260" t="str">
        <x:f>IF(D260="NO",IF(C260="SÍ","FERIADO","FIN DE SEMANA"),"LABORABLE")&amp;IF(F260="SÍ"," + CIERRE","")</x:f>
        <x:v>LABORABLE</x:v>
      </x:c>
      <x:c r="I260" t="str">
        <x:f>TEXT(G260,"yyyy-mm")</x:f>
        <x:v>2025-09</x:v>
      </x:c>
    </x:row>
    <x:row r="261" ht="19" customHeight="1">
      <x:c r="A261" s="2" t="n">
        <x:v>45917</x:v>
      </x:c>
      <x:c r="B261" t="str">
        <x:f>CHOOSE(WEEKDAY(A261,2),"Lunes","Martes","Miércoles","Jueves","Viernes","Sábado","Domingo")</x:f>
        <x:v>Miércoles</x:v>
      </x:c>
      <x:c r="C261" t="str">
        <x:f>IF(COUNTIF(FERIADOS!$A$2:$A$250,A261)&gt;0,"SÍ","NO")</x:f>
        <x:v>NO</x:v>
      </x:c>
      <x:c r="D261" t="str">
        <x:f>IF(AND(WEEKDAY(A261,2)&lt;=5,C261="NO"),"SÍ","NO")</x:f>
        <x:v>SÍ</x:v>
      </x:c>
      <x:c r="E261" s="2" t="n">
        <x:f>WORKDAY.INTL(A261-1,1,1,FERIADOS!$A$2:$A$250)</x:f>
        <x:v>45917</x:v>
      </x:c>
      <x:c r="F261" t="str">
        <x:f>IF(E261&gt;=WORKDAY.INTL(EOMONTH(E261,0)+1,-2,1,FERIADOS!$A$2:$A$250),"SÍ","NO")</x:f>
        <x:v>NO</x:v>
      </x:c>
      <x:c r="G261" s="10" t="n">
        <x:f>IF(F261="SÍ",EOMONTH(E261,0)+1,DATE(YEAR(E261),MONTH(E261),1))</x:f>
        <x:v>45901</x:v>
      </x:c>
      <x:c r="H261" t="str">
        <x:f>IF(D261="NO",IF(C261="SÍ","FERIADO","FIN DE SEMANA"),"LABORABLE")&amp;IF(F261="SÍ"," + CIERRE","")</x:f>
        <x:v>LABORABLE</x:v>
      </x:c>
      <x:c r="I261" t="str">
        <x:f>TEXT(G261,"yyyy-mm")</x:f>
        <x:v>2025-09</x:v>
      </x:c>
    </x:row>
    <x:row r="262" ht="19" customHeight="1">
      <x:c r="A262" s="2" t="n">
        <x:v>45918</x:v>
      </x:c>
      <x:c r="B262" t="str">
        <x:f>CHOOSE(WEEKDAY(A262,2),"Lunes","Martes","Miércoles","Jueves","Viernes","Sábado","Domingo")</x:f>
        <x:v>Jueves</x:v>
      </x:c>
      <x:c r="C262" t="str">
        <x:f>IF(COUNTIF(FERIADOS!$A$2:$A$250,A262)&gt;0,"SÍ","NO")</x:f>
        <x:v>NO</x:v>
      </x:c>
      <x:c r="D262" t="str">
        <x:f>IF(AND(WEEKDAY(A262,2)&lt;=5,C262="NO"),"SÍ","NO")</x:f>
        <x:v>SÍ</x:v>
      </x:c>
      <x:c r="E262" s="2" t="n">
        <x:f>WORKDAY.INTL(A262-1,1,1,FERIADOS!$A$2:$A$250)</x:f>
        <x:v>45918</x:v>
      </x:c>
      <x:c r="F262" t="str">
        <x:f>IF(E262&gt;=WORKDAY.INTL(EOMONTH(E262,0)+1,-2,1,FERIADOS!$A$2:$A$250),"SÍ","NO")</x:f>
        <x:v>NO</x:v>
      </x:c>
      <x:c r="G262" s="10" t="n">
        <x:f>IF(F262="SÍ",EOMONTH(E262,0)+1,DATE(YEAR(E262),MONTH(E262),1))</x:f>
        <x:v>45901</x:v>
      </x:c>
      <x:c r="H262" t="str">
        <x:f>IF(D262="NO",IF(C262="SÍ","FERIADO","FIN DE SEMANA"),"LABORABLE")&amp;IF(F262="SÍ"," + CIERRE","")</x:f>
        <x:v>LABORABLE</x:v>
      </x:c>
      <x:c r="I262" t="str">
        <x:f>TEXT(G262,"yyyy-mm")</x:f>
        <x:v>2025-09</x:v>
      </x:c>
    </x:row>
    <x:row r="263" ht="19" customHeight="1">
      <x:c r="A263" s="2" t="n">
        <x:v>45919</x:v>
      </x:c>
      <x:c r="B263" t="str">
        <x:f>CHOOSE(WEEKDAY(A263,2),"Lunes","Martes","Miércoles","Jueves","Viernes","Sábado","Domingo")</x:f>
        <x:v>Viernes</x:v>
      </x:c>
      <x:c r="C263" t="str">
        <x:f>IF(COUNTIF(FERIADOS!$A$2:$A$250,A263)&gt;0,"SÍ","NO")</x:f>
        <x:v>NO</x:v>
      </x:c>
      <x:c r="D263" t="str">
        <x:f>IF(AND(WEEKDAY(A263,2)&lt;=5,C263="NO"),"SÍ","NO")</x:f>
        <x:v>SÍ</x:v>
      </x:c>
      <x:c r="E263" s="2" t="n">
        <x:f>WORKDAY.INTL(A263-1,1,1,FERIADOS!$A$2:$A$250)</x:f>
        <x:v>45919</x:v>
      </x:c>
      <x:c r="F263" t="str">
        <x:f>IF(E263&gt;=WORKDAY.INTL(EOMONTH(E263,0)+1,-2,1,FERIADOS!$A$2:$A$250),"SÍ","NO")</x:f>
        <x:v>NO</x:v>
      </x:c>
      <x:c r="G263" s="10" t="n">
        <x:f>IF(F263="SÍ",EOMONTH(E263,0)+1,DATE(YEAR(E263),MONTH(E263),1))</x:f>
        <x:v>45901</x:v>
      </x:c>
      <x:c r="H263" t="str">
        <x:f>IF(D263="NO",IF(C263="SÍ","FERIADO","FIN DE SEMANA"),"LABORABLE")&amp;IF(F263="SÍ"," + CIERRE","")</x:f>
        <x:v>LABORABLE</x:v>
      </x:c>
      <x:c r="I263" t="str">
        <x:f>TEXT(G263,"yyyy-mm")</x:f>
        <x:v>2025-09</x:v>
      </x:c>
    </x:row>
    <x:row r="264" ht="19" customHeight="1">
      <x:c r="A264" s="2" t="n">
        <x:v>45920</x:v>
      </x:c>
      <x:c r="B264" t="str">
        <x:f>CHOOSE(WEEKDAY(A264,2),"Lunes","Martes","Miércoles","Jueves","Viernes","Sábado","Domingo")</x:f>
        <x:v>Sábado</x:v>
      </x:c>
      <x:c r="C264" t="str">
        <x:f>IF(COUNTIF(FERIADOS!$A$2:$A$250,A264)&gt;0,"SÍ","NO")</x:f>
        <x:v>NO</x:v>
      </x:c>
      <x:c r="D264" t="str">
        <x:f>IF(AND(WEEKDAY(A264,2)&lt;=5,C264="NO"),"SÍ","NO")</x:f>
        <x:v>NO</x:v>
      </x:c>
      <x:c r="E264" s="2" t="n">
        <x:f>WORKDAY.INTL(A264-1,1,1,FERIADOS!$A$2:$A$250)</x:f>
        <x:v>45922</x:v>
      </x:c>
      <x:c r="F264" t="str">
        <x:f>IF(E264&gt;=WORKDAY.INTL(EOMONTH(E264,0)+1,-2,1,FERIADOS!$A$2:$A$250),"SÍ","NO")</x:f>
        <x:v>NO</x:v>
      </x:c>
      <x:c r="G264" s="10" t="n">
        <x:f>IF(F264="SÍ",EOMONTH(E264,0)+1,DATE(YEAR(E264),MONTH(E264),1))</x:f>
        <x:v>45901</x:v>
      </x:c>
      <x:c r="H264" t="str">
        <x:f>IF(D264="NO",IF(C264="SÍ","FERIADO","FIN DE SEMANA"),"LABORABLE")&amp;IF(F264="SÍ"," + CIERRE","")</x:f>
        <x:v>FIN DE SEMANA</x:v>
      </x:c>
      <x:c r="I264" t="str">
        <x:f>TEXT(G264,"yyyy-mm")</x:f>
        <x:v>2025-09</x:v>
      </x:c>
    </x:row>
    <x:row r="265" ht="19" customHeight="1">
      <x:c r="A265" s="2" t="n">
        <x:v>45921</x:v>
      </x:c>
      <x:c r="B265" t="str">
        <x:f>CHOOSE(WEEKDAY(A265,2),"Lunes","Martes","Miércoles","Jueves","Viernes","Sábado","Domingo")</x:f>
        <x:v>Domingo</x:v>
      </x:c>
      <x:c r="C265" t="str">
        <x:f>IF(COUNTIF(FERIADOS!$A$2:$A$250,A265)&gt;0,"SÍ","NO")</x:f>
        <x:v>NO</x:v>
      </x:c>
      <x:c r="D265" t="str">
        <x:f>IF(AND(WEEKDAY(A265,2)&lt;=5,C265="NO"),"SÍ","NO")</x:f>
        <x:v>NO</x:v>
      </x:c>
      <x:c r="E265" s="2" t="n">
        <x:f>WORKDAY.INTL(A265-1,1,1,FERIADOS!$A$2:$A$250)</x:f>
        <x:v>45922</x:v>
      </x:c>
      <x:c r="F265" t="str">
        <x:f>IF(E265&gt;=WORKDAY.INTL(EOMONTH(E265,0)+1,-2,1,FERIADOS!$A$2:$A$250),"SÍ","NO")</x:f>
        <x:v>NO</x:v>
      </x:c>
      <x:c r="G265" s="10" t="n">
        <x:f>IF(F265="SÍ",EOMONTH(E265,0)+1,DATE(YEAR(E265),MONTH(E265),1))</x:f>
        <x:v>45901</x:v>
      </x:c>
      <x:c r="H265" t="str">
        <x:f>IF(D265="NO",IF(C265="SÍ","FERIADO","FIN DE SEMANA"),"LABORABLE")&amp;IF(F265="SÍ"," + CIERRE","")</x:f>
        <x:v>FIN DE SEMANA</x:v>
      </x:c>
      <x:c r="I265" t="str">
        <x:f>TEXT(G265,"yyyy-mm")</x:f>
        <x:v>2025-09</x:v>
      </x:c>
    </x:row>
    <x:row r="266" ht="19" customHeight="1">
      <x:c r="A266" s="2" t="n">
        <x:v>45922</x:v>
      </x:c>
      <x:c r="B266" t="str">
        <x:f>CHOOSE(WEEKDAY(A266,2),"Lunes","Martes","Miércoles","Jueves","Viernes","Sábado","Domingo")</x:f>
        <x:v>Lunes</x:v>
      </x:c>
      <x:c r="C266" t="str">
        <x:f>IF(COUNTIF(FERIADOS!$A$2:$A$250,A266)&gt;0,"SÍ","NO")</x:f>
        <x:v>NO</x:v>
      </x:c>
      <x:c r="D266" t="str">
        <x:f>IF(AND(WEEKDAY(A266,2)&lt;=5,C266="NO"),"SÍ","NO")</x:f>
        <x:v>SÍ</x:v>
      </x:c>
      <x:c r="E266" s="2" t="n">
        <x:f>WORKDAY.INTL(A266-1,1,1,FERIADOS!$A$2:$A$250)</x:f>
        <x:v>45922</x:v>
      </x:c>
      <x:c r="F266" t="str">
        <x:f>IF(E266&gt;=WORKDAY.INTL(EOMONTH(E266,0)+1,-2,1,FERIADOS!$A$2:$A$250),"SÍ","NO")</x:f>
        <x:v>NO</x:v>
      </x:c>
      <x:c r="G266" s="10" t="n">
        <x:f>IF(F266="SÍ",EOMONTH(E266,0)+1,DATE(YEAR(E266),MONTH(E266),1))</x:f>
        <x:v>45901</x:v>
      </x:c>
      <x:c r="H266" t="str">
        <x:f>IF(D266="NO",IF(C266="SÍ","FERIADO","FIN DE SEMANA"),"LABORABLE")&amp;IF(F266="SÍ"," + CIERRE","")</x:f>
        <x:v>LABORABLE</x:v>
      </x:c>
      <x:c r="I266" t="str">
        <x:f>TEXT(G266,"yyyy-mm")</x:f>
        <x:v>2025-09</x:v>
      </x:c>
    </x:row>
    <x:row r="267" ht="19" customHeight="1">
      <x:c r="A267" s="2" t="n">
        <x:v>45923</x:v>
      </x:c>
      <x:c r="B267" t="str">
        <x:f>CHOOSE(WEEKDAY(A267,2),"Lunes","Martes","Miércoles","Jueves","Viernes","Sábado","Domingo")</x:f>
        <x:v>Martes</x:v>
      </x:c>
      <x:c r="C267" t="str">
        <x:f>IF(COUNTIF(FERIADOS!$A$2:$A$250,A267)&gt;0,"SÍ","NO")</x:f>
        <x:v>NO</x:v>
      </x:c>
      <x:c r="D267" t="str">
        <x:f>IF(AND(WEEKDAY(A267,2)&lt;=5,C267="NO"),"SÍ","NO")</x:f>
        <x:v>SÍ</x:v>
      </x:c>
      <x:c r="E267" s="2" t="n">
        <x:f>WORKDAY.INTL(A267-1,1,1,FERIADOS!$A$2:$A$250)</x:f>
        <x:v>45923</x:v>
      </x:c>
      <x:c r="F267" t="str">
        <x:f>IF(E267&gt;=WORKDAY.INTL(EOMONTH(E267,0)+1,-2,1,FERIADOS!$A$2:$A$250),"SÍ","NO")</x:f>
        <x:v>NO</x:v>
      </x:c>
      <x:c r="G267" s="10" t="n">
        <x:f>IF(F267="SÍ",EOMONTH(E267,0)+1,DATE(YEAR(E267),MONTH(E267),1))</x:f>
        <x:v>45901</x:v>
      </x:c>
      <x:c r="H267" t="str">
        <x:f>IF(D267="NO",IF(C267="SÍ","FERIADO","FIN DE SEMANA"),"LABORABLE")&amp;IF(F267="SÍ"," + CIERRE","")</x:f>
        <x:v>LABORABLE</x:v>
      </x:c>
      <x:c r="I267" t="str">
        <x:f>TEXT(G267,"yyyy-mm")</x:f>
        <x:v>2025-09</x:v>
      </x:c>
    </x:row>
    <x:row r="268" ht="19" customHeight="1">
      <x:c r="A268" s="2" t="n">
        <x:v>45924</x:v>
      </x:c>
      <x:c r="B268" t="str">
        <x:f>CHOOSE(WEEKDAY(A268,2),"Lunes","Martes","Miércoles","Jueves","Viernes","Sábado","Domingo")</x:f>
        <x:v>Miércoles</x:v>
      </x:c>
      <x:c r="C268" t="str">
        <x:f>IF(COUNTIF(FERIADOS!$A$2:$A$250,A268)&gt;0,"SÍ","NO")</x:f>
        <x:v>NO</x:v>
      </x:c>
      <x:c r="D268" t="str">
        <x:f>IF(AND(WEEKDAY(A268,2)&lt;=5,C268="NO"),"SÍ","NO")</x:f>
        <x:v>SÍ</x:v>
      </x:c>
      <x:c r="E268" s="2" t="n">
        <x:f>WORKDAY.INTL(A268-1,1,1,FERIADOS!$A$2:$A$250)</x:f>
        <x:v>45924</x:v>
      </x:c>
      <x:c r="F268" t="str">
        <x:f>IF(E268&gt;=WORKDAY.INTL(EOMONTH(E268,0)+1,-2,1,FERIADOS!$A$2:$A$250),"SÍ","NO")</x:f>
        <x:v>NO</x:v>
      </x:c>
      <x:c r="G268" s="10" t="n">
        <x:f>IF(F268="SÍ",EOMONTH(E268,0)+1,DATE(YEAR(E268),MONTH(E268),1))</x:f>
        <x:v>45901</x:v>
      </x:c>
      <x:c r="H268" t="str">
        <x:f>IF(D268="NO",IF(C268="SÍ","FERIADO","FIN DE SEMANA"),"LABORABLE")&amp;IF(F268="SÍ"," + CIERRE","")</x:f>
        <x:v>LABORABLE</x:v>
      </x:c>
      <x:c r="I268" t="str">
        <x:f>TEXT(G268,"yyyy-mm")</x:f>
        <x:v>2025-09</x:v>
      </x:c>
    </x:row>
    <x:row r="269" ht="19" customHeight="1">
      <x:c r="A269" s="2" t="n">
        <x:v>45925</x:v>
      </x:c>
      <x:c r="B269" t="str">
        <x:f>CHOOSE(WEEKDAY(A269,2),"Lunes","Martes","Miércoles","Jueves","Viernes","Sábado","Domingo")</x:f>
        <x:v>Jueves</x:v>
      </x:c>
      <x:c r="C269" t="str">
        <x:f>IF(COUNTIF(FERIADOS!$A$2:$A$250,A269)&gt;0,"SÍ","NO")</x:f>
        <x:v>NO</x:v>
      </x:c>
      <x:c r="D269" t="str">
        <x:f>IF(AND(WEEKDAY(A269,2)&lt;=5,C269="NO"),"SÍ","NO")</x:f>
        <x:v>SÍ</x:v>
      </x:c>
      <x:c r="E269" s="2" t="n">
        <x:f>WORKDAY.INTL(A269-1,1,1,FERIADOS!$A$2:$A$250)</x:f>
        <x:v>45925</x:v>
      </x:c>
      <x:c r="F269" t="str">
        <x:f>IF(E269&gt;=WORKDAY.INTL(EOMONTH(E269,0)+1,-2,1,FERIADOS!$A$2:$A$250),"SÍ","NO")</x:f>
        <x:v>NO</x:v>
      </x:c>
      <x:c r="G269" s="10" t="n">
        <x:f>IF(F269="SÍ",EOMONTH(E269,0)+1,DATE(YEAR(E269),MONTH(E269),1))</x:f>
        <x:v>45901</x:v>
      </x:c>
      <x:c r="H269" t="str">
        <x:f>IF(D269="NO",IF(C269="SÍ","FERIADO","FIN DE SEMANA"),"LABORABLE")&amp;IF(F269="SÍ"," + CIERRE","")</x:f>
        <x:v>LABORABLE</x:v>
      </x:c>
      <x:c r="I269" t="str">
        <x:f>TEXT(G269,"yyyy-mm")</x:f>
        <x:v>2025-09</x:v>
      </x:c>
    </x:row>
    <x:row r="270" ht="19" customHeight="1">
      <x:c r="A270" s="2" t="n">
        <x:v>45926</x:v>
      </x:c>
      <x:c r="B270" t="str">
        <x:f>CHOOSE(WEEKDAY(A270,2),"Lunes","Martes","Miércoles","Jueves","Viernes","Sábado","Domingo")</x:f>
        <x:v>Viernes</x:v>
      </x:c>
      <x:c r="C270" t="str">
        <x:f>IF(COUNTIF(FERIADOS!$A$2:$A$250,A270)&gt;0,"SÍ","NO")</x:f>
        <x:v>NO</x:v>
      </x:c>
      <x:c r="D270" t="str">
        <x:f>IF(AND(WEEKDAY(A270,2)&lt;=5,C270="NO"),"SÍ","NO")</x:f>
        <x:v>SÍ</x:v>
      </x:c>
      <x:c r="E270" s="2" t="n">
        <x:f>WORKDAY.INTL(A270-1,1,1,FERIADOS!$A$2:$A$250)</x:f>
        <x:v>45926</x:v>
      </x:c>
      <x:c r="F270" t="str">
        <x:f>IF(E270&gt;=WORKDAY.INTL(EOMONTH(E270,0)+1,-2,1,FERIADOS!$A$2:$A$250),"SÍ","NO")</x:f>
        <x:v>NO</x:v>
      </x:c>
      <x:c r="G270" s="10" t="n">
        <x:f>IF(F270="SÍ",EOMONTH(E270,0)+1,DATE(YEAR(E270),MONTH(E270),1))</x:f>
        <x:v>45901</x:v>
      </x:c>
      <x:c r="H270" t="str">
        <x:f>IF(D270="NO",IF(C270="SÍ","FERIADO","FIN DE SEMANA"),"LABORABLE")&amp;IF(F270="SÍ"," + CIERRE","")</x:f>
        <x:v>LABORABLE</x:v>
      </x:c>
      <x:c r="I270" t="str">
        <x:f>TEXT(G270,"yyyy-mm")</x:f>
        <x:v>2025-09</x:v>
      </x:c>
    </x:row>
    <x:row r="271" ht="19" customHeight="1">
      <x:c r="A271" s="2" t="n">
        <x:v>45927</x:v>
      </x:c>
      <x:c r="B271" t="str">
        <x:f>CHOOSE(WEEKDAY(A271,2),"Lunes","Martes","Miércoles","Jueves","Viernes","Sábado","Domingo")</x:f>
        <x:v>Sábado</x:v>
      </x:c>
      <x:c r="C271" t="str">
        <x:f>IF(COUNTIF(FERIADOS!$A$2:$A$250,A271)&gt;0,"SÍ","NO")</x:f>
        <x:v>NO</x:v>
      </x:c>
      <x:c r="D271" t="str">
        <x:f>IF(AND(WEEKDAY(A271,2)&lt;=5,C271="NO"),"SÍ","NO")</x:f>
        <x:v>NO</x:v>
      </x:c>
      <x:c r="E271" s="2" t="n">
        <x:f>WORKDAY.INTL(A271-1,1,1,FERIADOS!$A$2:$A$250)</x:f>
        <x:v>45929</x:v>
      </x:c>
      <x:c r="F271" t="str">
        <x:f>IF(E271&gt;=WORKDAY.INTL(EOMONTH(E271,0)+1,-2,1,FERIADOS!$A$2:$A$250),"SÍ","NO")</x:f>
        <x:v>SÍ</x:v>
      </x:c>
      <x:c r="G271" s="10" t="n">
        <x:f>IF(F271="SÍ",EOMONTH(E271,0)+1,DATE(YEAR(E271),MONTH(E271),1))</x:f>
        <x:v>45931</x:v>
      </x:c>
      <x:c r="H271" t="str">
        <x:f>IF(D271="NO",IF(C271="SÍ","FERIADO","FIN DE SEMANA"),"LABORABLE")&amp;IF(F271="SÍ"," + CIERRE","")</x:f>
        <x:v>FIN DE SEMANA + CIERRE</x:v>
      </x:c>
      <x:c r="I271" t="str">
        <x:f>TEXT(G271,"yyyy-mm")</x:f>
        <x:v>2025-10</x:v>
      </x:c>
    </x:row>
    <x:row r="272" ht="19" customHeight="1">
      <x:c r="A272" s="2" t="n">
        <x:v>45928</x:v>
      </x:c>
      <x:c r="B272" t="str">
        <x:f>CHOOSE(WEEKDAY(A272,2),"Lunes","Martes","Miércoles","Jueves","Viernes","Sábado","Domingo")</x:f>
        <x:v>Domingo</x:v>
      </x:c>
      <x:c r="C272" t="str">
        <x:f>IF(COUNTIF(FERIADOS!$A$2:$A$250,A272)&gt;0,"SÍ","NO")</x:f>
        <x:v>NO</x:v>
      </x:c>
      <x:c r="D272" t="str">
        <x:f>IF(AND(WEEKDAY(A272,2)&lt;=5,C272="NO"),"SÍ","NO")</x:f>
        <x:v>NO</x:v>
      </x:c>
      <x:c r="E272" s="2" t="n">
        <x:f>WORKDAY.INTL(A272-1,1,1,FERIADOS!$A$2:$A$250)</x:f>
        <x:v>45929</x:v>
      </x:c>
      <x:c r="F272" t="str">
        <x:f>IF(E272&gt;=WORKDAY.INTL(EOMONTH(E272,0)+1,-2,1,FERIADOS!$A$2:$A$250),"SÍ","NO")</x:f>
        <x:v>SÍ</x:v>
      </x:c>
      <x:c r="G272" s="10" t="n">
        <x:f>IF(F272="SÍ",EOMONTH(E272,0)+1,DATE(YEAR(E272),MONTH(E272),1))</x:f>
        <x:v>45931</x:v>
      </x:c>
      <x:c r="H272" t="str">
        <x:f>IF(D272="NO",IF(C272="SÍ","FERIADO","FIN DE SEMANA"),"LABORABLE")&amp;IF(F272="SÍ"," + CIERRE","")</x:f>
        <x:v>FIN DE SEMANA + CIERRE</x:v>
      </x:c>
      <x:c r="I272" t="str">
        <x:f>TEXT(G272,"yyyy-mm")</x:f>
        <x:v>2025-10</x:v>
      </x:c>
    </x:row>
    <x:row r="273" ht="19" customHeight="1">
      <x:c r="A273" s="2" t="n">
        <x:v>45929</x:v>
      </x:c>
      <x:c r="B273" t="str">
        <x:f>CHOOSE(WEEKDAY(A273,2),"Lunes","Martes","Miércoles","Jueves","Viernes","Sábado","Domingo")</x:f>
        <x:v>Lunes</x:v>
      </x:c>
      <x:c r="C273" t="str">
        <x:f>IF(COUNTIF(FERIADOS!$A$2:$A$250,A273)&gt;0,"SÍ","NO")</x:f>
        <x:v>NO</x:v>
      </x:c>
      <x:c r="D273" t="str">
        <x:f>IF(AND(WEEKDAY(A273,2)&lt;=5,C273="NO"),"SÍ","NO")</x:f>
        <x:v>SÍ</x:v>
      </x:c>
      <x:c r="E273" s="2" t="n">
        <x:f>WORKDAY.INTL(A273-1,1,1,FERIADOS!$A$2:$A$250)</x:f>
        <x:v>45929</x:v>
      </x:c>
      <x:c r="F273" t="str">
        <x:f>IF(E273&gt;=WORKDAY.INTL(EOMONTH(E273,0)+1,-2,1,FERIADOS!$A$2:$A$250),"SÍ","NO")</x:f>
        <x:v>SÍ</x:v>
      </x:c>
      <x:c r="G273" s="10" t="n">
        <x:f>IF(F273="SÍ",EOMONTH(E273,0)+1,DATE(YEAR(E273),MONTH(E273),1))</x:f>
        <x:v>45931</x:v>
      </x:c>
      <x:c r="H273" t="str">
        <x:f>IF(D273="NO",IF(C273="SÍ","FERIADO","FIN DE SEMANA"),"LABORABLE")&amp;IF(F273="SÍ"," + CIERRE","")</x:f>
        <x:v>LABORABLE + CIERRE</x:v>
      </x:c>
      <x:c r="I273" t="str">
        <x:f>TEXT(G273,"yyyy-mm")</x:f>
        <x:v>2025-10</x:v>
      </x:c>
    </x:row>
    <x:row r="274" ht="19" customHeight="1">
      <x:c r="A274" s="2" t="n">
        <x:v>45930</x:v>
      </x:c>
      <x:c r="B274" t="str">
        <x:f>CHOOSE(WEEKDAY(A274,2),"Lunes","Martes","Miércoles","Jueves","Viernes","Sábado","Domingo")</x:f>
        <x:v>Martes</x:v>
      </x:c>
      <x:c r="C274" t="str">
        <x:f>IF(COUNTIF(FERIADOS!$A$2:$A$250,A274)&gt;0,"SÍ","NO")</x:f>
        <x:v>NO</x:v>
      </x:c>
      <x:c r="D274" t="str">
        <x:f>IF(AND(WEEKDAY(A274,2)&lt;=5,C274="NO"),"SÍ","NO")</x:f>
        <x:v>SÍ</x:v>
      </x:c>
      <x:c r="E274" s="2" t="n">
        <x:f>WORKDAY.INTL(A274-1,1,1,FERIADOS!$A$2:$A$250)</x:f>
        <x:v>45930</x:v>
      </x:c>
      <x:c r="F274" t="str">
        <x:f>IF(E274&gt;=WORKDAY.INTL(EOMONTH(E274,0)+1,-2,1,FERIADOS!$A$2:$A$250),"SÍ","NO")</x:f>
        <x:v>SÍ</x:v>
      </x:c>
      <x:c r="G274" s="10" t="n">
        <x:f>IF(F274="SÍ",EOMONTH(E274,0)+1,DATE(YEAR(E274),MONTH(E274),1))</x:f>
        <x:v>45931</x:v>
      </x:c>
      <x:c r="H274" t="str">
        <x:f>IF(D274="NO",IF(C274="SÍ","FERIADO","FIN DE SEMANA"),"LABORABLE")&amp;IF(F274="SÍ"," + CIERRE","")</x:f>
        <x:v>LABORABLE + CIERRE</x:v>
      </x:c>
      <x:c r="I274" t="str">
        <x:f>TEXT(G274,"yyyy-mm")</x:f>
        <x:v>2025-10</x:v>
      </x:c>
    </x:row>
    <x:row r="275" ht="19" customHeight="1">
      <x:c r="A275" s="2" t="n">
        <x:v>45931</x:v>
      </x:c>
      <x:c r="B275" t="str">
        <x:f>CHOOSE(WEEKDAY(A275,2),"Lunes","Martes","Miércoles","Jueves","Viernes","Sábado","Domingo")</x:f>
        <x:v>Miércoles</x:v>
      </x:c>
      <x:c r="C275" t="str">
        <x:f>IF(COUNTIF(FERIADOS!$A$2:$A$250,A275)&gt;0,"SÍ","NO")</x:f>
        <x:v>NO</x:v>
      </x:c>
      <x:c r="D275" t="str">
        <x:f>IF(AND(WEEKDAY(A275,2)&lt;=5,C275="NO"),"SÍ","NO")</x:f>
        <x:v>SÍ</x:v>
      </x:c>
      <x:c r="E275" s="2" t="n">
        <x:f>WORKDAY.INTL(A275-1,1,1,FERIADOS!$A$2:$A$250)</x:f>
        <x:v>45931</x:v>
      </x:c>
      <x:c r="F275" t="str">
        <x:f>IF(E275&gt;=WORKDAY.INTL(EOMONTH(E275,0)+1,-2,1,FERIADOS!$A$2:$A$250),"SÍ","NO")</x:f>
        <x:v>NO</x:v>
      </x:c>
      <x:c r="G275" s="10" t="n">
        <x:f>IF(F275="SÍ",EOMONTH(E275,0)+1,DATE(YEAR(E275),MONTH(E275),1))</x:f>
        <x:v>45931</x:v>
      </x:c>
      <x:c r="H275" t="str">
        <x:f>IF(D275="NO",IF(C275="SÍ","FERIADO","FIN DE SEMANA"),"LABORABLE")&amp;IF(F275="SÍ"," + CIERRE","")</x:f>
        <x:v>LABORABLE</x:v>
      </x:c>
      <x:c r="I275" t="str">
        <x:f>TEXT(G275,"yyyy-mm")</x:f>
        <x:v>2025-10</x:v>
      </x:c>
    </x:row>
    <x:row r="276" ht="19" customHeight="1">
      <x:c r="A276" s="2" t="n">
        <x:v>45932</x:v>
      </x:c>
      <x:c r="B276" t="str">
        <x:f>CHOOSE(WEEKDAY(A276,2),"Lunes","Martes","Miércoles","Jueves","Viernes","Sábado","Domingo")</x:f>
        <x:v>Jueves</x:v>
      </x:c>
      <x:c r="C276" t="str">
        <x:f>IF(COUNTIF(FERIADOS!$A$2:$A$250,A276)&gt;0,"SÍ","NO")</x:f>
        <x:v>NO</x:v>
      </x:c>
      <x:c r="D276" t="str">
        <x:f>IF(AND(WEEKDAY(A276,2)&lt;=5,C276="NO"),"SÍ","NO")</x:f>
        <x:v>SÍ</x:v>
      </x:c>
      <x:c r="E276" s="2" t="n">
        <x:f>WORKDAY.INTL(A276-1,1,1,FERIADOS!$A$2:$A$250)</x:f>
        <x:v>45932</x:v>
      </x:c>
      <x:c r="F276" t="str">
        <x:f>IF(E276&gt;=WORKDAY.INTL(EOMONTH(E276,0)+1,-2,1,FERIADOS!$A$2:$A$250),"SÍ","NO")</x:f>
        <x:v>NO</x:v>
      </x:c>
      <x:c r="G276" s="10" t="n">
        <x:f>IF(F276="SÍ",EOMONTH(E276,0)+1,DATE(YEAR(E276),MONTH(E276),1))</x:f>
        <x:v>45931</x:v>
      </x:c>
      <x:c r="H276" t="str">
        <x:f>IF(D276="NO",IF(C276="SÍ","FERIADO","FIN DE SEMANA"),"LABORABLE")&amp;IF(F276="SÍ"," + CIERRE","")</x:f>
        <x:v>LABORABLE</x:v>
      </x:c>
      <x:c r="I276" t="str">
        <x:f>TEXT(G276,"yyyy-mm")</x:f>
        <x:v>2025-10</x:v>
      </x:c>
    </x:row>
    <x:row r="277" ht="19" customHeight="1">
      <x:c r="A277" s="2" t="n">
        <x:v>45933</x:v>
      </x:c>
      <x:c r="B277" t="str">
        <x:f>CHOOSE(WEEKDAY(A277,2),"Lunes","Martes","Miércoles","Jueves","Viernes","Sábado","Domingo")</x:f>
        <x:v>Viernes</x:v>
      </x:c>
      <x:c r="C277" t="str">
        <x:f>IF(COUNTIF(FERIADOS!$A$2:$A$250,A277)&gt;0,"SÍ","NO")</x:f>
        <x:v>NO</x:v>
      </x:c>
      <x:c r="D277" t="str">
        <x:f>IF(AND(WEEKDAY(A277,2)&lt;=5,C277="NO"),"SÍ","NO")</x:f>
        <x:v>SÍ</x:v>
      </x:c>
      <x:c r="E277" s="2" t="n">
        <x:f>WORKDAY.INTL(A277-1,1,1,FERIADOS!$A$2:$A$250)</x:f>
        <x:v>45933</x:v>
      </x:c>
      <x:c r="F277" t="str">
        <x:f>IF(E277&gt;=WORKDAY.INTL(EOMONTH(E277,0)+1,-2,1,FERIADOS!$A$2:$A$250),"SÍ","NO")</x:f>
        <x:v>NO</x:v>
      </x:c>
      <x:c r="G277" s="10" t="n">
        <x:f>IF(F277="SÍ",EOMONTH(E277,0)+1,DATE(YEAR(E277),MONTH(E277),1))</x:f>
        <x:v>45931</x:v>
      </x:c>
      <x:c r="H277" t="str">
        <x:f>IF(D277="NO",IF(C277="SÍ","FERIADO","FIN DE SEMANA"),"LABORABLE")&amp;IF(F277="SÍ"," + CIERRE","")</x:f>
        <x:v>LABORABLE</x:v>
      </x:c>
      <x:c r="I277" t="str">
        <x:f>TEXT(G277,"yyyy-mm")</x:f>
        <x:v>2025-10</x:v>
      </x:c>
    </x:row>
    <x:row r="278" ht="19" customHeight="1">
      <x:c r="A278" s="2" t="n">
        <x:v>45934</x:v>
      </x:c>
      <x:c r="B278" t="str">
        <x:f>CHOOSE(WEEKDAY(A278,2),"Lunes","Martes","Miércoles","Jueves","Viernes","Sábado","Domingo")</x:f>
        <x:v>Sábado</x:v>
      </x:c>
      <x:c r="C278" t="str">
        <x:f>IF(COUNTIF(FERIADOS!$A$2:$A$250,A278)&gt;0,"SÍ","NO")</x:f>
        <x:v>NO</x:v>
      </x:c>
      <x:c r="D278" t="str">
        <x:f>IF(AND(WEEKDAY(A278,2)&lt;=5,C278="NO"),"SÍ","NO")</x:f>
        <x:v>NO</x:v>
      </x:c>
      <x:c r="E278" s="2" t="n">
        <x:f>WORKDAY.INTL(A278-1,1,1,FERIADOS!$A$2:$A$250)</x:f>
        <x:v>45936</x:v>
      </x:c>
      <x:c r="F278" t="str">
        <x:f>IF(E278&gt;=WORKDAY.INTL(EOMONTH(E278,0)+1,-2,1,FERIADOS!$A$2:$A$250),"SÍ","NO")</x:f>
        <x:v>NO</x:v>
      </x:c>
      <x:c r="G278" s="10" t="n">
        <x:f>IF(F278="SÍ",EOMONTH(E278,0)+1,DATE(YEAR(E278),MONTH(E278),1))</x:f>
        <x:v>45931</x:v>
      </x:c>
      <x:c r="H278" t="str">
        <x:f>IF(D278="NO",IF(C278="SÍ","FERIADO","FIN DE SEMANA"),"LABORABLE")&amp;IF(F278="SÍ"," + CIERRE","")</x:f>
        <x:v>FIN DE SEMANA</x:v>
      </x:c>
      <x:c r="I278" t="str">
        <x:f>TEXT(G278,"yyyy-mm")</x:f>
        <x:v>2025-10</x:v>
      </x:c>
    </x:row>
    <x:row r="279" ht="19" customHeight="1">
      <x:c r="A279" s="2" t="n">
        <x:v>45935</x:v>
      </x:c>
      <x:c r="B279" t="str">
        <x:f>CHOOSE(WEEKDAY(A279,2),"Lunes","Martes","Miércoles","Jueves","Viernes","Sábado","Domingo")</x:f>
        <x:v>Domingo</x:v>
      </x:c>
      <x:c r="C279" t="str">
        <x:f>IF(COUNTIF(FERIADOS!$A$2:$A$250,A279)&gt;0,"SÍ","NO")</x:f>
        <x:v>NO</x:v>
      </x:c>
      <x:c r="D279" t="str">
        <x:f>IF(AND(WEEKDAY(A279,2)&lt;=5,C279="NO"),"SÍ","NO")</x:f>
        <x:v>NO</x:v>
      </x:c>
      <x:c r="E279" s="2" t="n">
        <x:f>WORKDAY.INTL(A279-1,1,1,FERIADOS!$A$2:$A$250)</x:f>
        <x:v>45936</x:v>
      </x:c>
      <x:c r="F279" t="str">
        <x:f>IF(E279&gt;=WORKDAY.INTL(EOMONTH(E279,0)+1,-2,1,FERIADOS!$A$2:$A$250),"SÍ","NO")</x:f>
        <x:v>NO</x:v>
      </x:c>
      <x:c r="G279" s="10" t="n">
        <x:f>IF(F279="SÍ",EOMONTH(E279,0)+1,DATE(YEAR(E279),MONTH(E279),1))</x:f>
        <x:v>45931</x:v>
      </x:c>
      <x:c r="H279" t="str">
        <x:f>IF(D279="NO",IF(C279="SÍ","FERIADO","FIN DE SEMANA"),"LABORABLE")&amp;IF(F279="SÍ"," + CIERRE","")</x:f>
        <x:v>FIN DE SEMANA</x:v>
      </x:c>
      <x:c r="I279" t="str">
        <x:f>TEXT(G279,"yyyy-mm")</x:f>
        <x:v>2025-10</x:v>
      </x:c>
    </x:row>
    <x:row r="280" ht="19" customHeight="1">
      <x:c r="A280" s="2" t="n">
        <x:v>45936</x:v>
      </x:c>
      <x:c r="B280" t="str">
        <x:f>CHOOSE(WEEKDAY(A280,2),"Lunes","Martes","Miércoles","Jueves","Viernes","Sábado","Domingo")</x:f>
        <x:v>Lunes</x:v>
      </x:c>
      <x:c r="C280" t="str">
        <x:f>IF(COUNTIF(FERIADOS!$A$2:$A$250,A280)&gt;0,"SÍ","NO")</x:f>
        <x:v>NO</x:v>
      </x:c>
      <x:c r="D280" t="str">
        <x:f>IF(AND(WEEKDAY(A280,2)&lt;=5,C280="NO"),"SÍ","NO")</x:f>
        <x:v>SÍ</x:v>
      </x:c>
      <x:c r="E280" s="2" t="n">
        <x:f>WORKDAY.INTL(A280-1,1,1,FERIADOS!$A$2:$A$250)</x:f>
        <x:v>45936</x:v>
      </x:c>
      <x:c r="F280" t="str">
        <x:f>IF(E280&gt;=WORKDAY.INTL(EOMONTH(E280,0)+1,-2,1,FERIADOS!$A$2:$A$250),"SÍ","NO")</x:f>
        <x:v>NO</x:v>
      </x:c>
      <x:c r="G280" s="10" t="n">
        <x:f>IF(F280="SÍ",EOMONTH(E280,0)+1,DATE(YEAR(E280),MONTH(E280),1))</x:f>
        <x:v>45931</x:v>
      </x:c>
      <x:c r="H280" t="str">
        <x:f>IF(D280="NO",IF(C280="SÍ","FERIADO","FIN DE SEMANA"),"LABORABLE")&amp;IF(F280="SÍ"," + CIERRE","")</x:f>
        <x:v>LABORABLE</x:v>
      </x:c>
      <x:c r="I280" t="str">
        <x:f>TEXT(G280,"yyyy-mm")</x:f>
        <x:v>2025-10</x:v>
      </x:c>
    </x:row>
    <x:row r="281" ht="19" customHeight="1">
      <x:c r="A281" s="2" t="n">
        <x:v>45937</x:v>
      </x:c>
      <x:c r="B281" t="str">
        <x:f>CHOOSE(WEEKDAY(A281,2),"Lunes","Martes","Miércoles","Jueves","Viernes","Sábado","Domingo")</x:f>
        <x:v>Martes</x:v>
      </x:c>
      <x:c r="C281" t="str">
        <x:f>IF(COUNTIF(FERIADOS!$A$2:$A$250,A281)&gt;0,"SÍ","NO")</x:f>
        <x:v>NO</x:v>
      </x:c>
      <x:c r="D281" t="str">
        <x:f>IF(AND(WEEKDAY(A281,2)&lt;=5,C281="NO"),"SÍ","NO")</x:f>
        <x:v>SÍ</x:v>
      </x:c>
      <x:c r="E281" s="2" t="n">
        <x:f>WORKDAY.INTL(A281-1,1,1,FERIADOS!$A$2:$A$250)</x:f>
        <x:v>45937</x:v>
      </x:c>
      <x:c r="F281" t="str">
        <x:f>IF(E281&gt;=WORKDAY.INTL(EOMONTH(E281,0)+1,-2,1,FERIADOS!$A$2:$A$250),"SÍ","NO")</x:f>
        <x:v>NO</x:v>
      </x:c>
      <x:c r="G281" s="10" t="n">
        <x:f>IF(F281="SÍ",EOMONTH(E281,0)+1,DATE(YEAR(E281),MONTH(E281),1))</x:f>
        <x:v>45931</x:v>
      </x:c>
      <x:c r="H281" t="str">
        <x:f>IF(D281="NO",IF(C281="SÍ","FERIADO","FIN DE SEMANA"),"LABORABLE")&amp;IF(F281="SÍ"," + CIERRE","")</x:f>
        <x:v>LABORABLE</x:v>
      </x:c>
      <x:c r="I281" t="str">
        <x:f>TEXT(G281,"yyyy-mm")</x:f>
        <x:v>2025-10</x:v>
      </x:c>
    </x:row>
    <x:row r="282" ht="19" customHeight="1">
      <x:c r="A282" s="2" t="n">
        <x:v>45938</x:v>
      </x:c>
      <x:c r="B282" t="str">
        <x:f>CHOOSE(WEEKDAY(A282,2),"Lunes","Martes","Miércoles","Jueves","Viernes","Sábado","Domingo")</x:f>
        <x:v>Miércoles</x:v>
      </x:c>
      <x:c r="C282" t="str">
        <x:f>IF(COUNTIF(FERIADOS!$A$2:$A$250,A282)&gt;0,"SÍ","NO")</x:f>
        <x:v>NO</x:v>
      </x:c>
      <x:c r="D282" t="str">
        <x:f>IF(AND(WEEKDAY(A282,2)&lt;=5,C282="NO"),"SÍ","NO")</x:f>
        <x:v>SÍ</x:v>
      </x:c>
      <x:c r="E282" s="2" t="n">
        <x:f>WORKDAY.INTL(A282-1,1,1,FERIADOS!$A$2:$A$250)</x:f>
        <x:v>45938</x:v>
      </x:c>
      <x:c r="F282" t="str">
        <x:f>IF(E282&gt;=WORKDAY.INTL(EOMONTH(E282,0)+1,-2,1,FERIADOS!$A$2:$A$250),"SÍ","NO")</x:f>
        <x:v>NO</x:v>
      </x:c>
      <x:c r="G282" s="10" t="n">
        <x:f>IF(F282="SÍ",EOMONTH(E282,0)+1,DATE(YEAR(E282),MONTH(E282),1))</x:f>
        <x:v>45931</x:v>
      </x:c>
      <x:c r="H282" t="str">
        <x:f>IF(D282="NO",IF(C282="SÍ","FERIADO","FIN DE SEMANA"),"LABORABLE")&amp;IF(F282="SÍ"," + CIERRE","")</x:f>
        <x:v>LABORABLE</x:v>
      </x:c>
      <x:c r="I282" t="str">
        <x:f>TEXT(G282,"yyyy-mm")</x:f>
        <x:v>2025-10</x:v>
      </x:c>
    </x:row>
    <x:row r="283" ht="19" customHeight="1">
      <x:c r="A283" s="2" t="n">
        <x:v>45939</x:v>
      </x:c>
      <x:c r="B283" t="str">
        <x:f>CHOOSE(WEEKDAY(A283,2),"Lunes","Martes","Miércoles","Jueves","Viernes","Sábado","Domingo")</x:f>
        <x:v>Jueves</x:v>
      </x:c>
      <x:c r="C283" t="str">
        <x:f>IF(COUNTIF(FERIADOS!$A$2:$A$250,A283)&gt;0,"SÍ","NO")</x:f>
        <x:v>NO</x:v>
      </x:c>
      <x:c r="D283" t="str">
        <x:f>IF(AND(WEEKDAY(A283,2)&lt;=5,C283="NO"),"SÍ","NO")</x:f>
        <x:v>SÍ</x:v>
      </x:c>
      <x:c r="E283" s="2" t="n">
        <x:f>WORKDAY.INTL(A283-1,1,1,FERIADOS!$A$2:$A$250)</x:f>
        <x:v>45939</x:v>
      </x:c>
      <x:c r="F283" t="str">
        <x:f>IF(E283&gt;=WORKDAY.INTL(EOMONTH(E283,0)+1,-2,1,FERIADOS!$A$2:$A$250),"SÍ","NO")</x:f>
        <x:v>NO</x:v>
      </x:c>
      <x:c r="G283" s="10" t="n">
        <x:f>IF(F283="SÍ",EOMONTH(E283,0)+1,DATE(YEAR(E283),MONTH(E283),1))</x:f>
        <x:v>45931</x:v>
      </x:c>
      <x:c r="H283" t="str">
        <x:f>IF(D283="NO",IF(C283="SÍ","FERIADO","FIN DE SEMANA"),"LABORABLE")&amp;IF(F283="SÍ"," + CIERRE","")</x:f>
        <x:v>LABORABLE</x:v>
      </x:c>
      <x:c r="I283" t="str">
        <x:f>TEXT(G283,"yyyy-mm")</x:f>
        <x:v>2025-10</x:v>
      </x:c>
    </x:row>
    <x:row r="284" ht="19" customHeight="1">
      <x:c r="A284" s="2" t="n">
        <x:v>45940</x:v>
      </x:c>
      <x:c r="B284" t="str">
        <x:f>CHOOSE(WEEKDAY(A284,2),"Lunes","Martes","Miércoles","Jueves","Viernes","Sábado","Domingo")</x:f>
        <x:v>Viernes</x:v>
      </x:c>
      <x:c r="C284" t="str">
        <x:f>IF(COUNTIF(FERIADOS!$A$2:$A$250,A284)&gt;0,"SÍ","NO")</x:f>
        <x:v>SÍ</x:v>
      </x:c>
      <x:c r="D284" t="str">
        <x:f>IF(AND(WEEKDAY(A284,2)&lt;=5,C284="NO"),"SÍ","NO")</x:f>
        <x:v>NO</x:v>
      </x:c>
      <x:c r="E284" s="2" t="n">
        <x:f>WORKDAY.INTL(A284-1,1,1,FERIADOS!$A$2:$A$250)</x:f>
        <x:v>45943</x:v>
      </x:c>
      <x:c r="F284" t="str">
        <x:f>IF(E284&gt;=WORKDAY.INTL(EOMONTH(E284,0)+1,-2,1,FERIADOS!$A$2:$A$250),"SÍ","NO")</x:f>
        <x:v>NO</x:v>
      </x:c>
      <x:c r="G284" s="10" t="n">
        <x:f>IF(F284="SÍ",EOMONTH(E284,0)+1,DATE(YEAR(E284),MONTH(E284),1))</x:f>
        <x:v>45931</x:v>
      </x:c>
      <x:c r="H284" t="str">
        <x:f>IF(D284="NO",IF(C284="SÍ","FERIADO","FIN DE SEMANA"),"LABORABLE")&amp;IF(F284="SÍ"," + CIERRE","")</x:f>
        <x:v>FERIADO</x:v>
      </x:c>
      <x:c r="I284" t="str">
        <x:f>TEXT(G284,"yyyy-mm")</x:f>
        <x:v>2025-10</x:v>
      </x:c>
    </x:row>
    <x:row r="285" ht="19" customHeight="1">
      <x:c r="A285" s="2" t="n">
        <x:v>45941</x:v>
      </x:c>
      <x:c r="B285" t="str">
        <x:f>CHOOSE(WEEKDAY(A285,2),"Lunes","Martes","Miércoles","Jueves","Viernes","Sábado","Domingo")</x:f>
        <x:v>Sábado</x:v>
      </x:c>
      <x:c r="C285" t="str">
        <x:f>IF(COUNTIF(FERIADOS!$A$2:$A$250,A285)&gt;0,"SÍ","NO")</x:f>
        <x:v>NO</x:v>
      </x:c>
      <x:c r="D285" t="str">
        <x:f>IF(AND(WEEKDAY(A285,2)&lt;=5,C285="NO"),"SÍ","NO")</x:f>
        <x:v>NO</x:v>
      </x:c>
      <x:c r="E285" s="2" t="n">
        <x:f>WORKDAY.INTL(A285-1,1,1,FERIADOS!$A$2:$A$250)</x:f>
        <x:v>45943</x:v>
      </x:c>
      <x:c r="F285" t="str">
        <x:f>IF(E285&gt;=WORKDAY.INTL(EOMONTH(E285,0)+1,-2,1,FERIADOS!$A$2:$A$250),"SÍ","NO")</x:f>
        <x:v>NO</x:v>
      </x:c>
      <x:c r="G285" s="10" t="n">
        <x:f>IF(F285="SÍ",EOMONTH(E285,0)+1,DATE(YEAR(E285),MONTH(E285),1))</x:f>
        <x:v>45931</x:v>
      </x:c>
      <x:c r="H285" t="str">
        <x:f>IF(D285="NO",IF(C285="SÍ","FERIADO","FIN DE SEMANA"),"LABORABLE")&amp;IF(F285="SÍ"," + CIERRE","")</x:f>
        <x:v>FIN DE SEMANA</x:v>
      </x:c>
      <x:c r="I285" t="str">
        <x:f>TEXT(G285,"yyyy-mm")</x:f>
        <x:v>2025-10</x:v>
      </x:c>
    </x:row>
    <x:row r="286" ht="19" customHeight="1">
      <x:c r="A286" s="2" t="n">
        <x:v>45942</x:v>
      </x:c>
      <x:c r="B286" t="str">
        <x:f>CHOOSE(WEEKDAY(A286,2),"Lunes","Martes","Miércoles","Jueves","Viernes","Sábado","Domingo")</x:f>
        <x:v>Domingo</x:v>
      </x:c>
      <x:c r="C286" t="str">
        <x:f>IF(COUNTIF(FERIADOS!$A$2:$A$250,A286)&gt;0,"SÍ","NO")</x:f>
        <x:v>NO</x:v>
      </x:c>
      <x:c r="D286" t="str">
        <x:f>IF(AND(WEEKDAY(A286,2)&lt;=5,C286="NO"),"SÍ","NO")</x:f>
        <x:v>NO</x:v>
      </x:c>
      <x:c r="E286" s="2" t="n">
        <x:f>WORKDAY.INTL(A286-1,1,1,FERIADOS!$A$2:$A$250)</x:f>
        <x:v>45943</x:v>
      </x:c>
      <x:c r="F286" t="str">
        <x:f>IF(E286&gt;=WORKDAY.INTL(EOMONTH(E286,0)+1,-2,1,FERIADOS!$A$2:$A$250),"SÍ","NO")</x:f>
        <x:v>NO</x:v>
      </x:c>
      <x:c r="G286" s="10" t="n">
        <x:f>IF(F286="SÍ",EOMONTH(E286,0)+1,DATE(YEAR(E286),MONTH(E286),1))</x:f>
        <x:v>45931</x:v>
      </x:c>
      <x:c r="H286" t="str">
        <x:f>IF(D286="NO",IF(C286="SÍ","FERIADO","FIN DE SEMANA"),"LABORABLE")&amp;IF(F286="SÍ"," + CIERRE","")</x:f>
        <x:v>FIN DE SEMANA</x:v>
      </x:c>
      <x:c r="I286" t="str">
        <x:f>TEXT(G286,"yyyy-mm")</x:f>
        <x:v>2025-10</x:v>
      </x:c>
    </x:row>
    <x:row r="287" ht="19" customHeight="1">
      <x:c r="A287" s="2" t="n">
        <x:v>45943</x:v>
      </x:c>
      <x:c r="B287" t="str">
        <x:f>CHOOSE(WEEKDAY(A287,2),"Lunes","Martes","Miércoles","Jueves","Viernes","Sábado","Domingo")</x:f>
        <x:v>Lunes</x:v>
      </x:c>
      <x:c r="C287" t="str">
        <x:f>IF(COUNTIF(FERIADOS!$A$2:$A$250,A287)&gt;0,"SÍ","NO")</x:f>
        <x:v>NO</x:v>
      </x:c>
      <x:c r="D287" t="str">
        <x:f>IF(AND(WEEKDAY(A287,2)&lt;=5,C287="NO"),"SÍ","NO")</x:f>
        <x:v>SÍ</x:v>
      </x:c>
      <x:c r="E287" s="2" t="n">
        <x:f>WORKDAY.INTL(A287-1,1,1,FERIADOS!$A$2:$A$250)</x:f>
        <x:v>45943</x:v>
      </x:c>
      <x:c r="F287" t="str">
        <x:f>IF(E287&gt;=WORKDAY.INTL(EOMONTH(E287,0)+1,-2,1,FERIADOS!$A$2:$A$250),"SÍ","NO")</x:f>
        <x:v>NO</x:v>
      </x:c>
      <x:c r="G287" s="10" t="n">
        <x:f>IF(F287="SÍ",EOMONTH(E287,0)+1,DATE(YEAR(E287),MONTH(E287),1))</x:f>
        <x:v>45931</x:v>
      </x:c>
      <x:c r="H287" t="str">
        <x:f>IF(D287="NO",IF(C287="SÍ","FERIADO","FIN DE SEMANA"),"LABORABLE")&amp;IF(F287="SÍ"," + CIERRE","")</x:f>
        <x:v>LABORABLE</x:v>
      </x:c>
      <x:c r="I287" t="str">
        <x:f>TEXT(G287,"yyyy-mm")</x:f>
        <x:v>2025-10</x:v>
      </x:c>
    </x:row>
    <x:row r="288" ht="19" customHeight="1">
      <x:c r="A288" s="2" t="n">
        <x:v>45944</x:v>
      </x:c>
      <x:c r="B288" t="str">
        <x:f>CHOOSE(WEEKDAY(A288,2),"Lunes","Martes","Miércoles","Jueves","Viernes","Sábado","Domingo")</x:f>
        <x:v>Martes</x:v>
      </x:c>
      <x:c r="C288" t="str">
        <x:f>IF(COUNTIF(FERIADOS!$A$2:$A$250,A288)&gt;0,"SÍ","NO")</x:f>
        <x:v>NO</x:v>
      </x:c>
      <x:c r="D288" t="str">
        <x:f>IF(AND(WEEKDAY(A288,2)&lt;=5,C288="NO"),"SÍ","NO")</x:f>
        <x:v>SÍ</x:v>
      </x:c>
      <x:c r="E288" s="2" t="n">
        <x:f>WORKDAY.INTL(A288-1,1,1,FERIADOS!$A$2:$A$250)</x:f>
        <x:v>45944</x:v>
      </x:c>
      <x:c r="F288" t="str">
        <x:f>IF(E288&gt;=WORKDAY.INTL(EOMONTH(E288,0)+1,-2,1,FERIADOS!$A$2:$A$250),"SÍ","NO")</x:f>
        <x:v>NO</x:v>
      </x:c>
      <x:c r="G288" s="10" t="n">
        <x:f>IF(F288="SÍ",EOMONTH(E288,0)+1,DATE(YEAR(E288),MONTH(E288),1))</x:f>
        <x:v>45931</x:v>
      </x:c>
      <x:c r="H288" t="str">
        <x:f>IF(D288="NO",IF(C288="SÍ","FERIADO","FIN DE SEMANA"),"LABORABLE")&amp;IF(F288="SÍ"," + CIERRE","")</x:f>
        <x:v>LABORABLE</x:v>
      </x:c>
      <x:c r="I288" t="str">
        <x:f>TEXT(G288,"yyyy-mm")</x:f>
        <x:v>2025-10</x:v>
      </x:c>
    </x:row>
    <x:row r="289" ht="19" customHeight="1">
      <x:c r="A289" s="2" t="n">
        <x:v>45945</x:v>
      </x:c>
      <x:c r="B289" t="str">
        <x:f>CHOOSE(WEEKDAY(A289,2),"Lunes","Martes","Miércoles","Jueves","Viernes","Sábado","Domingo")</x:f>
        <x:v>Miércoles</x:v>
      </x:c>
      <x:c r="C289" t="str">
        <x:f>IF(COUNTIF(FERIADOS!$A$2:$A$250,A289)&gt;0,"SÍ","NO")</x:f>
        <x:v>NO</x:v>
      </x:c>
      <x:c r="D289" t="str">
        <x:f>IF(AND(WEEKDAY(A289,2)&lt;=5,C289="NO"),"SÍ","NO")</x:f>
        <x:v>SÍ</x:v>
      </x:c>
      <x:c r="E289" s="2" t="n">
        <x:f>WORKDAY.INTL(A289-1,1,1,FERIADOS!$A$2:$A$250)</x:f>
        <x:v>45945</x:v>
      </x:c>
      <x:c r="F289" t="str">
        <x:f>IF(E289&gt;=WORKDAY.INTL(EOMONTH(E289,0)+1,-2,1,FERIADOS!$A$2:$A$250),"SÍ","NO")</x:f>
        <x:v>NO</x:v>
      </x:c>
      <x:c r="G289" s="10" t="n">
        <x:f>IF(F289="SÍ",EOMONTH(E289,0)+1,DATE(YEAR(E289),MONTH(E289),1))</x:f>
        <x:v>45931</x:v>
      </x:c>
      <x:c r="H289" t="str">
        <x:f>IF(D289="NO",IF(C289="SÍ","FERIADO","FIN DE SEMANA"),"LABORABLE")&amp;IF(F289="SÍ"," + CIERRE","")</x:f>
        <x:v>LABORABLE</x:v>
      </x:c>
      <x:c r="I289" t="str">
        <x:f>TEXT(G289,"yyyy-mm")</x:f>
        <x:v>2025-10</x:v>
      </x:c>
    </x:row>
    <x:row r="290" ht="19" customHeight="1">
      <x:c r="A290" s="2" t="n">
        <x:v>45946</x:v>
      </x:c>
      <x:c r="B290" t="str">
        <x:f>CHOOSE(WEEKDAY(A290,2),"Lunes","Martes","Miércoles","Jueves","Viernes","Sábado","Domingo")</x:f>
        <x:v>Jueves</x:v>
      </x:c>
      <x:c r="C290" t="str">
        <x:f>IF(COUNTIF(FERIADOS!$A$2:$A$250,A290)&gt;0,"SÍ","NO")</x:f>
        <x:v>NO</x:v>
      </x:c>
      <x:c r="D290" t="str">
        <x:f>IF(AND(WEEKDAY(A290,2)&lt;=5,C290="NO"),"SÍ","NO")</x:f>
        <x:v>SÍ</x:v>
      </x:c>
      <x:c r="E290" s="2" t="n">
        <x:f>WORKDAY.INTL(A290-1,1,1,FERIADOS!$A$2:$A$250)</x:f>
        <x:v>45946</x:v>
      </x:c>
      <x:c r="F290" t="str">
        <x:f>IF(E290&gt;=WORKDAY.INTL(EOMONTH(E290,0)+1,-2,1,FERIADOS!$A$2:$A$250),"SÍ","NO")</x:f>
        <x:v>NO</x:v>
      </x:c>
      <x:c r="G290" s="10" t="n">
        <x:f>IF(F290="SÍ",EOMONTH(E290,0)+1,DATE(YEAR(E290),MONTH(E290),1))</x:f>
        <x:v>45931</x:v>
      </x:c>
      <x:c r="H290" t="str">
        <x:f>IF(D290="NO",IF(C290="SÍ","FERIADO","FIN DE SEMANA"),"LABORABLE")&amp;IF(F290="SÍ"," + CIERRE","")</x:f>
        <x:v>LABORABLE</x:v>
      </x:c>
      <x:c r="I290" t="str">
        <x:f>TEXT(G290,"yyyy-mm")</x:f>
        <x:v>2025-10</x:v>
      </x:c>
    </x:row>
    <x:row r="291" ht="19" customHeight="1">
      <x:c r="A291" s="2" t="n">
        <x:v>45947</x:v>
      </x:c>
      <x:c r="B291" t="str">
        <x:f>CHOOSE(WEEKDAY(A291,2),"Lunes","Martes","Miércoles","Jueves","Viernes","Sábado","Domingo")</x:f>
        <x:v>Viernes</x:v>
      </x:c>
      <x:c r="C291" t="str">
        <x:f>IF(COUNTIF(FERIADOS!$A$2:$A$250,A291)&gt;0,"SÍ","NO")</x:f>
        <x:v>NO</x:v>
      </x:c>
      <x:c r="D291" t="str">
        <x:f>IF(AND(WEEKDAY(A291,2)&lt;=5,C291="NO"),"SÍ","NO")</x:f>
        <x:v>SÍ</x:v>
      </x:c>
      <x:c r="E291" s="2" t="n">
        <x:f>WORKDAY.INTL(A291-1,1,1,FERIADOS!$A$2:$A$250)</x:f>
        <x:v>45947</x:v>
      </x:c>
      <x:c r="F291" t="str">
        <x:f>IF(E291&gt;=WORKDAY.INTL(EOMONTH(E291,0)+1,-2,1,FERIADOS!$A$2:$A$250),"SÍ","NO")</x:f>
        <x:v>NO</x:v>
      </x:c>
      <x:c r="G291" s="10" t="n">
        <x:f>IF(F291="SÍ",EOMONTH(E291,0)+1,DATE(YEAR(E291),MONTH(E291),1))</x:f>
        <x:v>45931</x:v>
      </x:c>
      <x:c r="H291" t="str">
        <x:f>IF(D291="NO",IF(C291="SÍ","FERIADO","FIN DE SEMANA"),"LABORABLE")&amp;IF(F291="SÍ"," + CIERRE","")</x:f>
        <x:v>LABORABLE</x:v>
      </x:c>
      <x:c r="I291" t="str">
        <x:f>TEXT(G291,"yyyy-mm")</x:f>
        <x:v>2025-10</x:v>
      </x:c>
    </x:row>
    <x:row r="292" ht="19" customHeight="1">
      <x:c r="A292" s="2" t="n">
        <x:v>45948</x:v>
      </x:c>
      <x:c r="B292" t="str">
        <x:f>CHOOSE(WEEKDAY(A292,2),"Lunes","Martes","Miércoles","Jueves","Viernes","Sábado","Domingo")</x:f>
        <x:v>Sábado</x:v>
      </x:c>
      <x:c r="C292" t="str">
        <x:f>IF(COUNTIF(FERIADOS!$A$2:$A$250,A292)&gt;0,"SÍ","NO")</x:f>
        <x:v>NO</x:v>
      </x:c>
      <x:c r="D292" t="str">
        <x:f>IF(AND(WEEKDAY(A292,2)&lt;=5,C292="NO"),"SÍ","NO")</x:f>
        <x:v>NO</x:v>
      </x:c>
      <x:c r="E292" s="2" t="n">
        <x:f>WORKDAY.INTL(A292-1,1,1,FERIADOS!$A$2:$A$250)</x:f>
        <x:v>45950</x:v>
      </x:c>
      <x:c r="F292" t="str">
        <x:f>IF(E292&gt;=WORKDAY.INTL(EOMONTH(E292,0)+1,-2,1,FERIADOS!$A$2:$A$250),"SÍ","NO")</x:f>
        <x:v>NO</x:v>
      </x:c>
      <x:c r="G292" s="10" t="n">
        <x:f>IF(F292="SÍ",EOMONTH(E292,0)+1,DATE(YEAR(E292),MONTH(E292),1))</x:f>
        <x:v>45931</x:v>
      </x:c>
      <x:c r="H292" t="str">
        <x:f>IF(D292="NO",IF(C292="SÍ","FERIADO","FIN DE SEMANA"),"LABORABLE")&amp;IF(F292="SÍ"," + CIERRE","")</x:f>
        <x:v>FIN DE SEMANA</x:v>
      </x:c>
      <x:c r="I292" t="str">
        <x:f>TEXT(G292,"yyyy-mm")</x:f>
        <x:v>2025-10</x:v>
      </x:c>
    </x:row>
    <x:row r="293" ht="19" customHeight="1">
      <x:c r="A293" s="2" t="n">
        <x:v>45949</x:v>
      </x:c>
      <x:c r="B293" t="str">
        <x:f>CHOOSE(WEEKDAY(A293,2),"Lunes","Martes","Miércoles","Jueves","Viernes","Sábado","Domingo")</x:f>
        <x:v>Domingo</x:v>
      </x:c>
      <x:c r="C293" t="str">
        <x:f>IF(COUNTIF(FERIADOS!$A$2:$A$250,A293)&gt;0,"SÍ","NO")</x:f>
        <x:v>NO</x:v>
      </x:c>
      <x:c r="D293" t="str">
        <x:f>IF(AND(WEEKDAY(A293,2)&lt;=5,C293="NO"),"SÍ","NO")</x:f>
        <x:v>NO</x:v>
      </x:c>
      <x:c r="E293" s="2" t="n">
        <x:f>WORKDAY.INTL(A293-1,1,1,FERIADOS!$A$2:$A$250)</x:f>
        <x:v>45950</x:v>
      </x:c>
      <x:c r="F293" t="str">
        <x:f>IF(E293&gt;=WORKDAY.INTL(EOMONTH(E293,0)+1,-2,1,FERIADOS!$A$2:$A$250),"SÍ","NO")</x:f>
        <x:v>NO</x:v>
      </x:c>
      <x:c r="G293" s="10" t="n">
        <x:f>IF(F293="SÍ",EOMONTH(E293,0)+1,DATE(YEAR(E293),MONTH(E293),1))</x:f>
        <x:v>45931</x:v>
      </x:c>
      <x:c r="H293" t="str">
        <x:f>IF(D293="NO",IF(C293="SÍ","FERIADO","FIN DE SEMANA"),"LABORABLE")&amp;IF(F293="SÍ"," + CIERRE","")</x:f>
        <x:v>FIN DE SEMANA</x:v>
      </x:c>
      <x:c r="I293" t="str">
        <x:f>TEXT(G293,"yyyy-mm")</x:f>
        <x:v>2025-10</x:v>
      </x:c>
    </x:row>
    <x:row r="294" ht="19" customHeight="1">
      <x:c r="A294" s="2" t="n">
        <x:v>45950</x:v>
      </x:c>
      <x:c r="B294" t="str">
        <x:f>CHOOSE(WEEKDAY(A294,2),"Lunes","Martes","Miércoles","Jueves","Viernes","Sábado","Domingo")</x:f>
        <x:v>Lunes</x:v>
      </x:c>
      <x:c r="C294" t="str">
        <x:f>IF(COUNTIF(FERIADOS!$A$2:$A$250,A294)&gt;0,"SÍ","NO")</x:f>
        <x:v>NO</x:v>
      </x:c>
      <x:c r="D294" t="str">
        <x:f>IF(AND(WEEKDAY(A294,2)&lt;=5,C294="NO"),"SÍ","NO")</x:f>
        <x:v>SÍ</x:v>
      </x:c>
      <x:c r="E294" s="2" t="n">
        <x:f>WORKDAY.INTL(A294-1,1,1,FERIADOS!$A$2:$A$250)</x:f>
        <x:v>45950</x:v>
      </x:c>
      <x:c r="F294" t="str">
        <x:f>IF(E294&gt;=WORKDAY.INTL(EOMONTH(E294,0)+1,-2,1,FERIADOS!$A$2:$A$250),"SÍ","NO")</x:f>
        <x:v>NO</x:v>
      </x:c>
      <x:c r="G294" s="10" t="n">
        <x:f>IF(F294="SÍ",EOMONTH(E294,0)+1,DATE(YEAR(E294),MONTH(E294),1))</x:f>
        <x:v>45931</x:v>
      </x:c>
      <x:c r="H294" t="str">
        <x:f>IF(D294="NO",IF(C294="SÍ","FERIADO","FIN DE SEMANA"),"LABORABLE")&amp;IF(F294="SÍ"," + CIERRE","")</x:f>
        <x:v>LABORABLE</x:v>
      </x:c>
      <x:c r="I294" t="str">
        <x:f>TEXT(G294,"yyyy-mm")</x:f>
        <x:v>2025-10</x:v>
      </x:c>
    </x:row>
    <x:row r="295" ht="19" customHeight="1">
      <x:c r="A295" s="2" t="n">
        <x:v>45951</x:v>
      </x:c>
      <x:c r="B295" t="str">
        <x:f>CHOOSE(WEEKDAY(A295,2),"Lunes","Martes","Miércoles","Jueves","Viernes","Sábado","Domingo")</x:f>
        <x:v>Martes</x:v>
      </x:c>
      <x:c r="C295" t="str">
        <x:f>IF(COUNTIF(FERIADOS!$A$2:$A$250,A295)&gt;0,"SÍ","NO")</x:f>
        <x:v>NO</x:v>
      </x:c>
      <x:c r="D295" t="str">
        <x:f>IF(AND(WEEKDAY(A295,2)&lt;=5,C295="NO"),"SÍ","NO")</x:f>
        <x:v>SÍ</x:v>
      </x:c>
      <x:c r="E295" s="2" t="n">
        <x:f>WORKDAY.INTL(A295-1,1,1,FERIADOS!$A$2:$A$250)</x:f>
        <x:v>45951</x:v>
      </x:c>
      <x:c r="F295" t="str">
        <x:f>IF(E295&gt;=WORKDAY.INTL(EOMONTH(E295,0)+1,-2,1,FERIADOS!$A$2:$A$250),"SÍ","NO")</x:f>
        <x:v>NO</x:v>
      </x:c>
      <x:c r="G295" s="10" t="n">
        <x:f>IF(F295="SÍ",EOMONTH(E295,0)+1,DATE(YEAR(E295),MONTH(E295),1))</x:f>
        <x:v>45931</x:v>
      </x:c>
      <x:c r="H295" t="str">
        <x:f>IF(D295="NO",IF(C295="SÍ","FERIADO","FIN DE SEMANA"),"LABORABLE")&amp;IF(F295="SÍ"," + CIERRE","")</x:f>
        <x:v>LABORABLE</x:v>
      </x:c>
      <x:c r="I295" t="str">
        <x:f>TEXT(G295,"yyyy-mm")</x:f>
        <x:v>2025-10</x:v>
      </x:c>
    </x:row>
    <x:row r="296" ht="19" customHeight="1">
      <x:c r="A296" s="2" t="n">
        <x:v>45952</x:v>
      </x:c>
      <x:c r="B296" t="str">
        <x:f>CHOOSE(WEEKDAY(A296,2),"Lunes","Martes","Miércoles","Jueves","Viernes","Sábado","Domingo")</x:f>
        <x:v>Miércoles</x:v>
      </x:c>
      <x:c r="C296" t="str">
        <x:f>IF(COUNTIF(FERIADOS!$A$2:$A$250,A296)&gt;0,"SÍ","NO")</x:f>
        <x:v>NO</x:v>
      </x:c>
      <x:c r="D296" t="str">
        <x:f>IF(AND(WEEKDAY(A296,2)&lt;=5,C296="NO"),"SÍ","NO")</x:f>
        <x:v>SÍ</x:v>
      </x:c>
      <x:c r="E296" s="2" t="n">
        <x:f>WORKDAY.INTL(A296-1,1,1,FERIADOS!$A$2:$A$250)</x:f>
        <x:v>45952</x:v>
      </x:c>
      <x:c r="F296" t="str">
        <x:f>IF(E296&gt;=WORKDAY.INTL(EOMONTH(E296,0)+1,-2,1,FERIADOS!$A$2:$A$250),"SÍ","NO")</x:f>
        <x:v>NO</x:v>
      </x:c>
      <x:c r="G296" s="10" t="n">
        <x:f>IF(F296="SÍ",EOMONTH(E296,0)+1,DATE(YEAR(E296),MONTH(E296),1))</x:f>
        <x:v>45931</x:v>
      </x:c>
      <x:c r="H296" t="str">
        <x:f>IF(D296="NO",IF(C296="SÍ","FERIADO","FIN DE SEMANA"),"LABORABLE")&amp;IF(F296="SÍ"," + CIERRE","")</x:f>
        <x:v>LABORABLE</x:v>
      </x:c>
      <x:c r="I296" t="str">
        <x:f>TEXT(G296,"yyyy-mm")</x:f>
        <x:v>2025-10</x:v>
      </x:c>
    </x:row>
    <x:row r="297" ht="19" customHeight="1">
      <x:c r="A297" s="2" t="n">
        <x:v>45953</x:v>
      </x:c>
      <x:c r="B297" t="str">
        <x:f>CHOOSE(WEEKDAY(A297,2),"Lunes","Martes","Miércoles","Jueves","Viernes","Sábado","Domingo")</x:f>
        <x:v>Jueves</x:v>
      </x:c>
      <x:c r="C297" t="str">
        <x:f>IF(COUNTIF(FERIADOS!$A$2:$A$250,A297)&gt;0,"SÍ","NO")</x:f>
        <x:v>NO</x:v>
      </x:c>
      <x:c r="D297" t="str">
        <x:f>IF(AND(WEEKDAY(A297,2)&lt;=5,C297="NO"),"SÍ","NO")</x:f>
        <x:v>SÍ</x:v>
      </x:c>
      <x:c r="E297" s="2" t="n">
        <x:f>WORKDAY.INTL(A297-1,1,1,FERIADOS!$A$2:$A$250)</x:f>
        <x:v>45953</x:v>
      </x:c>
      <x:c r="F297" t="str">
        <x:f>IF(E297&gt;=WORKDAY.INTL(EOMONTH(E297,0)+1,-2,1,FERIADOS!$A$2:$A$250),"SÍ","NO")</x:f>
        <x:v>NO</x:v>
      </x:c>
      <x:c r="G297" s="10" t="n">
        <x:f>IF(F297="SÍ",EOMONTH(E297,0)+1,DATE(YEAR(E297),MONTH(E297),1))</x:f>
        <x:v>45931</x:v>
      </x:c>
      <x:c r="H297" t="str">
        <x:f>IF(D297="NO",IF(C297="SÍ","FERIADO","FIN DE SEMANA"),"LABORABLE")&amp;IF(F297="SÍ"," + CIERRE","")</x:f>
        <x:v>LABORABLE</x:v>
      </x:c>
      <x:c r="I297" t="str">
        <x:f>TEXT(G297,"yyyy-mm")</x:f>
        <x:v>2025-10</x:v>
      </x:c>
    </x:row>
    <x:row r="298" ht="19" customHeight="1">
      <x:c r="A298" s="2" t="n">
        <x:v>45954</x:v>
      </x:c>
      <x:c r="B298" t="str">
        <x:f>CHOOSE(WEEKDAY(A298,2),"Lunes","Martes","Miércoles","Jueves","Viernes","Sábado","Domingo")</x:f>
        <x:v>Viernes</x:v>
      </x:c>
      <x:c r="C298" t="str">
        <x:f>IF(COUNTIF(FERIADOS!$A$2:$A$250,A298)&gt;0,"SÍ","NO")</x:f>
        <x:v>NO</x:v>
      </x:c>
      <x:c r="D298" t="str">
        <x:f>IF(AND(WEEKDAY(A298,2)&lt;=5,C298="NO"),"SÍ","NO")</x:f>
        <x:v>SÍ</x:v>
      </x:c>
      <x:c r="E298" s="2" t="n">
        <x:f>WORKDAY.INTL(A298-1,1,1,FERIADOS!$A$2:$A$250)</x:f>
        <x:v>45954</x:v>
      </x:c>
      <x:c r="F298" t="str">
        <x:f>IF(E298&gt;=WORKDAY.INTL(EOMONTH(E298,0)+1,-2,1,FERIADOS!$A$2:$A$250),"SÍ","NO")</x:f>
        <x:v>NO</x:v>
      </x:c>
      <x:c r="G298" s="10" t="n">
        <x:f>IF(F298="SÍ",EOMONTH(E298,0)+1,DATE(YEAR(E298),MONTH(E298),1))</x:f>
        <x:v>45931</x:v>
      </x:c>
      <x:c r="H298" t="str">
        <x:f>IF(D298="NO",IF(C298="SÍ","FERIADO","FIN DE SEMANA"),"LABORABLE")&amp;IF(F298="SÍ"," + CIERRE","")</x:f>
        <x:v>LABORABLE</x:v>
      </x:c>
      <x:c r="I298" t="str">
        <x:f>TEXT(G298,"yyyy-mm")</x:f>
        <x:v>2025-10</x:v>
      </x:c>
    </x:row>
    <x:row r="299" ht="19" customHeight="1">
      <x:c r="A299" s="2" t="n">
        <x:v>45955</x:v>
      </x:c>
      <x:c r="B299" t="str">
        <x:f>CHOOSE(WEEKDAY(A299,2),"Lunes","Martes","Miércoles","Jueves","Viernes","Sábado","Domingo")</x:f>
        <x:v>Sábado</x:v>
      </x:c>
      <x:c r="C299" t="str">
        <x:f>IF(COUNTIF(FERIADOS!$A$2:$A$250,A299)&gt;0,"SÍ","NO")</x:f>
        <x:v>NO</x:v>
      </x:c>
      <x:c r="D299" t="str">
        <x:f>IF(AND(WEEKDAY(A299,2)&lt;=5,C299="NO"),"SÍ","NO")</x:f>
        <x:v>NO</x:v>
      </x:c>
      <x:c r="E299" s="2" t="n">
        <x:f>WORKDAY.INTL(A299-1,1,1,FERIADOS!$A$2:$A$250)</x:f>
        <x:v>45957</x:v>
      </x:c>
      <x:c r="F299" t="str">
        <x:f>IF(E299&gt;=WORKDAY.INTL(EOMONTH(E299,0)+1,-2,1,FERIADOS!$A$2:$A$250),"SÍ","NO")</x:f>
        <x:v>NO</x:v>
      </x:c>
      <x:c r="G299" s="10" t="n">
        <x:f>IF(F299="SÍ",EOMONTH(E299,0)+1,DATE(YEAR(E299),MONTH(E299),1))</x:f>
        <x:v>45931</x:v>
      </x:c>
      <x:c r="H299" t="str">
        <x:f>IF(D299="NO",IF(C299="SÍ","FERIADO","FIN DE SEMANA"),"LABORABLE")&amp;IF(F299="SÍ"," + CIERRE","")</x:f>
        <x:v>FIN DE SEMANA</x:v>
      </x:c>
      <x:c r="I299" t="str">
        <x:f>TEXT(G299,"yyyy-mm")</x:f>
        <x:v>2025-10</x:v>
      </x:c>
    </x:row>
    <x:row r="300" ht="19" customHeight="1">
      <x:c r="A300" s="2" t="n">
        <x:v>45956</x:v>
      </x:c>
      <x:c r="B300" t="str">
        <x:f>CHOOSE(WEEKDAY(A300,2),"Lunes","Martes","Miércoles","Jueves","Viernes","Sábado","Domingo")</x:f>
        <x:v>Domingo</x:v>
      </x:c>
      <x:c r="C300" t="str">
        <x:f>IF(COUNTIF(FERIADOS!$A$2:$A$250,A300)&gt;0,"SÍ","NO")</x:f>
        <x:v>NO</x:v>
      </x:c>
      <x:c r="D300" t="str">
        <x:f>IF(AND(WEEKDAY(A300,2)&lt;=5,C300="NO"),"SÍ","NO")</x:f>
        <x:v>NO</x:v>
      </x:c>
      <x:c r="E300" s="2" t="n">
        <x:f>WORKDAY.INTL(A300-1,1,1,FERIADOS!$A$2:$A$250)</x:f>
        <x:v>45957</x:v>
      </x:c>
      <x:c r="F300" t="str">
        <x:f>IF(E300&gt;=WORKDAY.INTL(EOMONTH(E300,0)+1,-2,1,FERIADOS!$A$2:$A$250),"SÍ","NO")</x:f>
        <x:v>NO</x:v>
      </x:c>
      <x:c r="G300" s="10" t="n">
        <x:f>IF(F300="SÍ",EOMONTH(E300,0)+1,DATE(YEAR(E300),MONTH(E300),1))</x:f>
        <x:v>45931</x:v>
      </x:c>
      <x:c r="H300" t="str">
        <x:f>IF(D300="NO",IF(C300="SÍ","FERIADO","FIN DE SEMANA"),"LABORABLE")&amp;IF(F300="SÍ"," + CIERRE","")</x:f>
        <x:v>FIN DE SEMANA</x:v>
      </x:c>
      <x:c r="I300" t="str">
        <x:f>TEXT(G300,"yyyy-mm")</x:f>
        <x:v>2025-10</x:v>
      </x:c>
    </x:row>
    <x:row r="301" ht="19" customHeight="1">
      <x:c r="A301" s="2" t="n">
        <x:v>45957</x:v>
      </x:c>
      <x:c r="B301" t="str">
        <x:f>CHOOSE(WEEKDAY(A301,2),"Lunes","Martes","Miércoles","Jueves","Viernes","Sábado","Domingo")</x:f>
        <x:v>Lunes</x:v>
      </x:c>
      <x:c r="C301" t="str">
        <x:f>IF(COUNTIF(FERIADOS!$A$2:$A$250,A301)&gt;0,"SÍ","NO")</x:f>
        <x:v>NO</x:v>
      </x:c>
      <x:c r="D301" t="str">
        <x:f>IF(AND(WEEKDAY(A301,2)&lt;=5,C301="NO"),"SÍ","NO")</x:f>
        <x:v>SÍ</x:v>
      </x:c>
      <x:c r="E301" s="2" t="n">
        <x:f>WORKDAY.INTL(A301-1,1,1,FERIADOS!$A$2:$A$250)</x:f>
        <x:v>45957</x:v>
      </x:c>
      <x:c r="F301" t="str">
        <x:f>IF(E301&gt;=WORKDAY.INTL(EOMONTH(E301,0)+1,-2,1,FERIADOS!$A$2:$A$250),"SÍ","NO")</x:f>
        <x:v>NO</x:v>
      </x:c>
      <x:c r="G301" s="10" t="n">
        <x:f>IF(F301="SÍ",EOMONTH(E301,0)+1,DATE(YEAR(E301),MONTH(E301),1))</x:f>
        <x:v>45931</x:v>
      </x:c>
      <x:c r="H301" t="str">
        <x:f>IF(D301="NO",IF(C301="SÍ","FERIADO","FIN DE SEMANA"),"LABORABLE")&amp;IF(F301="SÍ"," + CIERRE","")</x:f>
        <x:v>LABORABLE</x:v>
      </x:c>
      <x:c r="I301" t="str">
        <x:f>TEXT(G301,"yyyy-mm")</x:f>
        <x:v>2025-10</x:v>
      </x:c>
    </x:row>
    <x:row r="302" ht="19" customHeight="1">
      <x:c r="A302" s="2" t="n">
        <x:v>45958</x:v>
      </x:c>
      <x:c r="B302" t="str">
        <x:f>CHOOSE(WEEKDAY(A302,2),"Lunes","Martes","Miércoles","Jueves","Viernes","Sábado","Domingo")</x:f>
        <x:v>Martes</x:v>
      </x:c>
      <x:c r="C302" t="str">
        <x:f>IF(COUNTIF(FERIADOS!$A$2:$A$250,A302)&gt;0,"SÍ","NO")</x:f>
        <x:v>NO</x:v>
      </x:c>
      <x:c r="D302" t="str">
        <x:f>IF(AND(WEEKDAY(A302,2)&lt;=5,C302="NO"),"SÍ","NO")</x:f>
        <x:v>SÍ</x:v>
      </x:c>
      <x:c r="E302" s="2" t="n">
        <x:f>WORKDAY.INTL(A302-1,1,1,FERIADOS!$A$2:$A$250)</x:f>
        <x:v>45958</x:v>
      </x:c>
      <x:c r="F302" t="str">
        <x:f>IF(E302&gt;=WORKDAY.INTL(EOMONTH(E302,0)+1,-2,1,FERIADOS!$A$2:$A$250),"SÍ","NO")</x:f>
        <x:v>NO</x:v>
      </x:c>
      <x:c r="G302" s="10" t="n">
        <x:f>IF(F302="SÍ",EOMONTH(E302,0)+1,DATE(YEAR(E302),MONTH(E302),1))</x:f>
        <x:v>45931</x:v>
      </x:c>
      <x:c r="H302" t="str">
        <x:f>IF(D302="NO",IF(C302="SÍ","FERIADO","FIN DE SEMANA"),"LABORABLE")&amp;IF(F302="SÍ"," + CIERRE","")</x:f>
        <x:v>LABORABLE</x:v>
      </x:c>
      <x:c r="I302" t="str">
        <x:f>TEXT(G302,"yyyy-mm")</x:f>
        <x:v>2025-10</x:v>
      </x:c>
    </x:row>
    <x:row r="303" ht="19" customHeight="1">
      <x:c r="A303" s="2" t="n">
        <x:v>45959</x:v>
      </x:c>
      <x:c r="B303" t="str">
        <x:f>CHOOSE(WEEKDAY(A303,2),"Lunes","Martes","Miércoles","Jueves","Viernes","Sábado","Domingo")</x:f>
        <x:v>Miércoles</x:v>
      </x:c>
      <x:c r="C303" t="str">
        <x:f>IF(COUNTIF(FERIADOS!$A$2:$A$250,A303)&gt;0,"SÍ","NO")</x:f>
        <x:v>NO</x:v>
      </x:c>
      <x:c r="D303" t="str">
        <x:f>IF(AND(WEEKDAY(A303,2)&lt;=5,C303="NO"),"SÍ","NO")</x:f>
        <x:v>SÍ</x:v>
      </x:c>
      <x:c r="E303" s="2" t="n">
        <x:f>WORKDAY.INTL(A303-1,1,1,FERIADOS!$A$2:$A$250)</x:f>
        <x:v>45959</x:v>
      </x:c>
      <x:c r="F303" t="str">
        <x:f>IF(E303&gt;=WORKDAY.INTL(EOMONTH(E303,0)+1,-2,1,FERIADOS!$A$2:$A$250),"SÍ","NO")</x:f>
        <x:v>NO</x:v>
      </x:c>
      <x:c r="G303" s="10" t="n">
        <x:f>IF(F303="SÍ",EOMONTH(E303,0)+1,DATE(YEAR(E303),MONTH(E303),1))</x:f>
        <x:v>45931</x:v>
      </x:c>
      <x:c r="H303" t="str">
        <x:f>IF(D303="NO",IF(C303="SÍ","FERIADO","FIN DE SEMANA"),"LABORABLE")&amp;IF(F303="SÍ"," + CIERRE","")</x:f>
        <x:v>LABORABLE</x:v>
      </x:c>
      <x:c r="I303" t="str">
        <x:f>TEXT(G303,"yyyy-mm")</x:f>
        <x:v>2025-10</x:v>
      </x:c>
    </x:row>
    <x:row r="304" ht="19" customHeight="1">
      <x:c r="A304" s="2" t="n">
        <x:v>45960</x:v>
      </x:c>
      <x:c r="B304" t="str">
        <x:f>CHOOSE(WEEKDAY(A304,2),"Lunes","Martes","Miércoles","Jueves","Viernes","Sábado","Domingo")</x:f>
        <x:v>Jueves</x:v>
      </x:c>
      <x:c r="C304" t="str">
        <x:f>IF(COUNTIF(FERIADOS!$A$2:$A$250,A304)&gt;0,"SÍ","NO")</x:f>
        <x:v>NO</x:v>
      </x:c>
      <x:c r="D304" t="str">
        <x:f>IF(AND(WEEKDAY(A304,2)&lt;=5,C304="NO"),"SÍ","NO")</x:f>
        <x:v>SÍ</x:v>
      </x:c>
      <x:c r="E304" s="2" t="n">
        <x:f>WORKDAY.INTL(A304-1,1,1,FERIADOS!$A$2:$A$250)</x:f>
        <x:v>45960</x:v>
      </x:c>
      <x:c r="F304" t="str">
        <x:f>IF(E304&gt;=WORKDAY.INTL(EOMONTH(E304,0)+1,-2,1,FERIADOS!$A$2:$A$250),"SÍ","NO")</x:f>
        <x:v>SÍ</x:v>
      </x:c>
      <x:c r="G304" s="10" t="n">
        <x:f>IF(F304="SÍ",EOMONTH(E304,0)+1,DATE(YEAR(E304),MONTH(E304),1))</x:f>
        <x:v>45962</x:v>
      </x:c>
      <x:c r="H304" t="str">
        <x:f>IF(D304="NO",IF(C304="SÍ","FERIADO","FIN DE SEMANA"),"LABORABLE")&amp;IF(F304="SÍ"," + CIERRE","")</x:f>
        <x:v>LABORABLE + CIERRE</x:v>
      </x:c>
      <x:c r="I304" t="str">
        <x:f>TEXT(G304,"yyyy-mm")</x:f>
        <x:v>2025-11</x:v>
      </x:c>
    </x:row>
    <x:row r="305" ht="19" customHeight="1">
      <x:c r="A305" s="2" t="n">
        <x:v>45961</x:v>
      </x:c>
      <x:c r="B305" t="str">
        <x:f>CHOOSE(WEEKDAY(A305,2),"Lunes","Martes","Miércoles","Jueves","Viernes","Sábado","Domingo")</x:f>
        <x:v>Viernes</x:v>
      </x:c>
      <x:c r="C305" t="str">
        <x:f>IF(COUNTIF(FERIADOS!$A$2:$A$250,A305)&gt;0,"SÍ","NO")</x:f>
        <x:v>NO</x:v>
      </x:c>
      <x:c r="D305" t="str">
        <x:f>IF(AND(WEEKDAY(A305,2)&lt;=5,C305="NO"),"SÍ","NO")</x:f>
        <x:v>SÍ</x:v>
      </x:c>
      <x:c r="E305" s="2" t="n">
        <x:f>WORKDAY.INTL(A305-1,1,1,FERIADOS!$A$2:$A$250)</x:f>
        <x:v>45961</x:v>
      </x:c>
      <x:c r="F305" t="str">
        <x:f>IF(E305&gt;=WORKDAY.INTL(EOMONTH(E305,0)+1,-2,1,FERIADOS!$A$2:$A$250),"SÍ","NO")</x:f>
        <x:v>SÍ</x:v>
      </x:c>
      <x:c r="G305" s="10" t="n">
        <x:f>IF(F305="SÍ",EOMONTH(E305,0)+1,DATE(YEAR(E305),MONTH(E305),1))</x:f>
        <x:v>45962</x:v>
      </x:c>
      <x:c r="H305" t="str">
        <x:f>IF(D305="NO",IF(C305="SÍ","FERIADO","FIN DE SEMANA"),"LABORABLE")&amp;IF(F305="SÍ"," + CIERRE","")</x:f>
        <x:v>LABORABLE + CIERRE</x:v>
      </x:c>
      <x:c r="I305" t="str">
        <x:f>TEXT(G305,"yyyy-mm")</x:f>
        <x:v>2025-11</x:v>
      </x:c>
    </x:row>
    <x:row r="306" ht="19" customHeight="1">
      <x:c r="A306" s="2" t="n">
        <x:v>45962</x:v>
      </x:c>
      <x:c r="B306" t="str">
        <x:f>CHOOSE(WEEKDAY(A306,2),"Lunes","Martes","Miércoles","Jueves","Viernes","Sábado","Domingo")</x:f>
        <x:v>Sábado</x:v>
      </x:c>
      <x:c r="C306" t="str">
        <x:f>IF(COUNTIF(FERIADOS!$A$2:$A$250,A306)&gt;0,"SÍ","NO")</x:f>
        <x:v>NO</x:v>
      </x:c>
      <x:c r="D306" t="str">
        <x:f>IF(AND(WEEKDAY(A306,2)&lt;=5,C306="NO"),"SÍ","NO")</x:f>
        <x:v>NO</x:v>
      </x:c>
      <x:c r="E306" s="2" t="n">
        <x:f>WORKDAY.INTL(A306-1,1,1,FERIADOS!$A$2:$A$250)</x:f>
        <x:v>45966</x:v>
      </x:c>
      <x:c r="F306" t="str">
        <x:f>IF(E306&gt;=WORKDAY.INTL(EOMONTH(E306,0)+1,-2,1,FERIADOS!$A$2:$A$250),"SÍ","NO")</x:f>
        <x:v>NO</x:v>
      </x:c>
      <x:c r="G306" s="10" t="n">
        <x:f>IF(F306="SÍ",EOMONTH(E306,0)+1,DATE(YEAR(E306),MONTH(E306),1))</x:f>
        <x:v>45962</x:v>
      </x:c>
      <x:c r="H306" t="str">
        <x:f>IF(D306="NO",IF(C306="SÍ","FERIADO","FIN DE SEMANA"),"LABORABLE")&amp;IF(F306="SÍ"," + CIERRE","")</x:f>
        <x:v>FIN DE SEMANA</x:v>
      </x:c>
      <x:c r="I306" t="str">
        <x:f>TEXT(G306,"yyyy-mm")</x:f>
        <x:v>2025-11</x:v>
      </x:c>
    </x:row>
    <x:row r="307" ht="19" customHeight="1">
      <x:c r="A307" s="2" t="n">
        <x:v>45963</x:v>
      </x:c>
      <x:c r="B307" t="str">
        <x:f>CHOOSE(WEEKDAY(A307,2),"Lunes","Martes","Miércoles","Jueves","Viernes","Sábado","Domingo")</x:f>
        <x:v>Domingo</x:v>
      </x:c>
      <x:c r="C307" t="str">
        <x:f>IF(COUNTIF(FERIADOS!$A$2:$A$250,A307)&gt;0,"SÍ","NO")</x:f>
        <x:v>NO</x:v>
      </x:c>
      <x:c r="D307" t="str">
        <x:f>IF(AND(WEEKDAY(A307,2)&lt;=5,C307="NO"),"SÍ","NO")</x:f>
        <x:v>NO</x:v>
      </x:c>
      <x:c r="E307" s="2" t="n">
        <x:f>WORKDAY.INTL(A307-1,1,1,FERIADOS!$A$2:$A$250)</x:f>
        <x:v>45966</x:v>
      </x:c>
      <x:c r="F307" t="str">
        <x:f>IF(E307&gt;=WORKDAY.INTL(EOMONTH(E307,0)+1,-2,1,FERIADOS!$A$2:$A$250),"SÍ","NO")</x:f>
        <x:v>NO</x:v>
      </x:c>
      <x:c r="G307" s="10" t="n">
        <x:f>IF(F307="SÍ",EOMONTH(E307,0)+1,DATE(YEAR(E307),MONTH(E307),1))</x:f>
        <x:v>45962</x:v>
      </x:c>
      <x:c r="H307" t="str">
        <x:f>IF(D307="NO",IF(C307="SÍ","FERIADO","FIN DE SEMANA"),"LABORABLE")&amp;IF(F307="SÍ"," + CIERRE","")</x:f>
        <x:v>FIN DE SEMANA</x:v>
      </x:c>
      <x:c r="I307" t="str">
        <x:f>TEXT(G307,"yyyy-mm")</x:f>
        <x:v>2025-11</x:v>
      </x:c>
    </x:row>
    <x:row r="308" ht="19" customHeight="1">
      <x:c r="A308" s="2" t="n">
        <x:v>45964</x:v>
      </x:c>
      <x:c r="B308" t="str">
        <x:f>CHOOSE(WEEKDAY(A308,2),"Lunes","Martes","Miércoles","Jueves","Viernes","Sábado","Domingo")</x:f>
        <x:v>Lunes</x:v>
      </x:c>
      <x:c r="C308" t="str">
        <x:f>IF(COUNTIF(FERIADOS!$A$2:$A$250,A308)&gt;0,"SÍ","NO")</x:f>
        <x:v>SÍ</x:v>
      </x:c>
      <x:c r="D308" t="str">
        <x:f>IF(AND(WEEKDAY(A308,2)&lt;=5,C308="NO"),"SÍ","NO")</x:f>
        <x:v>NO</x:v>
      </x:c>
      <x:c r="E308" s="2" t="n">
        <x:f>WORKDAY.INTL(A308-1,1,1,FERIADOS!$A$2:$A$250)</x:f>
        <x:v>45966</x:v>
      </x:c>
      <x:c r="F308" t="str">
        <x:f>IF(E308&gt;=WORKDAY.INTL(EOMONTH(E308,0)+1,-2,1,FERIADOS!$A$2:$A$250),"SÍ","NO")</x:f>
        <x:v>NO</x:v>
      </x:c>
      <x:c r="G308" s="10" t="n">
        <x:f>IF(F308="SÍ",EOMONTH(E308,0)+1,DATE(YEAR(E308),MONTH(E308),1))</x:f>
        <x:v>45962</x:v>
      </x:c>
      <x:c r="H308" t="str">
        <x:f>IF(D308="NO",IF(C308="SÍ","FERIADO","FIN DE SEMANA"),"LABORABLE")&amp;IF(F308="SÍ"," + CIERRE","")</x:f>
        <x:v>FERIADO</x:v>
      </x:c>
      <x:c r="I308" t="str">
        <x:f>TEXT(G308,"yyyy-mm")</x:f>
        <x:v>2025-11</x:v>
      </x:c>
    </x:row>
    <x:row r="309" ht="19" customHeight="1">
      <x:c r="A309" s="2" t="n">
        <x:v>45965</x:v>
      </x:c>
      <x:c r="B309" t="str">
        <x:f>CHOOSE(WEEKDAY(A309,2),"Lunes","Martes","Miércoles","Jueves","Viernes","Sábado","Domingo")</x:f>
        <x:v>Martes</x:v>
      </x:c>
      <x:c r="C309" t="str">
        <x:f>IF(COUNTIF(FERIADOS!$A$2:$A$250,A309)&gt;0,"SÍ","NO")</x:f>
        <x:v>SÍ</x:v>
      </x:c>
      <x:c r="D309" t="str">
        <x:f>IF(AND(WEEKDAY(A309,2)&lt;=5,C309="NO"),"SÍ","NO")</x:f>
        <x:v>NO</x:v>
      </x:c>
      <x:c r="E309" s="2" t="n">
        <x:f>WORKDAY.INTL(A309-1,1,1,FERIADOS!$A$2:$A$250)</x:f>
        <x:v>45966</x:v>
      </x:c>
      <x:c r="F309" t="str">
        <x:f>IF(E309&gt;=WORKDAY.INTL(EOMONTH(E309,0)+1,-2,1,FERIADOS!$A$2:$A$250),"SÍ","NO")</x:f>
        <x:v>NO</x:v>
      </x:c>
      <x:c r="G309" s="10" t="n">
        <x:f>IF(F309="SÍ",EOMONTH(E309,0)+1,DATE(YEAR(E309),MONTH(E309),1))</x:f>
        <x:v>45962</x:v>
      </x:c>
      <x:c r="H309" t="str">
        <x:f>IF(D309="NO",IF(C309="SÍ","FERIADO","FIN DE SEMANA"),"LABORABLE")&amp;IF(F309="SÍ"," + CIERRE","")</x:f>
        <x:v>FERIADO</x:v>
      </x:c>
      <x:c r="I309" t="str">
        <x:f>TEXT(G309,"yyyy-mm")</x:f>
        <x:v>2025-11</x:v>
      </x:c>
    </x:row>
    <x:row r="310" ht="19" customHeight="1">
      <x:c r="A310" s="2" t="n">
        <x:v>45966</x:v>
      </x:c>
      <x:c r="B310" t="str">
        <x:f>CHOOSE(WEEKDAY(A310,2),"Lunes","Martes","Miércoles","Jueves","Viernes","Sábado","Domingo")</x:f>
        <x:v>Miércoles</x:v>
      </x:c>
      <x:c r="C310" t="str">
        <x:f>IF(COUNTIF(FERIADOS!$A$2:$A$250,A310)&gt;0,"SÍ","NO")</x:f>
        <x:v>NO</x:v>
      </x:c>
      <x:c r="D310" t="str">
        <x:f>IF(AND(WEEKDAY(A310,2)&lt;=5,C310="NO"),"SÍ","NO")</x:f>
        <x:v>SÍ</x:v>
      </x:c>
      <x:c r="E310" s="2" t="n">
        <x:f>WORKDAY.INTL(A310-1,1,1,FERIADOS!$A$2:$A$250)</x:f>
        <x:v>45966</x:v>
      </x:c>
      <x:c r="F310" t="str">
        <x:f>IF(E310&gt;=WORKDAY.INTL(EOMONTH(E310,0)+1,-2,1,FERIADOS!$A$2:$A$250),"SÍ","NO")</x:f>
        <x:v>NO</x:v>
      </x:c>
      <x:c r="G310" s="10" t="n">
        <x:f>IF(F310="SÍ",EOMONTH(E310,0)+1,DATE(YEAR(E310),MONTH(E310),1))</x:f>
        <x:v>45962</x:v>
      </x:c>
      <x:c r="H310" t="str">
        <x:f>IF(D310="NO",IF(C310="SÍ","FERIADO","FIN DE SEMANA"),"LABORABLE")&amp;IF(F310="SÍ"," + CIERRE","")</x:f>
        <x:v>LABORABLE</x:v>
      </x:c>
      <x:c r="I310" t="str">
        <x:f>TEXT(G310,"yyyy-mm")</x:f>
        <x:v>2025-11</x:v>
      </x:c>
    </x:row>
    <x:row r="311" ht="19" customHeight="1">
      <x:c r="A311" s="2" t="n">
        <x:v>45967</x:v>
      </x:c>
      <x:c r="B311" t="str">
        <x:f>CHOOSE(WEEKDAY(A311,2),"Lunes","Martes","Miércoles","Jueves","Viernes","Sábado","Domingo")</x:f>
        <x:v>Jueves</x:v>
      </x:c>
      <x:c r="C311" t="str">
        <x:f>IF(COUNTIF(FERIADOS!$A$2:$A$250,A311)&gt;0,"SÍ","NO")</x:f>
        <x:v>NO</x:v>
      </x:c>
      <x:c r="D311" t="str">
        <x:f>IF(AND(WEEKDAY(A311,2)&lt;=5,C311="NO"),"SÍ","NO")</x:f>
        <x:v>SÍ</x:v>
      </x:c>
      <x:c r="E311" s="2" t="n">
        <x:f>WORKDAY.INTL(A311-1,1,1,FERIADOS!$A$2:$A$250)</x:f>
        <x:v>45967</x:v>
      </x:c>
      <x:c r="F311" t="str">
        <x:f>IF(E311&gt;=WORKDAY.INTL(EOMONTH(E311,0)+1,-2,1,FERIADOS!$A$2:$A$250),"SÍ","NO")</x:f>
        <x:v>NO</x:v>
      </x:c>
      <x:c r="G311" s="10" t="n">
        <x:f>IF(F311="SÍ",EOMONTH(E311,0)+1,DATE(YEAR(E311),MONTH(E311),1))</x:f>
        <x:v>45962</x:v>
      </x:c>
      <x:c r="H311" t="str">
        <x:f>IF(D311="NO",IF(C311="SÍ","FERIADO","FIN DE SEMANA"),"LABORABLE")&amp;IF(F311="SÍ"," + CIERRE","")</x:f>
        <x:v>LABORABLE</x:v>
      </x:c>
      <x:c r="I311" t="str">
        <x:f>TEXT(G311,"yyyy-mm")</x:f>
        <x:v>2025-11</x:v>
      </x:c>
    </x:row>
    <x:row r="312" ht="19" customHeight="1">
      <x:c r="A312" s="2" t="n">
        <x:v>45968</x:v>
      </x:c>
      <x:c r="B312" t="str">
        <x:f>CHOOSE(WEEKDAY(A312,2),"Lunes","Martes","Miércoles","Jueves","Viernes","Sábado","Domingo")</x:f>
        <x:v>Viernes</x:v>
      </x:c>
      <x:c r="C312" t="str">
        <x:f>IF(COUNTIF(FERIADOS!$A$2:$A$250,A312)&gt;0,"SÍ","NO")</x:f>
        <x:v>NO</x:v>
      </x:c>
      <x:c r="D312" t="str">
        <x:f>IF(AND(WEEKDAY(A312,2)&lt;=5,C312="NO"),"SÍ","NO")</x:f>
        <x:v>SÍ</x:v>
      </x:c>
      <x:c r="E312" s="2" t="n">
        <x:f>WORKDAY.INTL(A312-1,1,1,FERIADOS!$A$2:$A$250)</x:f>
        <x:v>45968</x:v>
      </x:c>
      <x:c r="F312" t="str">
        <x:f>IF(E312&gt;=WORKDAY.INTL(EOMONTH(E312,0)+1,-2,1,FERIADOS!$A$2:$A$250),"SÍ","NO")</x:f>
        <x:v>NO</x:v>
      </x:c>
      <x:c r="G312" s="10" t="n">
        <x:f>IF(F312="SÍ",EOMONTH(E312,0)+1,DATE(YEAR(E312),MONTH(E312),1))</x:f>
        <x:v>45962</x:v>
      </x:c>
      <x:c r="H312" t="str">
        <x:f>IF(D312="NO",IF(C312="SÍ","FERIADO","FIN DE SEMANA"),"LABORABLE")&amp;IF(F312="SÍ"," + CIERRE","")</x:f>
        <x:v>LABORABLE</x:v>
      </x:c>
      <x:c r="I312" t="str">
        <x:f>TEXT(G312,"yyyy-mm")</x:f>
        <x:v>2025-11</x:v>
      </x:c>
    </x:row>
    <x:row r="313" ht="19" customHeight="1">
      <x:c r="A313" s="2" t="n">
        <x:v>45969</x:v>
      </x:c>
      <x:c r="B313" t="str">
        <x:f>CHOOSE(WEEKDAY(A313,2),"Lunes","Martes","Miércoles","Jueves","Viernes","Sábado","Domingo")</x:f>
        <x:v>Sábado</x:v>
      </x:c>
      <x:c r="C313" t="str">
        <x:f>IF(COUNTIF(FERIADOS!$A$2:$A$250,A313)&gt;0,"SÍ","NO")</x:f>
        <x:v>NO</x:v>
      </x:c>
      <x:c r="D313" t="str">
        <x:f>IF(AND(WEEKDAY(A313,2)&lt;=5,C313="NO"),"SÍ","NO")</x:f>
        <x:v>NO</x:v>
      </x:c>
      <x:c r="E313" s="2" t="n">
        <x:f>WORKDAY.INTL(A313-1,1,1,FERIADOS!$A$2:$A$250)</x:f>
        <x:v>45971</x:v>
      </x:c>
      <x:c r="F313" t="str">
        <x:f>IF(E313&gt;=WORKDAY.INTL(EOMONTH(E313,0)+1,-2,1,FERIADOS!$A$2:$A$250),"SÍ","NO")</x:f>
        <x:v>NO</x:v>
      </x:c>
      <x:c r="G313" s="10" t="n">
        <x:f>IF(F313="SÍ",EOMONTH(E313,0)+1,DATE(YEAR(E313),MONTH(E313),1))</x:f>
        <x:v>45962</x:v>
      </x:c>
      <x:c r="H313" t="str">
        <x:f>IF(D313="NO",IF(C313="SÍ","FERIADO","FIN DE SEMANA"),"LABORABLE")&amp;IF(F313="SÍ"," + CIERRE","")</x:f>
        <x:v>FIN DE SEMANA</x:v>
      </x:c>
      <x:c r="I313" t="str">
        <x:f>TEXT(G313,"yyyy-mm")</x:f>
        <x:v>2025-11</x:v>
      </x:c>
    </x:row>
    <x:row r="314" ht="19" customHeight="1">
      <x:c r="A314" s="2" t="n">
        <x:v>45970</x:v>
      </x:c>
      <x:c r="B314" t="str">
        <x:f>CHOOSE(WEEKDAY(A314,2),"Lunes","Martes","Miércoles","Jueves","Viernes","Sábado","Domingo")</x:f>
        <x:v>Domingo</x:v>
      </x:c>
      <x:c r="C314" t="str">
        <x:f>IF(COUNTIF(FERIADOS!$A$2:$A$250,A314)&gt;0,"SÍ","NO")</x:f>
        <x:v>NO</x:v>
      </x:c>
      <x:c r="D314" t="str">
        <x:f>IF(AND(WEEKDAY(A314,2)&lt;=5,C314="NO"),"SÍ","NO")</x:f>
        <x:v>NO</x:v>
      </x:c>
      <x:c r="E314" s="2" t="n">
        <x:f>WORKDAY.INTL(A314-1,1,1,FERIADOS!$A$2:$A$250)</x:f>
        <x:v>45971</x:v>
      </x:c>
      <x:c r="F314" t="str">
        <x:f>IF(E314&gt;=WORKDAY.INTL(EOMONTH(E314,0)+1,-2,1,FERIADOS!$A$2:$A$250),"SÍ","NO")</x:f>
        <x:v>NO</x:v>
      </x:c>
      <x:c r="G314" s="10" t="n">
        <x:f>IF(F314="SÍ",EOMONTH(E314,0)+1,DATE(YEAR(E314),MONTH(E314),1))</x:f>
        <x:v>45962</x:v>
      </x:c>
      <x:c r="H314" t="str">
        <x:f>IF(D314="NO",IF(C314="SÍ","FERIADO","FIN DE SEMANA"),"LABORABLE")&amp;IF(F314="SÍ"," + CIERRE","")</x:f>
        <x:v>FIN DE SEMANA</x:v>
      </x:c>
      <x:c r="I314" t="str">
        <x:f>TEXT(G314,"yyyy-mm")</x:f>
        <x:v>2025-11</x:v>
      </x:c>
    </x:row>
    <x:row r="315" ht="19" customHeight="1">
      <x:c r="A315" s="2" t="n">
        <x:v>45971</x:v>
      </x:c>
      <x:c r="B315" t="str">
        <x:f>CHOOSE(WEEKDAY(A315,2),"Lunes","Martes","Miércoles","Jueves","Viernes","Sábado","Domingo")</x:f>
        <x:v>Lunes</x:v>
      </x:c>
      <x:c r="C315" t="str">
        <x:f>IF(COUNTIF(FERIADOS!$A$2:$A$250,A315)&gt;0,"SÍ","NO")</x:f>
        <x:v>NO</x:v>
      </x:c>
      <x:c r="D315" t="str">
        <x:f>IF(AND(WEEKDAY(A315,2)&lt;=5,C315="NO"),"SÍ","NO")</x:f>
        <x:v>SÍ</x:v>
      </x:c>
      <x:c r="E315" s="2" t="n">
        <x:f>WORKDAY.INTL(A315-1,1,1,FERIADOS!$A$2:$A$250)</x:f>
        <x:v>45971</x:v>
      </x:c>
      <x:c r="F315" t="str">
        <x:f>IF(E315&gt;=WORKDAY.INTL(EOMONTH(E315,0)+1,-2,1,FERIADOS!$A$2:$A$250),"SÍ","NO")</x:f>
        <x:v>NO</x:v>
      </x:c>
      <x:c r="G315" s="10" t="n">
        <x:f>IF(F315="SÍ",EOMONTH(E315,0)+1,DATE(YEAR(E315),MONTH(E315),1))</x:f>
        <x:v>45962</x:v>
      </x:c>
      <x:c r="H315" t="str">
        <x:f>IF(D315="NO",IF(C315="SÍ","FERIADO","FIN DE SEMANA"),"LABORABLE")&amp;IF(F315="SÍ"," + CIERRE","")</x:f>
        <x:v>LABORABLE</x:v>
      </x:c>
      <x:c r="I315" t="str">
        <x:f>TEXT(G315,"yyyy-mm")</x:f>
        <x:v>2025-11</x:v>
      </x:c>
    </x:row>
    <x:row r="316" ht="19" customHeight="1">
      <x:c r="A316" s="2" t="n">
        <x:v>45972</x:v>
      </x:c>
      <x:c r="B316" t="str">
        <x:f>CHOOSE(WEEKDAY(A316,2),"Lunes","Martes","Miércoles","Jueves","Viernes","Sábado","Domingo")</x:f>
        <x:v>Martes</x:v>
      </x:c>
      <x:c r="C316" t="str">
        <x:f>IF(COUNTIF(FERIADOS!$A$2:$A$250,A316)&gt;0,"SÍ","NO")</x:f>
        <x:v>NO</x:v>
      </x:c>
      <x:c r="D316" t="str">
        <x:f>IF(AND(WEEKDAY(A316,2)&lt;=5,C316="NO"),"SÍ","NO")</x:f>
        <x:v>SÍ</x:v>
      </x:c>
      <x:c r="E316" s="2" t="n">
        <x:f>WORKDAY.INTL(A316-1,1,1,FERIADOS!$A$2:$A$250)</x:f>
        <x:v>45972</x:v>
      </x:c>
      <x:c r="F316" t="str">
        <x:f>IF(E316&gt;=WORKDAY.INTL(EOMONTH(E316,0)+1,-2,1,FERIADOS!$A$2:$A$250),"SÍ","NO")</x:f>
        <x:v>NO</x:v>
      </x:c>
      <x:c r="G316" s="10" t="n">
        <x:f>IF(F316="SÍ",EOMONTH(E316,0)+1,DATE(YEAR(E316),MONTH(E316),1))</x:f>
        <x:v>45962</x:v>
      </x:c>
      <x:c r="H316" t="str">
        <x:f>IF(D316="NO",IF(C316="SÍ","FERIADO","FIN DE SEMANA"),"LABORABLE")&amp;IF(F316="SÍ"," + CIERRE","")</x:f>
        <x:v>LABORABLE</x:v>
      </x:c>
      <x:c r="I316" t="str">
        <x:f>TEXT(G316,"yyyy-mm")</x:f>
        <x:v>2025-11</x:v>
      </x:c>
    </x:row>
    <x:row r="317" ht="19" customHeight="1">
      <x:c r="A317" s="2" t="n">
        <x:v>45973</x:v>
      </x:c>
      <x:c r="B317" t="str">
        <x:f>CHOOSE(WEEKDAY(A317,2),"Lunes","Martes","Miércoles","Jueves","Viernes","Sábado","Domingo")</x:f>
        <x:v>Miércoles</x:v>
      </x:c>
      <x:c r="C317" t="str">
        <x:f>IF(COUNTIF(FERIADOS!$A$2:$A$250,A317)&gt;0,"SÍ","NO")</x:f>
        <x:v>NO</x:v>
      </x:c>
      <x:c r="D317" t="str">
        <x:f>IF(AND(WEEKDAY(A317,2)&lt;=5,C317="NO"),"SÍ","NO")</x:f>
        <x:v>SÍ</x:v>
      </x:c>
      <x:c r="E317" s="2" t="n">
        <x:f>WORKDAY.INTL(A317-1,1,1,FERIADOS!$A$2:$A$250)</x:f>
        <x:v>45973</x:v>
      </x:c>
      <x:c r="F317" t="str">
        <x:f>IF(E317&gt;=WORKDAY.INTL(EOMONTH(E317,0)+1,-2,1,FERIADOS!$A$2:$A$250),"SÍ","NO")</x:f>
        <x:v>NO</x:v>
      </x:c>
      <x:c r="G317" s="10" t="n">
        <x:f>IF(F317="SÍ",EOMONTH(E317,0)+1,DATE(YEAR(E317),MONTH(E317),1))</x:f>
        <x:v>45962</x:v>
      </x:c>
      <x:c r="H317" t="str">
        <x:f>IF(D317="NO",IF(C317="SÍ","FERIADO","FIN DE SEMANA"),"LABORABLE")&amp;IF(F317="SÍ"," + CIERRE","")</x:f>
        <x:v>LABORABLE</x:v>
      </x:c>
      <x:c r="I317" t="str">
        <x:f>TEXT(G317,"yyyy-mm")</x:f>
        <x:v>2025-11</x:v>
      </x:c>
    </x:row>
    <x:row r="318" ht="19" customHeight="1">
      <x:c r="A318" s="2" t="n">
        <x:v>45974</x:v>
      </x:c>
      <x:c r="B318" t="str">
        <x:f>CHOOSE(WEEKDAY(A318,2),"Lunes","Martes","Miércoles","Jueves","Viernes","Sábado","Domingo")</x:f>
        <x:v>Jueves</x:v>
      </x:c>
      <x:c r="C318" t="str">
        <x:f>IF(COUNTIF(FERIADOS!$A$2:$A$250,A318)&gt;0,"SÍ","NO")</x:f>
        <x:v>NO</x:v>
      </x:c>
      <x:c r="D318" t="str">
        <x:f>IF(AND(WEEKDAY(A318,2)&lt;=5,C318="NO"),"SÍ","NO")</x:f>
        <x:v>SÍ</x:v>
      </x:c>
      <x:c r="E318" s="2" t="n">
        <x:f>WORKDAY.INTL(A318-1,1,1,FERIADOS!$A$2:$A$250)</x:f>
        <x:v>45974</x:v>
      </x:c>
      <x:c r="F318" t="str">
        <x:f>IF(E318&gt;=WORKDAY.INTL(EOMONTH(E318,0)+1,-2,1,FERIADOS!$A$2:$A$250),"SÍ","NO")</x:f>
        <x:v>NO</x:v>
      </x:c>
      <x:c r="G318" s="10" t="n">
        <x:f>IF(F318="SÍ",EOMONTH(E318,0)+1,DATE(YEAR(E318),MONTH(E318),1))</x:f>
        <x:v>45962</x:v>
      </x:c>
      <x:c r="H318" t="str">
        <x:f>IF(D318="NO",IF(C318="SÍ","FERIADO","FIN DE SEMANA"),"LABORABLE")&amp;IF(F318="SÍ"," + CIERRE","")</x:f>
        <x:v>LABORABLE</x:v>
      </x:c>
      <x:c r="I318" t="str">
        <x:f>TEXT(G318,"yyyy-mm")</x:f>
        <x:v>2025-11</x:v>
      </x:c>
    </x:row>
    <x:row r="319" ht="19" customHeight="1">
      <x:c r="A319" s="2" t="n">
        <x:v>45975</x:v>
      </x:c>
      <x:c r="B319" t="str">
        <x:f>CHOOSE(WEEKDAY(A319,2),"Lunes","Martes","Miércoles","Jueves","Viernes","Sábado","Domingo")</x:f>
        <x:v>Viernes</x:v>
      </x:c>
      <x:c r="C319" t="str">
        <x:f>IF(COUNTIF(FERIADOS!$A$2:$A$250,A319)&gt;0,"SÍ","NO")</x:f>
        <x:v>NO</x:v>
      </x:c>
      <x:c r="D319" t="str">
        <x:f>IF(AND(WEEKDAY(A319,2)&lt;=5,C319="NO"),"SÍ","NO")</x:f>
        <x:v>SÍ</x:v>
      </x:c>
      <x:c r="E319" s="2" t="n">
        <x:f>WORKDAY.INTL(A319-1,1,1,FERIADOS!$A$2:$A$250)</x:f>
        <x:v>45975</x:v>
      </x:c>
      <x:c r="F319" t="str">
        <x:f>IF(E319&gt;=WORKDAY.INTL(EOMONTH(E319,0)+1,-2,1,FERIADOS!$A$2:$A$250),"SÍ","NO")</x:f>
        <x:v>NO</x:v>
      </x:c>
      <x:c r="G319" s="10" t="n">
        <x:f>IF(F319="SÍ",EOMONTH(E319,0)+1,DATE(YEAR(E319),MONTH(E319),1))</x:f>
        <x:v>45962</x:v>
      </x:c>
      <x:c r="H319" t="str">
        <x:f>IF(D319="NO",IF(C319="SÍ","FERIADO","FIN DE SEMANA"),"LABORABLE")&amp;IF(F319="SÍ"," + CIERRE","")</x:f>
        <x:v>LABORABLE</x:v>
      </x:c>
      <x:c r="I319" t="str">
        <x:f>TEXT(G319,"yyyy-mm")</x:f>
        <x:v>2025-11</x:v>
      </x:c>
    </x:row>
    <x:row r="320" ht="19" customHeight="1">
      <x:c r="A320" s="2" t="n">
        <x:v>45976</x:v>
      </x:c>
      <x:c r="B320" t="str">
        <x:f>CHOOSE(WEEKDAY(A320,2),"Lunes","Martes","Miércoles","Jueves","Viernes","Sábado","Domingo")</x:f>
        <x:v>Sábado</x:v>
      </x:c>
      <x:c r="C320" t="str">
        <x:f>IF(COUNTIF(FERIADOS!$A$2:$A$250,A320)&gt;0,"SÍ","NO")</x:f>
        <x:v>NO</x:v>
      </x:c>
      <x:c r="D320" t="str">
        <x:f>IF(AND(WEEKDAY(A320,2)&lt;=5,C320="NO"),"SÍ","NO")</x:f>
        <x:v>NO</x:v>
      </x:c>
      <x:c r="E320" s="2" t="n">
        <x:f>WORKDAY.INTL(A320-1,1,1,FERIADOS!$A$2:$A$250)</x:f>
        <x:v>45978</x:v>
      </x:c>
      <x:c r="F320" t="str">
        <x:f>IF(E320&gt;=WORKDAY.INTL(EOMONTH(E320,0)+1,-2,1,FERIADOS!$A$2:$A$250),"SÍ","NO")</x:f>
        <x:v>NO</x:v>
      </x:c>
      <x:c r="G320" s="10" t="n">
        <x:f>IF(F320="SÍ",EOMONTH(E320,0)+1,DATE(YEAR(E320),MONTH(E320),1))</x:f>
        <x:v>45962</x:v>
      </x:c>
      <x:c r="H320" t="str">
        <x:f>IF(D320="NO",IF(C320="SÍ","FERIADO","FIN DE SEMANA"),"LABORABLE")&amp;IF(F320="SÍ"," + CIERRE","")</x:f>
        <x:v>FIN DE SEMANA</x:v>
      </x:c>
      <x:c r="I320" t="str">
        <x:f>TEXT(G320,"yyyy-mm")</x:f>
        <x:v>2025-11</x:v>
      </x:c>
    </x:row>
    <x:row r="321" ht="19" customHeight="1">
      <x:c r="A321" s="2" t="n">
        <x:v>45977</x:v>
      </x:c>
      <x:c r="B321" t="str">
        <x:f>CHOOSE(WEEKDAY(A321,2),"Lunes","Martes","Miércoles","Jueves","Viernes","Sábado","Domingo")</x:f>
        <x:v>Domingo</x:v>
      </x:c>
      <x:c r="C321" t="str">
        <x:f>IF(COUNTIF(FERIADOS!$A$2:$A$250,A321)&gt;0,"SÍ","NO")</x:f>
        <x:v>NO</x:v>
      </x:c>
      <x:c r="D321" t="str">
        <x:f>IF(AND(WEEKDAY(A321,2)&lt;=5,C321="NO"),"SÍ","NO")</x:f>
        <x:v>NO</x:v>
      </x:c>
      <x:c r="E321" s="2" t="n">
        <x:f>WORKDAY.INTL(A321-1,1,1,FERIADOS!$A$2:$A$250)</x:f>
        <x:v>45978</x:v>
      </x:c>
      <x:c r="F321" t="str">
        <x:f>IF(E321&gt;=WORKDAY.INTL(EOMONTH(E321,0)+1,-2,1,FERIADOS!$A$2:$A$250),"SÍ","NO")</x:f>
        <x:v>NO</x:v>
      </x:c>
      <x:c r="G321" s="10" t="n">
        <x:f>IF(F321="SÍ",EOMONTH(E321,0)+1,DATE(YEAR(E321),MONTH(E321),1))</x:f>
        <x:v>45962</x:v>
      </x:c>
      <x:c r="H321" t="str">
        <x:f>IF(D321="NO",IF(C321="SÍ","FERIADO","FIN DE SEMANA"),"LABORABLE")&amp;IF(F321="SÍ"," + CIERRE","")</x:f>
        <x:v>FIN DE SEMANA</x:v>
      </x:c>
      <x:c r="I321" t="str">
        <x:f>TEXT(G321,"yyyy-mm")</x:f>
        <x:v>2025-11</x:v>
      </x:c>
    </x:row>
    <x:row r="322" ht="19" customHeight="1">
      <x:c r="A322" s="2" t="n">
        <x:v>45978</x:v>
      </x:c>
      <x:c r="B322" t="str">
        <x:f>CHOOSE(WEEKDAY(A322,2),"Lunes","Martes","Miércoles","Jueves","Viernes","Sábado","Domingo")</x:f>
        <x:v>Lunes</x:v>
      </x:c>
      <x:c r="C322" t="str">
        <x:f>IF(COUNTIF(FERIADOS!$A$2:$A$250,A322)&gt;0,"SÍ","NO")</x:f>
        <x:v>NO</x:v>
      </x:c>
      <x:c r="D322" t="str">
        <x:f>IF(AND(WEEKDAY(A322,2)&lt;=5,C322="NO"),"SÍ","NO")</x:f>
        <x:v>SÍ</x:v>
      </x:c>
      <x:c r="E322" s="2" t="n">
        <x:f>WORKDAY.INTL(A322-1,1,1,FERIADOS!$A$2:$A$250)</x:f>
        <x:v>45978</x:v>
      </x:c>
      <x:c r="F322" t="str">
        <x:f>IF(E322&gt;=WORKDAY.INTL(EOMONTH(E322,0)+1,-2,1,FERIADOS!$A$2:$A$250),"SÍ","NO")</x:f>
        <x:v>NO</x:v>
      </x:c>
      <x:c r="G322" s="10" t="n">
        <x:f>IF(F322="SÍ",EOMONTH(E322,0)+1,DATE(YEAR(E322),MONTH(E322),1))</x:f>
        <x:v>45962</x:v>
      </x:c>
      <x:c r="H322" t="str">
        <x:f>IF(D322="NO",IF(C322="SÍ","FERIADO","FIN DE SEMANA"),"LABORABLE")&amp;IF(F322="SÍ"," + CIERRE","")</x:f>
        <x:v>LABORABLE</x:v>
      </x:c>
      <x:c r="I322" t="str">
        <x:f>TEXT(G322,"yyyy-mm")</x:f>
        <x:v>2025-11</x:v>
      </x:c>
    </x:row>
    <x:row r="323" ht="19" customHeight="1">
      <x:c r="A323" s="2" t="n">
        <x:v>45979</x:v>
      </x:c>
      <x:c r="B323" t="str">
        <x:f>CHOOSE(WEEKDAY(A323,2),"Lunes","Martes","Miércoles","Jueves","Viernes","Sábado","Domingo")</x:f>
        <x:v>Martes</x:v>
      </x:c>
      <x:c r="C323" t="str">
        <x:f>IF(COUNTIF(FERIADOS!$A$2:$A$250,A323)&gt;0,"SÍ","NO")</x:f>
        <x:v>NO</x:v>
      </x:c>
      <x:c r="D323" t="str">
        <x:f>IF(AND(WEEKDAY(A323,2)&lt;=5,C323="NO"),"SÍ","NO")</x:f>
        <x:v>SÍ</x:v>
      </x:c>
      <x:c r="E323" s="2" t="n">
        <x:f>WORKDAY.INTL(A323-1,1,1,FERIADOS!$A$2:$A$250)</x:f>
        <x:v>45979</x:v>
      </x:c>
      <x:c r="F323" t="str">
        <x:f>IF(E323&gt;=WORKDAY.INTL(EOMONTH(E323,0)+1,-2,1,FERIADOS!$A$2:$A$250),"SÍ","NO")</x:f>
        <x:v>NO</x:v>
      </x:c>
      <x:c r="G323" s="10" t="n">
        <x:f>IF(F323="SÍ",EOMONTH(E323,0)+1,DATE(YEAR(E323),MONTH(E323),1))</x:f>
        <x:v>45962</x:v>
      </x:c>
      <x:c r="H323" t="str">
        <x:f>IF(D323="NO",IF(C323="SÍ","FERIADO","FIN DE SEMANA"),"LABORABLE")&amp;IF(F323="SÍ"," + CIERRE","")</x:f>
        <x:v>LABORABLE</x:v>
      </x:c>
      <x:c r="I323" t="str">
        <x:f>TEXT(G323,"yyyy-mm")</x:f>
        <x:v>2025-11</x:v>
      </x:c>
    </x:row>
    <x:row r="324" ht="19" customHeight="1">
      <x:c r="A324" s="2" t="n">
        <x:v>45980</x:v>
      </x:c>
      <x:c r="B324" t="str">
        <x:f>CHOOSE(WEEKDAY(A324,2),"Lunes","Martes","Miércoles","Jueves","Viernes","Sábado","Domingo")</x:f>
        <x:v>Miércoles</x:v>
      </x:c>
      <x:c r="C324" t="str">
        <x:f>IF(COUNTIF(FERIADOS!$A$2:$A$250,A324)&gt;0,"SÍ","NO")</x:f>
        <x:v>NO</x:v>
      </x:c>
      <x:c r="D324" t="str">
        <x:f>IF(AND(WEEKDAY(A324,2)&lt;=5,C324="NO"),"SÍ","NO")</x:f>
        <x:v>SÍ</x:v>
      </x:c>
      <x:c r="E324" s="2" t="n">
        <x:f>WORKDAY.INTL(A324-1,1,1,FERIADOS!$A$2:$A$250)</x:f>
        <x:v>45980</x:v>
      </x:c>
      <x:c r="F324" t="str">
        <x:f>IF(E324&gt;=WORKDAY.INTL(EOMONTH(E324,0)+1,-2,1,FERIADOS!$A$2:$A$250),"SÍ","NO")</x:f>
        <x:v>NO</x:v>
      </x:c>
      <x:c r="G324" s="10" t="n">
        <x:f>IF(F324="SÍ",EOMONTH(E324,0)+1,DATE(YEAR(E324),MONTH(E324),1))</x:f>
        <x:v>45962</x:v>
      </x:c>
      <x:c r="H324" t="str">
        <x:f>IF(D324="NO",IF(C324="SÍ","FERIADO","FIN DE SEMANA"),"LABORABLE")&amp;IF(F324="SÍ"," + CIERRE","")</x:f>
        <x:v>LABORABLE</x:v>
      </x:c>
      <x:c r="I324" t="str">
        <x:f>TEXT(G324,"yyyy-mm")</x:f>
        <x:v>2025-11</x:v>
      </x:c>
    </x:row>
    <x:row r="325" ht="19" customHeight="1">
      <x:c r="A325" s="2" t="n">
        <x:v>45981</x:v>
      </x:c>
      <x:c r="B325" t="str">
        <x:f>CHOOSE(WEEKDAY(A325,2),"Lunes","Martes","Miércoles","Jueves","Viernes","Sábado","Domingo")</x:f>
        <x:v>Jueves</x:v>
      </x:c>
      <x:c r="C325" t="str">
        <x:f>IF(COUNTIF(FERIADOS!$A$2:$A$250,A325)&gt;0,"SÍ","NO")</x:f>
        <x:v>NO</x:v>
      </x:c>
      <x:c r="D325" t="str">
        <x:f>IF(AND(WEEKDAY(A325,2)&lt;=5,C325="NO"),"SÍ","NO")</x:f>
        <x:v>SÍ</x:v>
      </x:c>
      <x:c r="E325" s="2" t="n">
        <x:f>WORKDAY.INTL(A325-1,1,1,FERIADOS!$A$2:$A$250)</x:f>
        <x:v>45981</x:v>
      </x:c>
      <x:c r="F325" t="str">
        <x:f>IF(E325&gt;=WORKDAY.INTL(EOMONTH(E325,0)+1,-2,1,FERIADOS!$A$2:$A$250),"SÍ","NO")</x:f>
        <x:v>NO</x:v>
      </x:c>
      <x:c r="G325" s="10" t="n">
        <x:f>IF(F325="SÍ",EOMONTH(E325,0)+1,DATE(YEAR(E325),MONTH(E325),1))</x:f>
        <x:v>45962</x:v>
      </x:c>
      <x:c r="H325" t="str">
        <x:f>IF(D325="NO",IF(C325="SÍ","FERIADO","FIN DE SEMANA"),"LABORABLE")&amp;IF(F325="SÍ"," + CIERRE","")</x:f>
        <x:v>LABORABLE</x:v>
      </x:c>
      <x:c r="I325" t="str">
        <x:f>TEXT(G325,"yyyy-mm")</x:f>
        <x:v>2025-11</x:v>
      </x:c>
    </x:row>
    <x:row r="326" ht="19" customHeight="1">
      <x:c r="A326" s="2" t="n">
        <x:v>45982</x:v>
      </x:c>
      <x:c r="B326" t="str">
        <x:f>CHOOSE(WEEKDAY(A326,2),"Lunes","Martes","Miércoles","Jueves","Viernes","Sábado","Domingo")</x:f>
        <x:v>Viernes</x:v>
      </x:c>
      <x:c r="C326" t="str">
        <x:f>IF(COUNTIF(FERIADOS!$A$2:$A$250,A326)&gt;0,"SÍ","NO")</x:f>
        <x:v>NO</x:v>
      </x:c>
      <x:c r="D326" t="str">
        <x:f>IF(AND(WEEKDAY(A326,2)&lt;=5,C326="NO"),"SÍ","NO")</x:f>
        <x:v>SÍ</x:v>
      </x:c>
      <x:c r="E326" s="2" t="n">
        <x:f>WORKDAY.INTL(A326-1,1,1,FERIADOS!$A$2:$A$250)</x:f>
        <x:v>45982</x:v>
      </x:c>
      <x:c r="F326" t="str">
        <x:f>IF(E326&gt;=WORKDAY.INTL(EOMONTH(E326,0)+1,-2,1,FERIADOS!$A$2:$A$250),"SÍ","NO")</x:f>
        <x:v>NO</x:v>
      </x:c>
      <x:c r="G326" s="10" t="n">
        <x:f>IF(F326="SÍ",EOMONTH(E326,0)+1,DATE(YEAR(E326),MONTH(E326),1))</x:f>
        <x:v>45962</x:v>
      </x:c>
      <x:c r="H326" t="str">
        <x:f>IF(D326="NO",IF(C326="SÍ","FERIADO","FIN DE SEMANA"),"LABORABLE")&amp;IF(F326="SÍ"," + CIERRE","")</x:f>
        <x:v>LABORABLE</x:v>
      </x:c>
      <x:c r="I326" t="str">
        <x:f>TEXT(G326,"yyyy-mm")</x:f>
        <x:v>2025-11</x:v>
      </x:c>
    </x:row>
    <x:row r="327" ht="19" customHeight="1">
      <x:c r="A327" s="2" t="n">
        <x:v>45983</x:v>
      </x:c>
      <x:c r="B327" t="str">
        <x:f>CHOOSE(WEEKDAY(A327,2),"Lunes","Martes","Miércoles","Jueves","Viernes","Sábado","Domingo")</x:f>
        <x:v>Sábado</x:v>
      </x:c>
      <x:c r="C327" t="str">
        <x:f>IF(COUNTIF(FERIADOS!$A$2:$A$250,A327)&gt;0,"SÍ","NO")</x:f>
        <x:v>NO</x:v>
      </x:c>
      <x:c r="D327" t="str">
        <x:f>IF(AND(WEEKDAY(A327,2)&lt;=5,C327="NO"),"SÍ","NO")</x:f>
        <x:v>NO</x:v>
      </x:c>
      <x:c r="E327" s="2" t="n">
        <x:f>WORKDAY.INTL(A327-1,1,1,FERIADOS!$A$2:$A$250)</x:f>
        <x:v>45985</x:v>
      </x:c>
      <x:c r="F327" t="str">
        <x:f>IF(E327&gt;=WORKDAY.INTL(EOMONTH(E327,0)+1,-2,1,FERIADOS!$A$2:$A$250),"SÍ","NO")</x:f>
        <x:v>NO</x:v>
      </x:c>
      <x:c r="G327" s="10" t="n">
        <x:f>IF(F327="SÍ",EOMONTH(E327,0)+1,DATE(YEAR(E327),MONTH(E327),1))</x:f>
        <x:v>45962</x:v>
      </x:c>
      <x:c r="H327" t="str">
        <x:f>IF(D327="NO",IF(C327="SÍ","FERIADO","FIN DE SEMANA"),"LABORABLE")&amp;IF(F327="SÍ"," + CIERRE","")</x:f>
        <x:v>FIN DE SEMANA</x:v>
      </x:c>
      <x:c r="I327" t="str">
        <x:f>TEXT(G327,"yyyy-mm")</x:f>
        <x:v>2025-11</x:v>
      </x:c>
    </x:row>
    <x:row r="328" ht="19" customHeight="1">
      <x:c r="A328" s="2" t="n">
        <x:v>45984</x:v>
      </x:c>
      <x:c r="B328" t="str">
        <x:f>CHOOSE(WEEKDAY(A328,2),"Lunes","Martes","Miércoles","Jueves","Viernes","Sábado","Domingo")</x:f>
        <x:v>Domingo</x:v>
      </x:c>
      <x:c r="C328" t="str">
        <x:f>IF(COUNTIF(FERIADOS!$A$2:$A$250,A328)&gt;0,"SÍ","NO")</x:f>
        <x:v>NO</x:v>
      </x:c>
      <x:c r="D328" t="str">
        <x:f>IF(AND(WEEKDAY(A328,2)&lt;=5,C328="NO"),"SÍ","NO")</x:f>
        <x:v>NO</x:v>
      </x:c>
      <x:c r="E328" s="2" t="n">
        <x:f>WORKDAY.INTL(A328-1,1,1,FERIADOS!$A$2:$A$250)</x:f>
        <x:v>45985</x:v>
      </x:c>
      <x:c r="F328" t="str">
        <x:f>IF(E328&gt;=WORKDAY.INTL(EOMONTH(E328,0)+1,-2,1,FERIADOS!$A$2:$A$250),"SÍ","NO")</x:f>
        <x:v>NO</x:v>
      </x:c>
      <x:c r="G328" s="10" t="n">
        <x:f>IF(F328="SÍ",EOMONTH(E328,0)+1,DATE(YEAR(E328),MONTH(E328),1))</x:f>
        <x:v>45962</x:v>
      </x:c>
      <x:c r="H328" t="str">
        <x:f>IF(D328="NO",IF(C328="SÍ","FERIADO","FIN DE SEMANA"),"LABORABLE")&amp;IF(F328="SÍ"," + CIERRE","")</x:f>
        <x:v>FIN DE SEMANA</x:v>
      </x:c>
      <x:c r="I328" t="str">
        <x:f>TEXT(G328,"yyyy-mm")</x:f>
        <x:v>2025-11</x:v>
      </x:c>
    </x:row>
    <x:row r="329" ht="19" customHeight="1">
      <x:c r="A329" s="2" t="n">
        <x:v>45985</x:v>
      </x:c>
      <x:c r="B329" t="str">
        <x:f>CHOOSE(WEEKDAY(A329,2),"Lunes","Martes","Miércoles","Jueves","Viernes","Sábado","Domingo")</x:f>
        <x:v>Lunes</x:v>
      </x:c>
      <x:c r="C329" t="str">
        <x:f>IF(COUNTIF(FERIADOS!$A$2:$A$250,A329)&gt;0,"SÍ","NO")</x:f>
        <x:v>NO</x:v>
      </x:c>
      <x:c r="D329" t="str">
        <x:f>IF(AND(WEEKDAY(A329,2)&lt;=5,C329="NO"),"SÍ","NO")</x:f>
        <x:v>SÍ</x:v>
      </x:c>
      <x:c r="E329" s="2" t="n">
        <x:f>WORKDAY.INTL(A329-1,1,1,FERIADOS!$A$2:$A$250)</x:f>
        <x:v>45985</x:v>
      </x:c>
      <x:c r="F329" t="str">
        <x:f>IF(E329&gt;=WORKDAY.INTL(EOMONTH(E329,0)+1,-2,1,FERIADOS!$A$2:$A$250),"SÍ","NO")</x:f>
        <x:v>NO</x:v>
      </x:c>
      <x:c r="G329" s="10" t="n">
        <x:f>IF(F329="SÍ",EOMONTH(E329,0)+1,DATE(YEAR(E329),MONTH(E329),1))</x:f>
        <x:v>45962</x:v>
      </x:c>
      <x:c r="H329" t="str">
        <x:f>IF(D329="NO",IF(C329="SÍ","FERIADO","FIN DE SEMANA"),"LABORABLE")&amp;IF(F329="SÍ"," + CIERRE","")</x:f>
        <x:v>LABORABLE</x:v>
      </x:c>
      <x:c r="I329" t="str">
        <x:f>TEXT(G329,"yyyy-mm")</x:f>
        <x:v>2025-11</x:v>
      </x:c>
    </x:row>
    <x:row r="330" ht="19" customHeight="1">
      <x:c r="A330" s="2" t="n">
        <x:v>45986</x:v>
      </x:c>
      <x:c r="B330" t="str">
        <x:f>CHOOSE(WEEKDAY(A330,2),"Lunes","Martes","Miércoles","Jueves","Viernes","Sábado","Domingo")</x:f>
        <x:v>Martes</x:v>
      </x:c>
      <x:c r="C330" t="str">
        <x:f>IF(COUNTIF(FERIADOS!$A$2:$A$250,A330)&gt;0,"SÍ","NO")</x:f>
        <x:v>NO</x:v>
      </x:c>
      <x:c r="D330" t="str">
        <x:f>IF(AND(WEEKDAY(A330,2)&lt;=5,C330="NO"),"SÍ","NO")</x:f>
        <x:v>SÍ</x:v>
      </x:c>
      <x:c r="E330" s="2" t="n">
        <x:f>WORKDAY.INTL(A330-1,1,1,FERIADOS!$A$2:$A$250)</x:f>
        <x:v>45986</x:v>
      </x:c>
      <x:c r="F330" t="str">
        <x:f>IF(E330&gt;=WORKDAY.INTL(EOMONTH(E330,0)+1,-2,1,FERIADOS!$A$2:$A$250),"SÍ","NO")</x:f>
        <x:v>NO</x:v>
      </x:c>
      <x:c r="G330" s="10" t="n">
        <x:f>IF(F330="SÍ",EOMONTH(E330,0)+1,DATE(YEAR(E330),MONTH(E330),1))</x:f>
        <x:v>45962</x:v>
      </x:c>
      <x:c r="H330" t="str">
        <x:f>IF(D330="NO",IF(C330="SÍ","FERIADO","FIN DE SEMANA"),"LABORABLE")&amp;IF(F330="SÍ"," + CIERRE","")</x:f>
        <x:v>LABORABLE</x:v>
      </x:c>
      <x:c r="I330" t="str">
        <x:f>TEXT(G330,"yyyy-mm")</x:f>
        <x:v>2025-11</x:v>
      </x:c>
    </x:row>
    <x:row r="331" ht="19" customHeight="1">
      <x:c r="A331" s="2" t="n">
        <x:v>45987</x:v>
      </x:c>
      <x:c r="B331" t="str">
        <x:f>CHOOSE(WEEKDAY(A331,2),"Lunes","Martes","Miércoles","Jueves","Viernes","Sábado","Domingo")</x:f>
        <x:v>Miércoles</x:v>
      </x:c>
      <x:c r="C331" t="str">
        <x:f>IF(COUNTIF(FERIADOS!$A$2:$A$250,A331)&gt;0,"SÍ","NO")</x:f>
        <x:v>NO</x:v>
      </x:c>
      <x:c r="D331" t="str">
        <x:f>IF(AND(WEEKDAY(A331,2)&lt;=5,C331="NO"),"SÍ","NO")</x:f>
        <x:v>SÍ</x:v>
      </x:c>
      <x:c r="E331" s="2" t="n">
        <x:f>WORKDAY.INTL(A331-1,1,1,FERIADOS!$A$2:$A$250)</x:f>
        <x:v>45987</x:v>
      </x:c>
      <x:c r="F331" t="str">
        <x:f>IF(E331&gt;=WORKDAY.INTL(EOMONTH(E331,0)+1,-2,1,FERIADOS!$A$2:$A$250),"SÍ","NO")</x:f>
        <x:v>NO</x:v>
      </x:c>
      <x:c r="G331" s="10" t="n">
        <x:f>IF(F331="SÍ",EOMONTH(E331,0)+1,DATE(YEAR(E331),MONTH(E331),1))</x:f>
        <x:v>45962</x:v>
      </x:c>
      <x:c r="H331" t="str">
        <x:f>IF(D331="NO",IF(C331="SÍ","FERIADO","FIN DE SEMANA"),"LABORABLE")&amp;IF(F331="SÍ"," + CIERRE","")</x:f>
        <x:v>LABORABLE</x:v>
      </x:c>
      <x:c r="I331" t="str">
        <x:f>TEXT(G331,"yyyy-mm")</x:f>
        <x:v>2025-11</x:v>
      </x:c>
    </x:row>
    <x:row r="332" ht="19" customHeight="1">
      <x:c r="A332" s="2" t="n">
        <x:v>45988</x:v>
      </x:c>
      <x:c r="B332" t="str">
        <x:f>CHOOSE(WEEKDAY(A332,2),"Lunes","Martes","Miércoles","Jueves","Viernes","Sábado","Domingo")</x:f>
        <x:v>Jueves</x:v>
      </x:c>
      <x:c r="C332" t="str">
        <x:f>IF(COUNTIF(FERIADOS!$A$2:$A$250,A332)&gt;0,"SÍ","NO")</x:f>
        <x:v>NO</x:v>
      </x:c>
      <x:c r="D332" t="str">
        <x:f>IF(AND(WEEKDAY(A332,2)&lt;=5,C332="NO"),"SÍ","NO")</x:f>
        <x:v>SÍ</x:v>
      </x:c>
      <x:c r="E332" s="2" t="n">
        <x:f>WORKDAY.INTL(A332-1,1,1,FERIADOS!$A$2:$A$250)</x:f>
        <x:v>45988</x:v>
      </x:c>
      <x:c r="F332" t="str">
        <x:f>IF(E332&gt;=WORKDAY.INTL(EOMONTH(E332,0)+1,-2,1,FERIADOS!$A$2:$A$250),"SÍ","NO")</x:f>
        <x:v>SÍ</x:v>
      </x:c>
      <x:c r="G332" s="10" t="n">
        <x:f>IF(F332="SÍ",EOMONTH(E332,0)+1,DATE(YEAR(E332),MONTH(E332),1))</x:f>
        <x:v>45992</x:v>
      </x:c>
      <x:c r="H332" t="str">
        <x:f>IF(D332="NO",IF(C332="SÍ","FERIADO","FIN DE SEMANA"),"LABORABLE")&amp;IF(F332="SÍ"," + CIERRE","")</x:f>
        <x:v>LABORABLE + CIERRE</x:v>
      </x:c>
      <x:c r="I332" t="str">
        <x:f>TEXT(G332,"yyyy-mm")</x:f>
        <x:v>2025-12</x:v>
      </x:c>
    </x:row>
    <x:row r="333" ht="19" customHeight="1">
      <x:c r="A333" s="2" t="n">
        <x:v>45989</x:v>
      </x:c>
      <x:c r="B333" t="str">
        <x:f>CHOOSE(WEEKDAY(A333,2),"Lunes","Martes","Miércoles","Jueves","Viernes","Sábado","Domingo")</x:f>
        <x:v>Viernes</x:v>
      </x:c>
      <x:c r="C333" t="str">
        <x:f>IF(COUNTIF(FERIADOS!$A$2:$A$250,A333)&gt;0,"SÍ","NO")</x:f>
        <x:v>NO</x:v>
      </x:c>
      <x:c r="D333" t="str">
        <x:f>IF(AND(WEEKDAY(A333,2)&lt;=5,C333="NO"),"SÍ","NO")</x:f>
        <x:v>SÍ</x:v>
      </x:c>
      <x:c r="E333" s="2" t="n">
        <x:f>WORKDAY.INTL(A333-1,1,1,FERIADOS!$A$2:$A$250)</x:f>
        <x:v>45989</x:v>
      </x:c>
      <x:c r="F333" t="str">
        <x:f>IF(E333&gt;=WORKDAY.INTL(EOMONTH(E333,0)+1,-2,1,FERIADOS!$A$2:$A$250),"SÍ","NO")</x:f>
        <x:v>SÍ</x:v>
      </x:c>
      <x:c r="G333" s="10" t="n">
        <x:f>IF(F333="SÍ",EOMONTH(E333,0)+1,DATE(YEAR(E333),MONTH(E333),1))</x:f>
        <x:v>45992</x:v>
      </x:c>
      <x:c r="H333" t="str">
        <x:f>IF(D333="NO",IF(C333="SÍ","FERIADO","FIN DE SEMANA"),"LABORABLE")&amp;IF(F333="SÍ"," + CIERRE","")</x:f>
        <x:v>LABORABLE + CIERRE</x:v>
      </x:c>
      <x:c r="I333" t="str">
        <x:f>TEXT(G333,"yyyy-mm")</x:f>
        <x:v>2025-12</x:v>
      </x:c>
    </x:row>
    <x:row r="334" ht="19" customHeight="1">
      <x:c r="A334" s="2" t="n">
        <x:v>45990</x:v>
      </x:c>
      <x:c r="B334" t="str">
        <x:f>CHOOSE(WEEKDAY(A334,2),"Lunes","Martes","Miércoles","Jueves","Viernes","Sábado","Domingo")</x:f>
        <x:v>Sábado</x:v>
      </x:c>
      <x:c r="C334" t="str">
        <x:f>IF(COUNTIF(FERIADOS!$A$2:$A$250,A334)&gt;0,"SÍ","NO")</x:f>
        <x:v>NO</x:v>
      </x:c>
      <x:c r="D334" t="str">
        <x:f>IF(AND(WEEKDAY(A334,2)&lt;=5,C334="NO"),"SÍ","NO")</x:f>
        <x:v>NO</x:v>
      </x:c>
      <x:c r="E334" s="2" t="n">
        <x:f>WORKDAY.INTL(A334-1,1,1,FERIADOS!$A$2:$A$250)</x:f>
        <x:v>45992</x:v>
      </x:c>
      <x:c r="F334" t="str">
        <x:f>IF(E334&gt;=WORKDAY.INTL(EOMONTH(E334,0)+1,-2,1,FERIADOS!$A$2:$A$250),"SÍ","NO")</x:f>
        <x:v>NO</x:v>
      </x:c>
      <x:c r="G334" s="10" t="n">
        <x:f>IF(F334="SÍ",EOMONTH(E334,0)+1,DATE(YEAR(E334),MONTH(E334),1))</x:f>
        <x:v>45992</x:v>
      </x:c>
      <x:c r="H334" t="str">
        <x:f>IF(D334="NO",IF(C334="SÍ","FERIADO","FIN DE SEMANA"),"LABORABLE")&amp;IF(F334="SÍ"," + CIERRE","")</x:f>
        <x:v>FIN DE SEMANA</x:v>
      </x:c>
      <x:c r="I334" t="str">
        <x:f>TEXT(G334,"yyyy-mm")</x:f>
        <x:v>2025-12</x:v>
      </x:c>
    </x:row>
    <x:row r="335" ht="19" customHeight="1">
      <x:c r="A335" s="2" t="n">
        <x:v>45991</x:v>
      </x:c>
      <x:c r="B335" t="str">
        <x:f>CHOOSE(WEEKDAY(A335,2),"Lunes","Martes","Miércoles","Jueves","Viernes","Sábado","Domingo")</x:f>
        <x:v>Domingo</x:v>
      </x:c>
      <x:c r="C335" t="str">
        <x:f>IF(COUNTIF(FERIADOS!$A$2:$A$250,A335)&gt;0,"SÍ","NO")</x:f>
        <x:v>NO</x:v>
      </x:c>
      <x:c r="D335" t="str">
        <x:f>IF(AND(WEEKDAY(A335,2)&lt;=5,C335="NO"),"SÍ","NO")</x:f>
        <x:v>NO</x:v>
      </x:c>
      <x:c r="E335" s="2" t="n">
        <x:f>WORKDAY.INTL(A335-1,1,1,FERIADOS!$A$2:$A$250)</x:f>
        <x:v>45992</x:v>
      </x:c>
      <x:c r="F335" t="str">
        <x:f>IF(E335&gt;=WORKDAY.INTL(EOMONTH(E335,0)+1,-2,1,FERIADOS!$A$2:$A$250),"SÍ","NO")</x:f>
        <x:v>NO</x:v>
      </x:c>
      <x:c r="G335" s="10" t="n">
        <x:f>IF(F335="SÍ",EOMONTH(E335,0)+1,DATE(YEAR(E335),MONTH(E335),1))</x:f>
        <x:v>45992</x:v>
      </x:c>
      <x:c r="H335" t="str">
        <x:f>IF(D335="NO",IF(C335="SÍ","FERIADO","FIN DE SEMANA"),"LABORABLE")&amp;IF(F335="SÍ"," + CIERRE","")</x:f>
        <x:v>FIN DE SEMANA</x:v>
      </x:c>
      <x:c r="I335" t="str">
        <x:f>TEXT(G335,"yyyy-mm")</x:f>
        <x:v>2025-12</x:v>
      </x:c>
    </x:row>
    <x:row r="336" ht="19" customHeight="1">
      <x:c r="A336" s="2" t="n">
        <x:v>45992</x:v>
      </x:c>
      <x:c r="B336" t="str">
        <x:f>CHOOSE(WEEKDAY(A336,2),"Lunes","Martes","Miércoles","Jueves","Viernes","Sábado","Domingo")</x:f>
        <x:v>Lunes</x:v>
      </x:c>
      <x:c r="C336" t="str">
        <x:f>IF(COUNTIF(FERIADOS!$A$2:$A$250,A336)&gt;0,"SÍ","NO")</x:f>
        <x:v>NO</x:v>
      </x:c>
      <x:c r="D336" t="str">
        <x:f>IF(AND(WEEKDAY(A336,2)&lt;=5,C336="NO"),"SÍ","NO")</x:f>
        <x:v>SÍ</x:v>
      </x:c>
      <x:c r="E336" s="2" t="n">
        <x:f>WORKDAY.INTL(A336-1,1,1,FERIADOS!$A$2:$A$250)</x:f>
        <x:v>45992</x:v>
      </x:c>
      <x:c r="F336" t="str">
        <x:f>IF(E336&gt;=WORKDAY.INTL(EOMONTH(E336,0)+1,-2,1,FERIADOS!$A$2:$A$250),"SÍ","NO")</x:f>
        <x:v>NO</x:v>
      </x:c>
      <x:c r="G336" s="10" t="n">
        <x:f>IF(F336="SÍ",EOMONTH(E336,0)+1,DATE(YEAR(E336),MONTH(E336),1))</x:f>
        <x:v>45992</x:v>
      </x:c>
      <x:c r="H336" t="str">
        <x:f>IF(D336="NO",IF(C336="SÍ","FERIADO","FIN DE SEMANA"),"LABORABLE")&amp;IF(F336="SÍ"," + CIERRE","")</x:f>
        <x:v>LABORABLE</x:v>
      </x:c>
      <x:c r="I336" t="str">
        <x:f>TEXT(G336,"yyyy-mm")</x:f>
        <x:v>2025-12</x:v>
      </x:c>
    </x:row>
    <x:row r="337" ht="19" customHeight="1">
      <x:c r="A337" s="2" t="n">
        <x:v>45993</x:v>
      </x:c>
      <x:c r="B337" t="str">
        <x:f>CHOOSE(WEEKDAY(A337,2),"Lunes","Martes","Miércoles","Jueves","Viernes","Sábado","Domingo")</x:f>
        <x:v>Martes</x:v>
      </x:c>
      <x:c r="C337" t="str">
        <x:f>IF(COUNTIF(FERIADOS!$A$2:$A$250,A337)&gt;0,"SÍ","NO")</x:f>
        <x:v>NO</x:v>
      </x:c>
      <x:c r="D337" t="str">
        <x:f>IF(AND(WEEKDAY(A337,2)&lt;=5,C337="NO"),"SÍ","NO")</x:f>
        <x:v>SÍ</x:v>
      </x:c>
      <x:c r="E337" s="2" t="n">
        <x:f>WORKDAY.INTL(A337-1,1,1,FERIADOS!$A$2:$A$250)</x:f>
        <x:v>45993</x:v>
      </x:c>
      <x:c r="F337" t="str">
        <x:f>IF(E337&gt;=WORKDAY.INTL(EOMONTH(E337,0)+1,-2,1,FERIADOS!$A$2:$A$250),"SÍ","NO")</x:f>
        <x:v>NO</x:v>
      </x:c>
      <x:c r="G337" s="10" t="n">
        <x:f>IF(F337="SÍ",EOMONTH(E337,0)+1,DATE(YEAR(E337),MONTH(E337),1))</x:f>
        <x:v>45992</x:v>
      </x:c>
      <x:c r="H337" t="str">
        <x:f>IF(D337="NO",IF(C337="SÍ","FERIADO","FIN DE SEMANA"),"LABORABLE")&amp;IF(F337="SÍ"," + CIERRE","")</x:f>
        <x:v>LABORABLE</x:v>
      </x:c>
      <x:c r="I337" t="str">
        <x:f>TEXT(G337,"yyyy-mm")</x:f>
        <x:v>2025-12</x:v>
      </x:c>
    </x:row>
    <x:row r="338" ht="19" customHeight="1">
      <x:c r="A338" s="2" t="n">
        <x:v>45994</x:v>
      </x:c>
      <x:c r="B338" t="str">
        <x:f>CHOOSE(WEEKDAY(A338,2),"Lunes","Martes","Miércoles","Jueves","Viernes","Sábado","Domingo")</x:f>
        <x:v>Miércoles</x:v>
      </x:c>
      <x:c r="C338" t="str">
        <x:f>IF(COUNTIF(FERIADOS!$A$2:$A$250,A338)&gt;0,"SÍ","NO")</x:f>
        <x:v>NO</x:v>
      </x:c>
      <x:c r="D338" t="str">
        <x:f>IF(AND(WEEKDAY(A338,2)&lt;=5,C338="NO"),"SÍ","NO")</x:f>
        <x:v>SÍ</x:v>
      </x:c>
      <x:c r="E338" s="2" t="n">
        <x:f>WORKDAY.INTL(A338-1,1,1,FERIADOS!$A$2:$A$250)</x:f>
        <x:v>45994</x:v>
      </x:c>
      <x:c r="F338" t="str">
        <x:f>IF(E338&gt;=WORKDAY.INTL(EOMONTH(E338,0)+1,-2,1,FERIADOS!$A$2:$A$250),"SÍ","NO")</x:f>
        <x:v>NO</x:v>
      </x:c>
      <x:c r="G338" s="10" t="n">
        <x:f>IF(F338="SÍ",EOMONTH(E338,0)+1,DATE(YEAR(E338),MONTH(E338),1))</x:f>
        <x:v>45992</x:v>
      </x:c>
      <x:c r="H338" t="str">
        <x:f>IF(D338="NO",IF(C338="SÍ","FERIADO","FIN DE SEMANA"),"LABORABLE")&amp;IF(F338="SÍ"," + CIERRE","")</x:f>
        <x:v>LABORABLE</x:v>
      </x:c>
      <x:c r="I338" t="str">
        <x:f>TEXT(G338,"yyyy-mm")</x:f>
        <x:v>2025-12</x:v>
      </x:c>
    </x:row>
    <x:row r="339" ht="19" customHeight="1">
      <x:c r="A339" s="2" t="n">
        <x:v>45995</x:v>
      </x:c>
      <x:c r="B339" t="str">
        <x:f>CHOOSE(WEEKDAY(A339,2),"Lunes","Martes","Miércoles","Jueves","Viernes","Sábado","Domingo")</x:f>
        <x:v>Jueves</x:v>
      </x:c>
      <x:c r="C339" t="str">
        <x:f>IF(COUNTIF(FERIADOS!$A$2:$A$250,A339)&gt;0,"SÍ","NO")</x:f>
        <x:v>NO</x:v>
      </x:c>
      <x:c r="D339" t="str">
        <x:f>IF(AND(WEEKDAY(A339,2)&lt;=5,C339="NO"),"SÍ","NO")</x:f>
        <x:v>SÍ</x:v>
      </x:c>
      <x:c r="E339" s="2" t="n">
        <x:f>WORKDAY.INTL(A339-1,1,1,FERIADOS!$A$2:$A$250)</x:f>
        <x:v>45995</x:v>
      </x:c>
      <x:c r="F339" t="str">
        <x:f>IF(E339&gt;=WORKDAY.INTL(EOMONTH(E339,0)+1,-2,1,FERIADOS!$A$2:$A$250),"SÍ","NO")</x:f>
        <x:v>NO</x:v>
      </x:c>
      <x:c r="G339" s="10" t="n">
        <x:f>IF(F339="SÍ",EOMONTH(E339,0)+1,DATE(YEAR(E339),MONTH(E339),1))</x:f>
        <x:v>45992</x:v>
      </x:c>
      <x:c r="H339" t="str">
        <x:f>IF(D339="NO",IF(C339="SÍ","FERIADO","FIN DE SEMANA"),"LABORABLE")&amp;IF(F339="SÍ"," + CIERRE","")</x:f>
        <x:v>LABORABLE</x:v>
      </x:c>
      <x:c r="I339" t="str">
        <x:f>TEXT(G339,"yyyy-mm")</x:f>
        <x:v>2025-12</x:v>
      </x:c>
    </x:row>
    <x:row r="340" ht="19" customHeight="1">
      <x:c r="A340" s="2" t="n">
        <x:v>45996</x:v>
      </x:c>
      <x:c r="B340" t="str">
        <x:f>CHOOSE(WEEKDAY(A340,2),"Lunes","Martes","Miércoles","Jueves","Viernes","Sábado","Domingo")</x:f>
        <x:v>Viernes</x:v>
      </x:c>
      <x:c r="C340" t="str">
        <x:f>IF(COUNTIF(FERIADOS!$A$2:$A$250,A340)&gt;0,"SÍ","NO")</x:f>
        <x:v>NO</x:v>
      </x:c>
      <x:c r="D340" t="str">
        <x:f>IF(AND(WEEKDAY(A340,2)&lt;=5,C340="NO"),"SÍ","NO")</x:f>
        <x:v>SÍ</x:v>
      </x:c>
      <x:c r="E340" s="2" t="n">
        <x:f>WORKDAY.INTL(A340-1,1,1,FERIADOS!$A$2:$A$250)</x:f>
        <x:v>45996</x:v>
      </x:c>
      <x:c r="F340" t="str">
        <x:f>IF(E340&gt;=WORKDAY.INTL(EOMONTH(E340,0)+1,-2,1,FERIADOS!$A$2:$A$250),"SÍ","NO")</x:f>
        <x:v>NO</x:v>
      </x:c>
      <x:c r="G340" s="10" t="n">
        <x:f>IF(F340="SÍ",EOMONTH(E340,0)+1,DATE(YEAR(E340),MONTH(E340),1))</x:f>
        <x:v>45992</x:v>
      </x:c>
      <x:c r="H340" t="str">
        <x:f>IF(D340="NO",IF(C340="SÍ","FERIADO","FIN DE SEMANA"),"LABORABLE")&amp;IF(F340="SÍ"," + CIERRE","")</x:f>
        <x:v>LABORABLE</x:v>
      </x:c>
      <x:c r="I340" t="str">
        <x:f>TEXT(G340,"yyyy-mm")</x:f>
        <x:v>2025-12</x:v>
      </x:c>
    </x:row>
    <x:row r="341" ht="19" customHeight="1">
      <x:c r="A341" s="2" t="n">
        <x:v>45997</x:v>
      </x:c>
      <x:c r="B341" t="str">
        <x:f>CHOOSE(WEEKDAY(A341,2),"Lunes","Martes","Miércoles","Jueves","Viernes","Sábado","Domingo")</x:f>
        <x:v>Sábado</x:v>
      </x:c>
      <x:c r="C341" t="str">
        <x:f>IF(COUNTIF(FERIADOS!$A$2:$A$250,A341)&gt;0,"SÍ","NO")</x:f>
        <x:v>NO</x:v>
      </x:c>
      <x:c r="D341" t="str">
        <x:f>IF(AND(WEEKDAY(A341,2)&lt;=5,C341="NO"),"SÍ","NO")</x:f>
        <x:v>NO</x:v>
      </x:c>
      <x:c r="E341" s="2" t="n">
        <x:f>WORKDAY.INTL(A341-1,1,1,FERIADOS!$A$2:$A$250)</x:f>
        <x:v>45999</x:v>
      </x:c>
      <x:c r="F341" t="str">
        <x:f>IF(E341&gt;=WORKDAY.INTL(EOMONTH(E341,0)+1,-2,1,FERIADOS!$A$2:$A$250),"SÍ","NO")</x:f>
        <x:v>NO</x:v>
      </x:c>
      <x:c r="G341" s="10" t="n">
        <x:f>IF(F341="SÍ",EOMONTH(E341,0)+1,DATE(YEAR(E341),MONTH(E341),1))</x:f>
        <x:v>45992</x:v>
      </x:c>
      <x:c r="H341" t="str">
        <x:f>IF(D341="NO",IF(C341="SÍ","FERIADO","FIN DE SEMANA"),"LABORABLE")&amp;IF(F341="SÍ"," + CIERRE","")</x:f>
        <x:v>FIN DE SEMANA</x:v>
      </x:c>
      <x:c r="I341" t="str">
        <x:f>TEXT(G341,"yyyy-mm")</x:f>
        <x:v>2025-12</x:v>
      </x:c>
    </x:row>
    <x:row r="342" ht="19" customHeight="1">
      <x:c r="A342" s="2" t="n">
        <x:v>45998</x:v>
      </x:c>
      <x:c r="B342" t="str">
        <x:f>CHOOSE(WEEKDAY(A342,2),"Lunes","Martes","Miércoles","Jueves","Viernes","Sábado","Domingo")</x:f>
        <x:v>Domingo</x:v>
      </x:c>
      <x:c r="C342" t="str">
        <x:f>IF(COUNTIF(FERIADOS!$A$2:$A$250,A342)&gt;0,"SÍ","NO")</x:f>
        <x:v>NO</x:v>
      </x:c>
      <x:c r="D342" t="str">
        <x:f>IF(AND(WEEKDAY(A342,2)&lt;=5,C342="NO"),"SÍ","NO")</x:f>
        <x:v>NO</x:v>
      </x:c>
      <x:c r="E342" s="2" t="n">
        <x:f>WORKDAY.INTL(A342-1,1,1,FERIADOS!$A$2:$A$250)</x:f>
        <x:v>45999</x:v>
      </x:c>
      <x:c r="F342" t="str">
        <x:f>IF(E342&gt;=WORKDAY.INTL(EOMONTH(E342,0)+1,-2,1,FERIADOS!$A$2:$A$250),"SÍ","NO")</x:f>
        <x:v>NO</x:v>
      </x:c>
      <x:c r="G342" s="10" t="n">
        <x:f>IF(F342="SÍ",EOMONTH(E342,0)+1,DATE(YEAR(E342),MONTH(E342),1))</x:f>
        <x:v>45992</x:v>
      </x:c>
      <x:c r="H342" t="str">
        <x:f>IF(D342="NO",IF(C342="SÍ","FERIADO","FIN DE SEMANA"),"LABORABLE")&amp;IF(F342="SÍ"," + CIERRE","")</x:f>
        <x:v>FIN DE SEMANA</x:v>
      </x:c>
      <x:c r="I342" t="str">
        <x:f>TEXT(G342,"yyyy-mm")</x:f>
        <x:v>2025-12</x:v>
      </x:c>
    </x:row>
    <x:row r="343" ht="19" customHeight="1">
      <x:c r="A343" s="2" t="n">
        <x:v>45999</x:v>
      </x:c>
      <x:c r="B343" t="str">
        <x:f>CHOOSE(WEEKDAY(A343,2),"Lunes","Martes","Miércoles","Jueves","Viernes","Sábado","Domingo")</x:f>
        <x:v>Lunes</x:v>
      </x:c>
      <x:c r="C343" t="str">
        <x:f>IF(COUNTIF(FERIADOS!$A$2:$A$250,A343)&gt;0,"SÍ","NO")</x:f>
        <x:v>NO</x:v>
      </x:c>
      <x:c r="D343" t="str">
        <x:f>IF(AND(WEEKDAY(A343,2)&lt;=5,C343="NO"),"SÍ","NO")</x:f>
        <x:v>SÍ</x:v>
      </x:c>
      <x:c r="E343" s="2" t="n">
        <x:f>WORKDAY.INTL(A343-1,1,1,FERIADOS!$A$2:$A$250)</x:f>
        <x:v>45999</x:v>
      </x:c>
      <x:c r="F343" t="str">
        <x:f>IF(E343&gt;=WORKDAY.INTL(EOMONTH(E343,0)+1,-2,1,FERIADOS!$A$2:$A$250),"SÍ","NO")</x:f>
        <x:v>NO</x:v>
      </x:c>
      <x:c r="G343" s="10" t="n">
        <x:f>IF(F343="SÍ",EOMONTH(E343,0)+1,DATE(YEAR(E343),MONTH(E343),1))</x:f>
        <x:v>45992</x:v>
      </x:c>
      <x:c r="H343" t="str">
        <x:f>IF(D343="NO",IF(C343="SÍ","FERIADO","FIN DE SEMANA"),"LABORABLE")&amp;IF(F343="SÍ"," + CIERRE","")</x:f>
        <x:v>LABORABLE</x:v>
      </x:c>
      <x:c r="I343" t="str">
        <x:f>TEXT(G343,"yyyy-mm")</x:f>
        <x:v>2025-12</x:v>
      </x:c>
    </x:row>
    <x:row r="344" ht="19" customHeight="1">
      <x:c r="A344" s="2" t="n">
        <x:v>46000</x:v>
      </x:c>
      <x:c r="B344" t="str">
        <x:f>CHOOSE(WEEKDAY(A344,2),"Lunes","Martes","Miércoles","Jueves","Viernes","Sábado","Domingo")</x:f>
        <x:v>Martes</x:v>
      </x:c>
      <x:c r="C344" t="str">
        <x:f>IF(COUNTIF(FERIADOS!$A$2:$A$250,A344)&gt;0,"SÍ","NO")</x:f>
        <x:v>NO</x:v>
      </x:c>
      <x:c r="D344" t="str">
        <x:f>IF(AND(WEEKDAY(A344,2)&lt;=5,C344="NO"),"SÍ","NO")</x:f>
        <x:v>SÍ</x:v>
      </x:c>
      <x:c r="E344" s="2" t="n">
        <x:f>WORKDAY.INTL(A344-1,1,1,FERIADOS!$A$2:$A$250)</x:f>
        <x:v>46000</x:v>
      </x:c>
      <x:c r="F344" t="str">
        <x:f>IF(E344&gt;=WORKDAY.INTL(EOMONTH(E344,0)+1,-2,1,FERIADOS!$A$2:$A$250),"SÍ","NO")</x:f>
        <x:v>NO</x:v>
      </x:c>
      <x:c r="G344" s="10" t="n">
        <x:f>IF(F344="SÍ",EOMONTH(E344,0)+1,DATE(YEAR(E344),MONTH(E344),1))</x:f>
        <x:v>45992</x:v>
      </x:c>
      <x:c r="H344" t="str">
        <x:f>IF(D344="NO",IF(C344="SÍ","FERIADO","FIN DE SEMANA"),"LABORABLE")&amp;IF(F344="SÍ"," + CIERRE","")</x:f>
        <x:v>LABORABLE</x:v>
      </x:c>
      <x:c r="I344" t="str">
        <x:f>TEXT(G344,"yyyy-mm")</x:f>
        <x:v>2025-12</x:v>
      </x:c>
    </x:row>
    <x:row r="345" ht="19" customHeight="1">
      <x:c r="A345" s="2" t="n">
        <x:v>46001</x:v>
      </x:c>
      <x:c r="B345" t="str">
        <x:f>CHOOSE(WEEKDAY(A345,2),"Lunes","Martes","Miércoles","Jueves","Viernes","Sábado","Domingo")</x:f>
        <x:v>Miércoles</x:v>
      </x:c>
      <x:c r="C345" t="str">
        <x:f>IF(COUNTIF(FERIADOS!$A$2:$A$250,A345)&gt;0,"SÍ","NO")</x:f>
        <x:v>NO</x:v>
      </x:c>
      <x:c r="D345" t="str">
        <x:f>IF(AND(WEEKDAY(A345,2)&lt;=5,C345="NO"),"SÍ","NO")</x:f>
        <x:v>SÍ</x:v>
      </x:c>
      <x:c r="E345" s="2" t="n">
        <x:f>WORKDAY.INTL(A345-1,1,1,FERIADOS!$A$2:$A$250)</x:f>
        <x:v>46001</x:v>
      </x:c>
      <x:c r="F345" t="str">
        <x:f>IF(E345&gt;=WORKDAY.INTL(EOMONTH(E345,0)+1,-2,1,FERIADOS!$A$2:$A$250),"SÍ","NO")</x:f>
        <x:v>NO</x:v>
      </x:c>
      <x:c r="G345" s="10" t="n">
        <x:f>IF(F345="SÍ",EOMONTH(E345,0)+1,DATE(YEAR(E345),MONTH(E345),1))</x:f>
        <x:v>45992</x:v>
      </x:c>
      <x:c r="H345" t="str">
        <x:f>IF(D345="NO",IF(C345="SÍ","FERIADO","FIN DE SEMANA"),"LABORABLE")&amp;IF(F345="SÍ"," + CIERRE","")</x:f>
        <x:v>LABORABLE</x:v>
      </x:c>
      <x:c r="I345" t="str">
        <x:f>TEXT(G345,"yyyy-mm")</x:f>
        <x:v>2025-12</x:v>
      </x:c>
    </x:row>
    <x:row r="346" ht="19" customHeight="1">
      <x:c r="A346" s="2" t="n">
        <x:v>46002</x:v>
      </x:c>
      <x:c r="B346" t="str">
        <x:f>CHOOSE(WEEKDAY(A346,2),"Lunes","Martes","Miércoles","Jueves","Viernes","Sábado","Domingo")</x:f>
        <x:v>Jueves</x:v>
      </x:c>
      <x:c r="C346" t="str">
        <x:f>IF(COUNTIF(FERIADOS!$A$2:$A$250,A346)&gt;0,"SÍ","NO")</x:f>
        <x:v>NO</x:v>
      </x:c>
      <x:c r="D346" t="str">
        <x:f>IF(AND(WEEKDAY(A346,2)&lt;=5,C346="NO"),"SÍ","NO")</x:f>
        <x:v>SÍ</x:v>
      </x:c>
      <x:c r="E346" s="2" t="n">
        <x:f>WORKDAY.INTL(A346-1,1,1,FERIADOS!$A$2:$A$250)</x:f>
        <x:v>46002</x:v>
      </x:c>
      <x:c r="F346" t="str">
        <x:f>IF(E346&gt;=WORKDAY.INTL(EOMONTH(E346,0)+1,-2,1,FERIADOS!$A$2:$A$250),"SÍ","NO")</x:f>
        <x:v>NO</x:v>
      </x:c>
      <x:c r="G346" s="10" t="n">
        <x:f>IF(F346="SÍ",EOMONTH(E346,0)+1,DATE(YEAR(E346),MONTH(E346),1))</x:f>
        <x:v>45992</x:v>
      </x:c>
      <x:c r="H346" t="str">
        <x:f>IF(D346="NO",IF(C346="SÍ","FERIADO","FIN DE SEMANA"),"LABORABLE")&amp;IF(F346="SÍ"," + CIERRE","")</x:f>
        <x:v>LABORABLE</x:v>
      </x:c>
      <x:c r="I346" t="str">
        <x:f>TEXT(G346,"yyyy-mm")</x:f>
        <x:v>2025-12</x:v>
      </x:c>
    </x:row>
    <x:row r="347" ht="19" customHeight="1">
      <x:c r="A347" s="2" t="n">
        <x:v>46003</x:v>
      </x:c>
      <x:c r="B347" t="str">
        <x:f>CHOOSE(WEEKDAY(A347,2),"Lunes","Martes","Miércoles","Jueves","Viernes","Sábado","Domingo")</x:f>
        <x:v>Viernes</x:v>
      </x:c>
      <x:c r="C347" t="str">
        <x:f>IF(COUNTIF(FERIADOS!$A$2:$A$250,A347)&gt;0,"SÍ","NO")</x:f>
        <x:v>NO</x:v>
      </x:c>
      <x:c r="D347" t="str">
        <x:f>IF(AND(WEEKDAY(A347,2)&lt;=5,C347="NO"),"SÍ","NO")</x:f>
        <x:v>SÍ</x:v>
      </x:c>
      <x:c r="E347" s="2" t="n">
        <x:f>WORKDAY.INTL(A347-1,1,1,FERIADOS!$A$2:$A$250)</x:f>
        <x:v>46003</x:v>
      </x:c>
      <x:c r="F347" t="str">
        <x:f>IF(E347&gt;=WORKDAY.INTL(EOMONTH(E347,0)+1,-2,1,FERIADOS!$A$2:$A$250),"SÍ","NO")</x:f>
        <x:v>NO</x:v>
      </x:c>
      <x:c r="G347" s="10" t="n">
        <x:f>IF(F347="SÍ",EOMONTH(E347,0)+1,DATE(YEAR(E347),MONTH(E347),1))</x:f>
        <x:v>45992</x:v>
      </x:c>
      <x:c r="H347" t="str">
        <x:f>IF(D347="NO",IF(C347="SÍ","FERIADO","FIN DE SEMANA"),"LABORABLE")&amp;IF(F347="SÍ"," + CIERRE","")</x:f>
        <x:v>LABORABLE</x:v>
      </x:c>
      <x:c r="I347" t="str">
        <x:f>TEXT(G347,"yyyy-mm")</x:f>
        <x:v>2025-12</x:v>
      </x:c>
    </x:row>
    <x:row r="348" ht="19" customHeight="1">
      <x:c r="A348" s="2" t="n">
        <x:v>46004</x:v>
      </x:c>
      <x:c r="B348" t="str">
        <x:f>CHOOSE(WEEKDAY(A348,2),"Lunes","Martes","Miércoles","Jueves","Viernes","Sábado","Domingo")</x:f>
        <x:v>Sábado</x:v>
      </x:c>
      <x:c r="C348" t="str">
        <x:f>IF(COUNTIF(FERIADOS!$A$2:$A$250,A348)&gt;0,"SÍ","NO")</x:f>
        <x:v>NO</x:v>
      </x:c>
      <x:c r="D348" t="str">
        <x:f>IF(AND(WEEKDAY(A348,2)&lt;=5,C348="NO"),"SÍ","NO")</x:f>
        <x:v>NO</x:v>
      </x:c>
      <x:c r="E348" s="2" t="n">
        <x:f>WORKDAY.INTL(A348-1,1,1,FERIADOS!$A$2:$A$250)</x:f>
        <x:v>46006</x:v>
      </x:c>
      <x:c r="F348" t="str">
        <x:f>IF(E348&gt;=WORKDAY.INTL(EOMONTH(E348,0)+1,-2,1,FERIADOS!$A$2:$A$250),"SÍ","NO")</x:f>
        <x:v>NO</x:v>
      </x:c>
      <x:c r="G348" s="10" t="n">
        <x:f>IF(F348="SÍ",EOMONTH(E348,0)+1,DATE(YEAR(E348),MONTH(E348),1))</x:f>
        <x:v>45992</x:v>
      </x:c>
      <x:c r="H348" t="str">
        <x:f>IF(D348="NO",IF(C348="SÍ","FERIADO","FIN DE SEMANA"),"LABORABLE")&amp;IF(F348="SÍ"," + CIERRE","")</x:f>
        <x:v>FIN DE SEMANA</x:v>
      </x:c>
      <x:c r="I348" t="str">
        <x:f>TEXT(G348,"yyyy-mm")</x:f>
        <x:v>2025-12</x:v>
      </x:c>
    </x:row>
    <x:row r="349" ht="19" customHeight="1">
      <x:c r="A349" s="2" t="n">
        <x:v>46005</x:v>
      </x:c>
      <x:c r="B349" t="str">
        <x:f>CHOOSE(WEEKDAY(A349,2),"Lunes","Martes","Miércoles","Jueves","Viernes","Sábado","Domingo")</x:f>
        <x:v>Domingo</x:v>
      </x:c>
      <x:c r="C349" t="str">
        <x:f>IF(COUNTIF(FERIADOS!$A$2:$A$250,A349)&gt;0,"SÍ","NO")</x:f>
        <x:v>NO</x:v>
      </x:c>
      <x:c r="D349" t="str">
        <x:f>IF(AND(WEEKDAY(A349,2)&lt;=5,C349="NO"),"SÍ","NO")</x:f>
        <x:v>NO</x:v>
      </x:c>
      <x:c r="E349" s="2" t="n">
        <x:f>WORKDAY.INTL(A349-1,1,1,FERIADOS!$A$2:$A$250)</x:f>
        <x:v>46006</x:v>
      </x:c>
      <x:c r="F349" t="str">
        <x:f>IF(E349&gt;=WORKDAY.INTL(EOMONTH(E349,0)+1,-2,1,FERIADOS!$A$2:$A$250),"SÍ","NO")</x:f>
        <x:v>NO</x:v>
      </x:c>
      <x:c r="G349" s="10" t="n">
        <x:f>IF(F349="SÍ",EOMONTH(E349,0)+1,DATE(YEAR(E349),MONTH(E349),1))</x:f>
        <x:v>45992</x:v>
      </x:c>
      <x:c r="H349" t="str">
        <x:f>IF(D349="NO",IF(C349="SÍ","FERIADO","FIN DE SEMANA"),"LABORABLE")&amp;IF(F349="SÍ"," + CIERRE","")</x:f>
        <x:v>FIN DE SEMANA</x:v>
      </x:c>
      <x:c r="I349" t="str">
        <x:f>TEXT(G349,"yyyy-mm")</x:f>
        <x:v>2025-12</x:v>
      </x:c>
    </x:row>
    <x:row r="350" ht="19" customHeight="1">
      <x:c r="A350" s="2" t="n">
        <x:v>46006</x:v>
      </x:c>
      <x:c r="B350" t="str">
        <x:f>CHOOSE(WEEKDAY(A350,2),"Lunes","Martes","Miércoles","Jueves","Viernes","Sábado","Domingo")</x:f>
        <x:v>Lunes</x:v>
      </x:c>
      <x:c r="C350" t="str">
        <x:f>IF(COUNTIF(FERIADOS!$A$2:$A$250,A350)&gt;0,"SÍ","NO")</x:f>
        <x:v>NO</x:v>
      </x:c>
      <x:c r="D350" t="str">
        <x:f>IF(AND(WEEKDAY(A350,2)&lt;=5,C350="NO"),"SÍ","NO")</x:f>
        <x:v>SÍ</x:v>
      </x:c>
      <x:c r="E350" s="2" t="n">
        <x:f>WORKDAY.INTL(A350-1,1,1,FERIADOS!$A$2:$A$250)</x:f>
        <x:v>46006</x:v>
      </x:c>
      <x:c r="F350" t="str">
        <x:f>IF(E350&gt;=WORKDAY.INTL(EOMONTH(E350,0)+1,-2,1,FERIADOS!$A$2:$A$250),"SÍ","NO")</x:f>
        <x:v>NO</x:v>
      </x:c>
      <x:c r="G350" s="10" t="n">
        <x:f>IF(F350="SÍ",EOMONTH(E350,0)+1,DATE(YEAR(E350),MONTH(E350),1))</x:f>
        <x:v>45992</x:v>
      </x:c>
      <x:c r="H350" t="str">
        <x:f>IF(D350="NO",IF(C350="SÍ","FERIADO","FIN DE SEMANA"),"LABORABLE")&amp;IF(F350="SÍ"," + CIERRE","")</x:f>
        <x:v>LABORABLE</x:v>
      </x:c>
      <x:c r="I350" t="str">
        <x:f>TEXT(G350,"yyyy-mm")</x:f>
        <x:v>2025-12</x:v>
      </x:c>
    </x:row>
    <x:row r="351" ht="19" customHeight="1">
      <x:c r="A351" s="2" t="n">
        <x:v>46007</x:v>
      </x:c>
      <x:c r="B351" t="str">
        <x:f>CHOOSE(WEEKDAY(A351,2),"Lunes","Martes","Miércoles","Jueves","Viernes","Sábado","Domingo")</x:f>
        <x:v>Martes</x:v>
      </x:c>
      <x:c r="C351" t="str">
        <x:f>IF(COUNTIF(FERIADOS!$A$2:$A$250,A351)&gt;0,"SÍ","NO")</x:f>
        <x:v>NO</x:v>
      </x:c>
      <x:c r="D351" t="str">
        <x:f>IF(AND(WEEKDAY(A351,2)&lt;=5,C351="NO"),"SÍ","NO")</x:f>
        <x:v>SÍ</x:v>
      </x:c>
      <x:c r="E351" s="2" t="n">
        <x:f>WORKDAY.INTL(A351-1,1,1,FERIADOS!$A$2:$A$250)</x:f>
        <x:v>46007</x:v>
      </x:c>
      <x:c r="F351" t="str">
        <x:f>IF(E351&gt;=WORKDAY.INTL(EOMONTH(E351,0)+1,-2,1,FERIADOS!$A$2:$A$250),"SÍ","NO")</x:f>
        <x:v>NO</x:v>
      </x:c>
      <x:c r="G351" s="10" t="n">
        <x:f>IF(F351="SÍ",EOMONTH(E351,0)+1,DATE(YEAR(E351),MONTH(E351),1))</x:f>
        <x:v>45992</x:v>
      </x:c>
      <x:c r="H351" t="str">
        <x:f>IF(D351="NO",IF(C351="SÍ","FERIADO","FIN DE SEMANA"),"LABORABLE")&amp;IF(F351="SÍ"," + CIERRE","")</x:f>
        <x:v>LABORABLE</x:v>
      </x:c>
      <x:c r="I351" t="str">
        <x:f>TEXT(G351,"yyyy-mm")</x:f>
        <x:v>2025-12</x:v>
      </x:c>
    </x:row>
    <x:row r="352" ht="19" customHeight="1">
      <x:c r="A352" s="2" t="n">
        <x:v>46008</x:v>
      </x:c>
      <x:c r="B352" t="str">
        <x:f>CHOOSE(WEEKDAY(A352,2),"Lunes","Martes","Miércoles","Jueves","Viernes","Sábado","Domingo")</x:f>
        <x:v>Miércoles</x:v>
      </x:c>
      <x:c r="C352" t="str">
        <x:f>IF(COUNTIF(FERIADOS!$A$2:$A$250,A352)&gt;0,"SÍ","NO")</x:f>
        <x:v>NO</x:v>
      </x:c>
      <x:c r="D352" t="str">
        <x:f>IF(AND(WEEKDAY(A352,2)&lt;=5,C352="NO"),"SÍ","NO")</x:f>
        <x:v>SÍ</x:v>
      </x:c>
      <x:c r="E352" s="2" t="n">
        <x:f>WORKDAY.INTL(A352-1,1,1,FERIADOS!$A$2:$A$250)</x:f>
        <x:v>46008</x:v>
      </x:c>
      <x:c r="F352" t="str">
        <x:f>IF(E352&gt;=WORKDAY.INTL(EOMONTH(E352,0)+1,-2,1,FERIADOS!$A$2:$A$250),"SÍ","NO")</x:f>
        <x:v>NO</x:v>
      </x:c>
      <x:c r="G352" s="10" t="n">
        <x:f>IF(F352="SÍ",EOMONTH(E352,0)+1,DATE(YEAR(E352),MONTH(E352),1))</x:f>
        <x:v>45992</x:v>
      </x:c>
      <x:c r="H352" t="str">
        <x:f>IF(D352="NO",IF(C352="SÍ","FERIADO","FIN DE SEMANA"),"LABORABLE")&amp;IF(F352="SÍ"," + CIERRE","")</x:f>
        <x:v>LABORABLE</x:v>
      </x:c>
      <x:c r="I352" t="str">
        <x:f>TEXT(G352,"yyyy-mm")</x:f>
        <x:v>2025-12</x:v>
      </x:c>
    </x:row>
    <x:row r="353" ht="19" customHeight="1">
      <x:c r="A353" s="2" t="n">
        <x:v>46009</x:v>
      </x:c>
      <x:c r="B353" t="str">
        <x:f>CHOOSE(WEEKDAY(A353,2),"Lunes","Martes","Miércoles","Jueves","Viernes","Sábado","Domingo")</x:f>
        <x:v>Jueves</x:v>
      </x:c>
      <x:c r="C353" t="str">
        <x:f>IF(COUNTIF(FERIADOS!$A$2:$A$250,A353)&gt;0,"SÍ","NO")</x:f>
        <x:v>NO</x:v>
      </x:c>
      <x:c r="D353" t="str">
        <x:f>IF(AND(WEEKDAY(A353,2)&lt;=5,C353="NO"),"SÍ","NO")</x:f>
        <x:v>SÍ</x:v>
      </x:c>
      <x:c r="E353" s="2" t="n">
        <x:f>WORKDAY.INTL(A353-1,1,1,FERIADOS!$A$2:$A$250)</x:f>
        <x:v>46009</x:v>
      </x:c>
      <x:c r="F353" t="str">
        <x:f>IF(E353&gt;=WORKDAY.INTL(EOMONTH(E353,0)+1,-2,1,FERIADOS!$A$2:$A$250),"SÍ","NO")</x:f>
        <x:v>NO</x:v>
      </x:c>
      <x:c r="G353" s="10" t="n">
        <x:f>IF(F353="SÍ",EOMONTH(E353,0)+1,DATE(YEAR(E353),MONTH(E353),1))</x:f>
        <x:v>45992</x:v>
      </x:c>
      <x:c r="H353" t="str">
        <x:f>IF(D353="NO",IF(C353="SÍ","FERIADO","FIN DE SEMANA"),"LABORABLE")&amp;IF(F353="SÍ"," + CIERRE","")</x:f>
        <x:v>LABORABLE</x:v>
      </x:c>
      <x:c r="I353" t="str">
        <x:f>TEXT(G353,"yyyy-mm")</x:f>
        <x:v>2025-12</x:v>
      </x:c>
    </x:row>
    <x:row r="354" ht="19" customHeight="1">
      <x:c r="A354" s="2" t="n">
        <x:v>46010</x:v>
      </x:c>
      <x:c r="B354" t="str">
        <x:f>CHOOSE(WEEKDAY(A354,2),"Lunes","Martes","Miércoles","Jueves","Viernes","Sábado","Domingo")</x:f>
        <x:v>Viernes</x:v>
      </x:c>
      <x:c r="C354" t="str">
        <x:f>IF(COUNTIF(FERIADOS!$A$2:$A$250,A354)&gt;0,"SÍ","NO")</x:f>
        <x:v>NO</x:v>
      </x:c>
      <x:c r="D354" t="str">
        <x:f>IF(AND(WEEKDAY(A354,2)&lt;=5,C354="NO"),"SÍ","NO")</x:f>
        <x:v>SÍ</x:v>
      </x:c>
      <x:c r="E354" s="2" t="n">
        <x:f>WORKDAY.INTL(A354-1,1,1,FERIADOS!$A$2:$A$250)</x:f>
        <x:v>46010</x:v>
      </x:c>
      <x:c r="F354" t="str">
        <x:f>IF(E354&gt;=WORKDAY.INTL(EOMONTH(E354,0)+1,-2,1,FERIADOS!$A$2:$A$250),"SÍ","NO")</x:f>
        <x:v>NO</x:v>
      </x:c>
      <x:c r="G354" s="10" t="n">
        <x:f>IF(F354="SÍ",EOMONTH(E354,0)+1,DATE(YEAR(E354),MONTH(E354),1))</x:f>
        <x:v>45992</x:v>
      </x:c>
      <x:c r="H354" t="str">
        <x:f>IF(D354="NO",IF(C354="SÍ","FERIADO","FIN DE SEMANA"),"LABORABLE")&amp;IF(F354="SÍ"," + CIERRE","")</x:f>
        <x:v>LABORABLE</x:v>
      </x:c>
      <x:c r="I354" t="str">
        <x:f>TEXT(G354,"yyyy-mm")</x:f>
        <x:v>2025-12</x:v>
      </x:c>
    </x:row>
    <x:row r="355" ht="19" customHeight="1">
      <x:c r="A355" s="2" t="n">
        <x:v>46011</x:v>
      </x:c>
      <x:c r="B355" t="str">
        <x:f>CHOOSE(WEEKDAY(A355,2),"Lunes","Martes","Miércoles","Jueves","Viernes","Sábado","Domingo")</x:f>
        <x:v>Sábado</x:v>
      </x:c>
      <x:c r="C355" t="str">
        <x:f>IF(COUNTIF(FERIADOS!$A$2:$A$250,A355)&gt;0,"SÍ","NO")</x:f>
        <x:v>NO</x:v>
      </x:c>
      <x:c r="D355" t="str">
        <x:f>IF(AND(WEEKDAY(A355,2)&lt;=5,C355="NO"),"SÍ","NO")</x:f>
        <x:v>NO</x:v>
      </x:c>
      <x:c r="E355" s="2" t="n">
        <x:f>WORKDAY.INTL(A355-1,1,1,FERIADOS!$A$2:$A$250)</x:f>
        <x:v>46013</x:v>
      </x:c>
      <x:c r="F355" t="str">
        <x:f>IF(E355&gt;=WORKDAY.INTL(EOMONTH(E355,0)+1,-2,1,FERIADOS!$A$2:$A$250),"SÍ","NO")</x:f>
        <x:v>NO</x:v>
      </x:c>
      <x:c r="G355" s="10" t="n">
        <x:f>IF(F355="SÍ",EOMONTH(E355,0)+1,DATE(YEAR(E355),MONTH(E355),1))</x:f>
        <x:v>45992</x:v>
      </x:c>
      <x:c r="H355" t="str">
        <x:f>IF(D355="NO",IF(C355="SÍ","FERIADO","FIN DE SEMANA"),"LABORABLE")&amp;IF(F355="SÍ"," + CIERRE","")</x:f>
        <x:v>FIN DE SEMANA</x:v>
      </x:c>
      <x:c r="I355" t="str">
        <x:f>TEXT(G355,"yyyy-mm")</x:f>
        <x:v>2025-12</x:v>
      </x:c>
    </x:row>
    <x:row r="356" ht="19" customHeight="1">
      <x:c r="A356" s="2" t="n">
        <x:v>46012</x:v>
      </x:c>
      <x:c r="B356" t="str">
        <x:f>CHOOSE(WEEKDAY(A356,2),"Lunes","Martes","Miércoles","Jueves","Viernes","Sábado","Domingo")</x:f>
        <x:v>Domingo</x:v>
      </x:c>
      <x:c r="C356" t="str">
        <x:f>IF(COUNTIF(FERIADOS!$A$2:$A$250,A356)&gt;0,"SÍ","NO")</x:f>
        <x:v>NO</x:v>
      </x:c>
      <x:c r="D356" t="str">
        <x:f>IF(AND(WEEKDAY(A356,2)&lt;=5,C356="NO"),"SÍ","NO")</x:f>
        <x:v>NO</x:v>
      </x:c>
      <x:c r="E356" s="2" t="n">
        <x:f>WORKDAY.INTL(A356-1,1,1,FERIADOS!$A$2:$A$250)</x:f>
        <x:v>46013</x:v>
      </x:c>
      <x:c r="F356" t="str">
        <x:f>IF(E356&gt;=WORKDAY.INTL(EOMONTH(E356,0)+1,-2,1,FERIADOS!$A$2:$A$250),"SÍ","NO")</x:f>
        <x:v>NO</x:v>
      </x:c>
      <x:c r="G356" s="10" t="n">
        <x:f>IF(F356="SÍ",EOMONTH(E356,0)+1,DATE(YEAR(E356),MONTH(E356),1))</x:f>
        <x:v>45992</x:v>
      </x:c>
      <x:c r="H356" t="str">
        <x:f>IF(D356="NO",IF(C356="SÍ","FERIADO","FIN DE SEMANA"),"LABORABLE")&amp;IF(F356="SÍ"," + CIERRE","")</x:f>
        <x:v>FIN DE SEMANA</x:v>
      </x:c>
      <x:c r="I356" t="str">
        <x:f>TEXT(G356,"yyyy-mm")</x:f>
        <x:v>2025-12</x:v>
      </x:c>
    </x:row>
    <x:row r="357" ht="19" customHeight="1">
      <x:c r="A357" s="2" t="n">
        <x:v>46013</x:v>
      </x:c>
      <x:c r="B357" t="str">
        <x:f>CHOOSE(WEEKDAY(A357,2),"Lunes","Martes","Miércoles","Jueves","Viernes","Sábado","Domingo")</x:f>
        <x:v>Lunes</x:v>
      </x:c>
      <x:c r="C357" t="str">
        <x:f>IF(COUNTIF(FERIADOS!$A$2:$A$250,A357)&gt;0,"SÍ","NO")</x:f>
        <x:v>NO</x:v>
      </x:c>
      <x:c r="D357" t="str">
        <x:f>IF(AND(WEEKDAY(A357,2)&lt;=5,C357="NO"),"SÍ","NO")</x:f>
        <x:v>SÍ</x:v>
      </x:c>
      <x:c r="E357" s="2" t="n">
        <x:f>WORKDAY.INTL(A357-1,1,1,FERIADOS!$A$2:$A$250)</x:f>
        <x:v>46013</x:v>
      </x:c>
      <x:c r="F357" t="str">
        <x:f>IF(E357&gt;=WORKDAY.INTL(EOMONTH(E357,0)+1,-2,1,FERIADOS!$A$2:$A$250),"SÍ","NO")</x:f>
        <x:v>NO</x:v>
      </x:c>
      <x:c r="G357" s="10" t="n">
        <x:f>IF(F357="SÍ",EOMONTH(E357,0)+1,DATE(YEAR(E357),MONTH(E357),1))</x:f>
        <x:v>45992</x:v>
      </x:c>
      <x:c r="H357" t="str">
        <x:f>IF(D357="NO",IF(C357="SÍ","FERIADO","FIN DE SEMANA"),"LABORABLE")&amp;IF(F357="SÍ"," + CIERRE","")</x:f>
        <x:v>LABORABLE</x:v>
      </x:c>
      <x:c r="I357" t="str">
        <x:f>TEXT(G357,"yyyy-mm")</x:f>
        <x:v>2025-12</x:v>
      </x:c>
    </x:row>
    <x:row r="358" ht="19" customHeight="1">
      <x:c r="A358" s="2" t="n">
        <x:v>46014</x:v>
      </x:c>
      <x:c r="B358" t="str">
        <x:f>CHOOSE(WEEKDAY(A358,2),"Lunes","Martes","Miércoles","Jueves","Viernes","Sábado","Domingo")</x:f>
        <x:v>Martes</x:v>
      </x:c>
      <x:c r="C358" t="str">
        <x:f>IF(COUNTIF(FERIADOS!$A$2:$A$250,A358)&gt;0,"SÍ","NO")</x:f>
        <x:v>NO</x:v>
      </x:c>
      <x:c r="D358" t="str">
        <x:f>IF(AND(WEEKDAY(A358,2)&lt;=5,C358="NO"),"SÍ","NO")</x:f>
        <x:v>SÍ</x:v>
      </x:c>
      <x:c r="E358" s="2" t="n">
        <x:f>WORKDAY.INTL(A358-1,1,1,FERIADOS!$A$2:$A$250)</x:f>
        <x:v>46014</x:v>
      </x:c>
      <x:c r="F358" t="str">
        <x:f>IF(E358&gt;=WORKDAY.INTL(EOMONTH(E358,0)+1,-2,1,FERIADOS!$A$2:$A$250),"SÍ","NO")</x:f>
        <x:v>NO</x:v>
      </x:c>
      <x:c r="G358" s="10" t="n">
        <x:f>IF(F358="SÍ",EOMONTH(E358,0)+1,DATE(YEAR(E358),MONTH(E358),1))</x:f>
        <x:v>45992</x:v>
      </x:c>
      <x:c r="H358" t="str">
        <x:f>IF(D358="NO",IF(C358="SÍ","FERIADO","FIN DE SEMANA"),"LABORABLE")&amp;IF(F358="SÍ"," + CIERRE","")</x:f>
        <x:v>LABORABLE</x:v>
      </x:c>
      <x:c r="I358" t="str">
        <x:f>TEXT(G358,"yyyy-mm")</x:f>
        <x:v>2025-12</x:v>
      </x:c>
    </x:row>
    <x:row r="359" ht="19" customHeight="1">
      <x:c r="A359" s="2" t="n">
        <x:v>46015</x:v>
      </x:c>
      <x:c r="B359" t="str">
        <x:f>CHOOSE(WEEKDAY(A359,2),"Lunes","Martes","Miércoles","Jueves","Viernes","Sábado","Domingo")</x:f>
        <x:v>Miércoles</x:v>
      </x:c>
      <x:c r="C359" t="str">
        <x:f>IF(COUNTIF(FERIADOS!$A$2:$A$250,A359)&gt;0,"SÍ","NO")</x:f>
        <x:v>NO</x:v>
      </x:c>
      <x:c r="D359" t="str">
        <x:f>IF(AND(WEEKDAY(A359,2)&lt;=5,C359="NO"),"SÍ","NO")</x:f>
        <x:v>SÍ</x:v>
      </x:c>
      <x:c r="E359" s="2" t="n">
        <x:f>WORKDAY.INTL(A359-1,1,1,FERIADOS!$A$2:$A$250)</x:f>
        <x:v>46015</x:v>
      </x:c>
      <x:c r="F359" t="str">
        <x:f>IF(E359&gt;=WORKDAY.INTL(EOMONTH(E359,0)+1,-2,1,FERIADOS!$A$2:$A$250),"SÍ","NO")</x:f>
        <x:v>NO</x:v>
      </x:c>
      <x:c r="G359" s="10" t="n">
        <x:f>IF(F359="SÍ",EOMONTH(E359,0)+1,DATE(YEAR(E359),MONTH(E359),1))</x:f>
        <x:v>45992</x:v>
      </x:c>
      <x:c r="H359" t="str">
        <x:f>IF(D359="NO",IF(C359="SÍ","FERIADO","FIN DE SEMANA"),"LABORABLE")&amp;IF(F359="SÍ"," + CIERRE","")</x:f>
        <x:v>LABORABLE</x:v>
      </x:c>
      <x:c r="I359" t="str">
        <x:f>TEXT(G359,"yyyy-mm")</x:f>
        <x:v>2025-12</x:v>
      </x:c>
    </x:row>
    <x:row r="360" ht="19" customHeight="1">
      <x:c r="A360" s="2" t="n">
        <x:v>46016</x:v>
      </x:c>
      <x:c r="B360" t="str">
        <x:f>CHOOSE(WEEKDAY(A360,2),"Lunes","Martes","Miércoles","Jueves","Viernes","Sábado","Domingo")</x:f>
        <x:v>Jueves</x:v>
      </x:c>
      <x:c r="C360" t="str">
        <x:f>IF(COUNTIF(FERIADOS!$A$2:$A$250,A360)&gt;0,"SÍ","NO")</x:f>
        <x:v>SÍ</x:v>
      </x:c>
      <x:c r="D360" t="str">
        <x:f>IF(AND(WEEKDAY(A360,2)&lt;=5,C360="NO"),"SÍ","NO")</x:f>
        <x:v>NO</x:v>
      </x:c>
      <x:c r="E360" s="2" t="n">
        <x:f>WORKDAY.INTL(A360-1,1,1,FERIADOS!$A$2:$A$250)</x:f>
        <x:v>46017</x:v>
      </x:c>
      <x:c r="F360" t="str">
        <x:f>IF(E360&gt;=WORKDAY.INTL(EOMONTH(E360,0)+1,-2,1,FERIADOS!$A$2:$A$250),"SÍ","NO")</x:f>
        <x:v>NO</x:v>
      </x:c>
      <x:c r="G360" s="10" t="n">
        <x:f>IF(F360="SÍ",EOMONTH(E360,0)+1,DATE(YEAR(E360),MONTH(E360),1))</x:f>
        <x:v>45992</x:v>
      </x:c>
      <x:c r="H360" t="str">
        <x:f>IF(D360="NO",IF(C360="SÍ","FERIADO","FIN DE SEMANA"),"LABORABLE")&amp;IF(F360="SÍ"," + CIERRE","")</x:f>
        <x:v>FERIADO</x:v>
      </x:c>
      <x:c r="I360" t="str">
        <x:f>TEXT(G360,"yyyy-mm")</x:f>
        <x:v>2025-12</x:v>
      </x:c>
    </x:row>
    <x:row r="361" ht="19" customHeight="1">
      <x:c r="A361" s="2" t="n">
        <x:v>46017</x:v>
      </x:c>
      <x:c r="B361" t="str">
        <x:f>CHOOSE(WEEKDAY(A361,2),"Lunes","Martes","Miércoles","Jueves","Viernes","Sábado","Domingo")</x:f>
        <x:v>Viernes</x:v>
      </x:c>
      <x:c r="C361" t="str">
        <x:f>IF(COUNTIF(FERIADOS!$A$2:$A$250,A361)&gt;0,"SÍ","NO")</x:f>
        <x:v>NO</x:v>
      </x:c>
      <x:c r="D361" t="str">
        <x:f>IF(AND(WEEKDAY(A361,2)&lt;=5,C361="NO"),"SÍ","NO")</x:f>
        <x:v>SÍ</x:v>
      </x:c>
      <x:c r="E361" s="2" t="n">
        <x:f>WORKDAY.INTL(A361-1,1,1,FERIADOS!$A$2:$A$250)</x:f>
        <x:v>46017</x:v>
      </x:c>
      <x:c r="F361" t="str">
        <x:f>IF(E361&gt;=WORKDAY.INTL(EOMONTH(E361,0)+1,-2,1,FERIADOS!$A$2:$A$250),"SÍ","NO")</x:f>
        <x:v>NO</x:v>
      </x:c>
      <x:c r="G361" s="10" t="n">
        <x:f>IF(F361="SÍ",EOMONTH(E361,0)+1,DATE(YEAR(E361),MONTH(E361),1))</x:f>
        <x:v>45992</x:v>
      </x:c>
      <x:c r="H361" t="str">
        <x:f>IF(D361="NO",IF(C361="SÍ","FERIADO","FIN DE SEMANA"),"LABORABLE")&amp;IF(F361="SÍ"," + CIERRE","")</x:f>
        <x:v>LABORABLE</x:v>
      </x:c>
      <x:c r="I361" t="str">
        <x:f>TEXT(G361,"yyyy-mm")</x:f>
        <x:v>2025-12</x:v>
      </x:c>
    </x:row>
    <x:row r="362" ht="19" customHeight="1">
      <x:c r="A362" s="2" t="n">
        <x:v>46018</x:v>
      </x:c>
      <x:c r="B362" t="str">
        <x:f>CHOOSE(WEEKDAY(A362,2),"Lunes","Martes","Miércoles","Jueves","Viernes","Sábado","Domingo")</x:f>
        <x:v>Sábado</x:v>
      </x:c>
      <x:c r="C362" t="str">
        <x:f>IF(COUNTIF(FERIADOS!$A$2:$A$250,A362)&gt;0,"SÍ","NO")</x:f>
        <x:v>NO</x:v>
      </x:c>
      <x:c r="D362" t="str">
        <x:f>IF(AND(WEEKDAY(A362,2)&lt;=5,C362="NO"),"SÍ","NO")</x:f>
        <x:v>NO</x:v>
      </x:c>
      <x:c r="E362" s="2" t="n">
        <x:f>WORKDAY.INTL(A362-1,1,1,FERIADOS!$A$2:$A$250)</x:f>
        <x:v>46020</x:v>
      </x:c>
      <x:c r="F362" t="str">
        <x:f>IF(E362&gt;=WORKDAY.INTL(EOMONTH(E362,0)+1,-2,1,FERIADOS!$A$2:$A$250),"SÍ","NO")</x:f>
        <x:v>NO</x:v>
      </x:c>
      <x:c r="G362" s="10" t="n">
        <x:f>IF(F362="SÍ",EOMONTH(E362,0)+1,DATE(YEAR(E362),MONTH(E362),1))</x:f>
        <x:v>45992</x:v>
      </x:c>
      <x:c r="H362" t="str">
        <x:f>IF(D362="NO",IF(C362="SÍ","FERIADO","FIN DE SEMANA"),"LABORABLE")&amp;IF(F362="SÍ"," + CIERRE","")</x:f>
        <x:v>FIN DE SEMANA</x:v>
      </x:c>
      <x:c r="I362" t="str">
        <x:f>TEXT(G362,"yyyy-mm")</x:f>
        <x:v>2025-12</x:v>
      </x:c>
    </x:row>
    <x:row r="363" ht="19" customHeight="1">
      <x:c r="A363" s="2" t="n">
        <x:v>46019</x:v>
      </x:c>
      <x:c r="B363" t="str">
        <x:f>CHOOSE(WEEKDAY(A363,2),"Lunes","Martes","Miércoles","Jueves","Viernes","Sábado","Domingo")</x:f>
        <x:v>Domingo</x:v>
      </x:c>
      <x:c r="C363" t="str">
        <x:f>IF(COUNTIF(FERIADOS!$A$2:$A$250,A363)&gt;0,"SÍ","NO")</x:f>
        <x:v>NO</x:v>
      </x:c>
      <x:c r="D363" t="str">
        <x:f>IF(AND(WEEKDAY(A363,2)&lt;=5,C363="NO"),"SÍ","NO")</x:f>
        <x:v>NO</x:v>
      </x:c>
      <x:c r="E363" s="2" t="n">
        <x:f>WORKDAY.INTL(A363-1,1,1,FERIADOS!$A$2:$A$250)</x:f>
        <x:v>46020</x:v>
      </x:c>
      <x:c r="F363" t="str">
        <x:f>IF(E363&gt;=WORKDAY.INTL(EOMONTH(E363,0)+1,-2,1,FERIADOS!$A$2:$A$250),"SÍ","NO")</x:f>
        <x:v>NO</x:v>
      </x:c>
      <x:c r="G363" s="10" t="n">
        <x:f>IF(F363="SÍ",EOMONTH(E363,0)+1,DATE(YEAR(E363),MONTH(E363),1))</x:f>
        <x:v>45992</x:v>
      </x:c>
      <x:c r="H363" t="str">
        <x:f>IF(D363="NO",IF(C363="SÍ","FERIADO","FIN DE SEMANA"),"LABORABLE")&amp;IF(F363="SÍ"," + CIERRE","")</x:f>
        <x:v>FIN DE SEMANA</x:v>
      </x:c>
      <x:c r="I363" t="str">
        <x:f>TEXT(G363,"yyyy-mm")</x:f>
        <x:v>2025-12</x:v>
      </x:c>
    </x:row>
    <x:row r="364" ht="19" customHeight="1">
      <x:c r="A364" s="2" t="n">
        <x:v>46020</x:v>
      </x:c>
      <x:c r="B364" t="str">
        <x:f>CHOOSE(WEEKDAY(A364,2),"Lunes","Martes","Miércoles","Jueves","Viernes","Sábado","Domingo")</x:f>
        <x:v>Lunes</x:v>
      </x:c>
      <x:c r="C364" t="str">
        <x:f>IF(COUNTIF(FERIADOS!$A$2:$A$250,A364)&gt;0,"SÍ","NO")</x:f>
        <x:v>NO</x:v>
      </x:c>
      <x:c r="D364" t="str">
        <x:f>IF(AND(WEEKDAY(A364,2)&lt;=5,C364="NO"),"SÍ","NO")</x:f>
        <x:v>SÍ</x:v>
      </x:c>
      <x:c r="E364" s="2" t="n">
        <x:f>WORKDAY.INTL(A364-1,1,1,FERIADOS!$A$2:$A$250)</x:f>
        <x:v>46020</x:v>
      </x:c>
      <x:c r="F364" t="str">
        <x:f>IF(E364&gt;=WORKDAY.INTL(EOMONTH(E364,0)+1,-2,1,FERIADOS!$A$2:$A$250),"SÍ","NO")</x:f>
        <x:v>NO</x:v>
      </x:c>
      <x:c r="G364" s="10" t="n">
        <x:f>IF(F364="SÍ",EOMONTH(E364,0)+1,DATE(YEAR(E364),MONTH(E364),1))</x:f>
        <x:v>45992</x:v>
      </x:c>
      <x:c r="H364" t="str">
        <x:f>IF(D364="NO",IF(C364="SÍ","FERIADO","FIN DE SEMANA"),"LABORABLE")&amp;IF(F364="SÍ"," + CIERRE","")</x:f>
        <x:v>LABORABLE</x:v>
      </x:c>
      <x:c r="I364" t="str">
        <x:f>TEXT(G364,"yyyy-mm")</x:f>
        <x:v>2025-12</x:v>
      </x:c>
    </x:row>
    <x:row r="365" ht="19" customHeight="1">
      <x:c r="A365" s="2" t="n">
        <x:v>46021</x:v>
      </x:c>
      <x:c r="B365" t="str">
        <x:f>CHOOSE(WEEKDAY(A365,2),"Lunes","Martes","Miércoles","Jueves","Viernes","Sábado","Domingo")</x:f>
        <x:v>Martes</x:v>
      </x:c>
      <x:c r="C365" t="str">
        <x:f>IF(COUNTIF(FERIADOS!$A$2:$A$250,A365)&gt;0,"SÍ","NO")</x:f>
        <x:v>NO</x:v>
      </x:c>
      <x:c r="D365" t="str">
        <x:f>IF(AND(WEEKDAY(A365,2)&lt;=5,C365="NO"),"SÍ","NO")</x:f>
        <x:v>SÍ</x:v>
      </x:c>
      <x:c r="E365" s="2" t="n">
        <x:f>WORKDAY.INTL(A365-1,1,1,FERIADOS!$A$2:$A$250)</x:f>
        <x:v>46021</x:v>
      </x:c>
      <x:c r="F365" t="str">
        <x:f>IF(E365&gt;=WORKDAY.INTL(EOMONTH(E365,0)+1,-2,1,FERIADOS!$A$2:$A$250),"SÍ","NO")</x:f>
        <x:v>SÍ</x:v>
      </x:c>
      <x:c r="G365" s="10" t="n">
        <x:f>IF(F365="SÍ",EOMONTH(E365,0)+1,DATE(YEAR(E365),MONTH(E365),1))</x:f>
        <x:v>46023</x:v>
      </x:c>
      <x:c r="H365" t="str">
        <x:f>IF(D365="NO",IF(C365="SÍ","FERIADO","FIN DE SEMANA"),"LABORABLE")&amp;IF(F365="SÍ"," + CIERRE","")</x:f>
        <x:v>LABORABLE + CIERRE</x:v>
      </x:c>
      <x:c r="I365" t="str">
        <x:f>TEXT(G365,"yyyy-mm")</x:f>
        <x:v>2026-01</x:v>
      </x:c>
    </x:row>
    <x:row r="366" ht="19" customHeight="1">
      <x:c r="A366" s="2" t="n">
        <x:v>46022</x:v>
      </x:c>
      <x:c r="B366" t="str">
        <x:f>CHOOSE(WEEKDAY(A366,2),"Lunes","Martes","Miércoles","Jueves","Viernes","Sábado","Domingo")</x:f>
        <x:v>Miércoles</x:v>
      </x:c>
      <x:c r="C366" t="str">
        <x:f>IF(COUNTIF(FERIADOS!$A$2:$A$250,A366)&gt;0,"SÍ","NO")</x:f>
        <x:v>NO</x:v>
      </x:c>
      <x:c r="D366" t="str">
        <x:f>IF(AND(WEEKDAY(A366,2)&lt;=5,C366="NO"),"SÍ","NO")</x:f>
        <x:v>SÍ</x:v>
      </x:c>
      <x:c r="E366" s="2" t="n">
        <x:f>WORKDAY.INTL(A366-1,1,1,FERIADOS!$A$2:$A$250)</x:f>
        <x:v>46022</x:v>
      </x:c>
      <x:c r="F366" t="str">
        <x:f>IF(E366&gt;=WORKDAY.INTL(EOMONTH(E366,0)+1,-2,1,FERIADOS!$A$2:$A$250),"SÍ","NO")</x:f>
        <x:v>SÍ</x:v>
      </x:c>
      <x:c r="G366" s="10" t="n">
        <x:f>IF(F366="SÍ",EOMONTH(E366,0)+1,DATE(YEAR(E366),MONTH(E366),1))</x:f>
        <x:v>46023</x:v>
      </x:c>
      <x:c r="H366" t="str">
        <x:f>IF(D366="NO",IF(C366="SÍ","FERIADO","FIN DE SEMANA"),"LABORABLE")&amp;IF(F366="SÍ"," + CIERRE","")</x:f>
        <x:v>LABORABLE + CIERRE</x:v>
      </x:c>
      <x:c r="I366" t="str">
        <x:f>TEXT(G366,"yyyy-mm")</x:f>
        <x:v>2026-01</x:v>
      </x:c>
    </x:row>
    <x:row r="367" ht="19" customHeight="1">
      <x:c r="A367" s="2" t="n">
        <x:v>46023</x:v>
      </x:c>
      <x:c r="B367" t="str">
        <x:f>CHOOSE(WEEKDAY(A367,2),"Lunes","Martes","Miércoles","Jueves","Viernes","Sábado","Domingo")</x:f>
        <x:v>Jueves</x:v>
      </x:c>
      <x:c r="C367" t="str">
        <x:f>IF(COUNTIF(FERIADOS!$A$2:$A$250,A367)&gt;0,"SÍ","NO")</x:f>
        <x:v>SÍ</x:v>
      </x:c>
      <x:c r="D367" t="str">
        <x:f>IF(AND(WEEKDAY(A367,2)&lt;=5,C367="NO"),"SÍ","NO")</x:f>
        <x:v>NO</x:v>
      </x:c>
      <x:c r="E367" s="2" t="n">
        <x:f>WORKDAY.INTL(A367-1,1,1,FERIADOS!$A$2:$A$250)</x:f>
        <x:v>46027</x:v>
      </x:c>
      <x:c r="F367" t="str">
        <x:f>IF(E367&gt;=WORKDAY.INTL(EOMONTH(E367,0)+1,-2,1,FERIADOS!$A$2:$A$250),"SÍ","NO")</x:f>
        <x:v>NO</x:v>
      </x:c>
      <x:c r="G367" s="10" t="n">
        <x:f>IF(F367="SÍ",EOMONTH(E367,0)+1,DATE(YEAR(E367),MONTH(E367),1))</x:f>
        <x:v>46023</x:v>
      </x:c>
      <x:c r="H367" t="str">
        <x:f>IF(D367="NO",IF(C367="SÍ","FERIADO","FIN DE SEMANA"),"LABORABLE")&amp;IF(F367="SÍ"," + CIERRE","")</x:f>
        <x:v>FERIADO</x:v>
      </x:c>
      <x:c r="I367" t="str">
        <x:f>TEXT(G367,"yyyy-mm")</x:f>
        <x:v>2026-01</x:v>
      </x:c>
    </x:row>
    <x:row r="368" ht="19" customHeight="1">
      <x:c r="A368" s="2" t="n">
        <x:v>46024</x:v>
      </x:c>
      <x:c r="B368" t="str">
        <x:f>CHOOSE(WEEKDAY(A368,2),"Lunes","Martes","Miércoles","Jueves","Viernes","Sábado","Domingo")</x:f>
        <x:v>Viernes</x:v>
      </x:c>
      <x:c r="C368" t="str">
        <x:f>IF(COUNTIF(FERIADOS!$A$2:$A$250,A368)&gt;0,"SÍ","NO")</x:f>
        <x:v>SÍ</x:v>
      </x:c>
      <x:c r="D368" t="str">
        <x:f>IF(AND(WEEKDAY(A368,2)&lt;=5,C368="NO"),"SÍ","NO")</x:f>
        <x:v>NO</x:v>
      </x:c>
      <x:c r="E368" s="2" t="n">
        <x:f>WORKDAY.INTL(A368-1,1,1,FERIADOS!$A$2:$A$250)</x:f>
        <x:v>46027</x:v>
      </x:c>
      <x:c r="F368" t="str">
        <x:f>IF(E368&gt;=WORKDAY.INTL(EOMONTH(E368,0)+1,-2,1,FERIADOS!$A$2:$A$250),"SÍ","NO")</x:f>
        <x:v>NO</x:v>
      </x:c>
      <x:c r="G368" s="10" t="n">
        <x:f>IF(F368="SÍ",EOMONTH(E368,0)+1,DATE(YEAR(E368),MONTH(E368),1))</x:f>
        <x:v>46023</x:v>
      </x:c>
      <x:c r="H368" t="str">
        <x:f>IF(D368="NO",IF(C368="SÍ","FERIADO","FIN DE SEMANA"),"LABORABLE")&amp;IF(F368="SÍ"," + CIERRE","")</x:f>
        <x:v>FERIADO</x:v>
      </x:c>
      <x:c r="I368" t="str">
        <x:f>TEXT(G368,"yyyy-mm")</x:f>
        <x:v>2026-01</x:v>
      </x:c>
    </x:row>
    <x:row r="369" ht="19" customHeight="1">
      <x:c r="A369" s="2" t="n">
        <x:v>46025</x:v>
      </x:c>
      <x:c r="B369" t="str">
        <x:f>CHOOSE(WEEKDAY(A369,2),"Lunes","Martes","Miércoles","Jueves","Viernes","Sábado","Domingo")</x:f>
        <x:v>Sábado</x:v>
      </x:c>
      <x:c r="C369" t="str">
        <x:f>IF(COUNTIF(FERIADOS!$A$2:$A$250,A369)&gt;0,"SÍ","NO")</x:f>
        <x:v>NO</x:v>
      </x:c>
      <x:c r="D369" t="str">
        <x:f>IF(AND(WEEKDAY(A369,2)&lt;=5,C369="NO"),"SÍ","NO")</x:f>
        <x:v>NO</x:v>
      </x:c>
      <x:c r="E369" s="2" t="n">
        <x:f>WORKDAY.INTL(A369-1,1,1,FERIADOS!$A$2:$A$250)</x:f>
        <x:v>46027</x:v>
      </x:c>
      <x:c r="F369" t="str">
        <x:f>IF(E369&gt;=WORKDAY.INTL(EOMONTH(E369,0)+1,-2,1,FERIADOS!$A$2:$A$250),"SÍ","NO")</x:f>
        <x:v>NO</x:v>
      </x:c>
      <x:c r="G369" s="10" t="n">
        <x:f>IF(F369="SÍ",EOMONTH(E369,0)+1,DATE(YEAR(E369),MONTH(E369),1))</x:f>
        <x:v>46023</x:v>
      </x:c>
      <x:c r="H369" t="str">
        <x:f>IF(D369="NO",IF(C369="SÍ","FERIADO","FIN DE SEMANA"),"LABORABLE")&amp;IF(F369="SÍ"," + CIERRE","")</x:f>
        <x:v>FIN DE SEMANA</x:v>
      </x:c>
      <x:c r="I369" t="str">
        <x:f>TEXT(G369,"yyyy-mm")</x:f>
        <x:v>2026-01</x:v>
      </x:c>
    </x:row>
    <x:row r="370" ht="19" customHeight="1">
      <x:c r="A370" s="2" t="n">
        <x:v>46026</x:v>
      </x:c>
      <x:c r="B370" t="str">
        <x:f>CHOOSE(WEEKDAY(A370,2),"Lunes","Martes","Miércoles","Jueves","Viernes","Sábado","Domingo")</x:f>
        <x:v>Domingo</x:v>
      </x:c>
      <x:c r="C370" t="str">
        <x:f>IF(COUNTIF(FERIADOS!$A$2:$A$250,A370)&gt;0,"SÍ","NO")</x:f>
        <x:v>NO</x:v>
      </x:c>
      <x:c r="D370" t="str">
        <x:f>IF(AND(WEEKDAY(A370,2)&lt;=5,C370="NO"),"SÍ","NO")</x:f>
        <x:v>NO</x:v>
      </x:c>
      <x:c r="E370" s="2" t="n">
        <x:f>WORKDAY.INTL(A370-1,1,1,FERIADOS!$A$2:$A$250)</x:f>
        <x:v>46027</x:v>
      </x:c>
      <x:c r="F370" t="str">
        <x:f>IF(E370&gt;=WORKDAY.INTL(EOMONTH(E370,0)+1,-2,1,FERIADOS!$A$2:$A$250),"SÍ","NO")</x:f>
        <x:v>NO</x:v>
      </x:c>
      <x:c r="G370" s="10" t="n">
        <x:f>IF(F370="SÍ",EOMONTH(E370,0)+1,DATE(YEAR(E370),MONTH(E370),1))</x:f>
        <x:v>46023</x:v>
      </x:c>
      <x:c r="H370" t="str">
        <x:f>IF(D370="NO",IF(C370="SÍ","FERIADO","FIN DE SEMANA"),"LABORABLE")&amp;IF(F370="SÍ"," + CIERRE","")</x:f>
        <x:v>FIN DE SEMANA</x:v>
      </x:c>
      <x:c r="I370" t="str">
        <x:f>TEXT(G370,"yyyy-mm")</x:f>
        <x:v>2026-01</x:v>
      </x:c>
    </x:row>
    <x:row r="371" ht="19" customHeight="1">
      <x:c r="A371" s="2" t="n">
        <x:v>46027</x:v>
      </x:c>
      <x:c r="B371" t="str">
        <x:f>CHOOSE(WEEKDAY(A371,2),"Lunes","Martes","Miércoles","Jueves","Viernes","Sábado","Domingo")</x:f>
        <x:v>Lunes</x:v>
      </x:c>
      <x:c r="C371" t="str">
        <x:f>IF(COUNTIF(FERIADOS!$A$2:$A$250,A371)&gt;0,"SÍ","NO")</x:f>
        <x:v>NO</x:v>
      </x:c>
      <x:c r="D371" t="str">
        <x:f>IF(AND(WEEKDAY(A371,2)&lt;=5,C371="NO"),"SÍ","NO")</x:f>
        <x:v>SÍ</x:v>
      </x:c>
      <x:c r="E371" s="2" t="n">
        <x:f>WORKDAY.INTL(A371-1,1,1,FERIADOS!$A$2:$A$250)</x:f>
        <x:v>46027</x:v>
      </x:c>
      <x:c r="F371" t="str">
        <x:f>IF(E371&gt;=WORKDAY.INTL(EOMONTH(E371,0)+1,-2,1,FERIADOS!$A$2:$A$250),"SÍ","NO")</x:f>
        <x:v>NO</x:v>
      </x:c>
      <x:c r="G371" s="10" t="n">
        <x:f>IF(F371="SÍ",EOMONTH(E371,0)+1,DATE(YEAR(E371),MONTH(E371),1))</x:f>
        <x:v>46023</x:v>
      </x:c>
      <x:c r="H371" t="str">
        <x:f>IF(D371="NO",IF(C371="SÍ","FERIADO","FIN DE SEMANA"),"LABORABLE")&amp;IF(F371="SÍ"," + CIERRE","")</x:f>
        <x:v>LABORABLE</x:v>
      </x:c>
      <x:c r="I371" t="str">
        <x:f>TEXT(G371,"yyyy-mm")</x:f>
        <x:v>2026-01</x:v>
      </x:c>
    </x:row>
    <x:row r="372" ht="19" customHeight="1">
      <x:c r="A372" s="2" t="n">
        <x:v>46028</x:v>
      </x:c>
      <x:c r="B372" t="str">
        <x:f>CHOOSE(WEEKDAY(A372,2),"Lunes","Martes","Miércoles","Jueves","Viernes","Sábado","Domingo")</x:f>
        <x:v>Martes</x:v>
      </x:c>
      <x:c r="C372" t="str">
        <x:f>IF(COUNTIF(FERIADOS!$A$2:$A$250,A372)&gt;0,"SÍ","NO")</x:f>
        <x:v>NO</x:v>
      </x:c>
      <x:c r="D372" t="str">
        <x:f>IF(AND(WEEKDAY(A372,2)&lt;=5,C372="NO"),"SÍ","NO")</x:f>
        <x:v>SÍ</x:v>
      </x:c>
      <x:c r="E372" s="2" t="n">
        <x:f>WORKDAY.INTL(A372-1,1,1,FERIADOS!$A$2:$A$250)</x:f>
        <x:v>46028</x:v>
      </x:c>
      <x:c r="F372" t="str">
        <x:f>IF(E372&gt;=WORKDAY.INTL(EOMONTH(E372,0)+1,-2,1,FERIADOS!$A$2:$A$250),"SÍ","NO")</x:f>
        <x:v>NO</x:v>
      </x:c>
      <x:c r="G372" s="10" t="n">
        <x:f>IF(F372="SÍ",EOMONTH(E372,0)+1,DATE(YEAR(E372),MONTH(E372),1))</x:f>
        <x:v>46023</x:v>
      </x:c>
      <x:c r="H372" t="str">
        <x:f>IF(D372="NO",IF(C372="SÍ","FERIADO","FIN DE SEMANA"),"LABORABLE")&amp;IF(F372="SÍ"," + CIERRE","")</x:f>
        <x:v>LABORABLE</x:v>
      </x:c>
      <x:c r="I372" t="str">
        <x:f>TEXT(G372,"yyyy-mm")</x:f>
        <x:v>2026-01</x:v>
      </x:c>
    </x:row>
    <x:row r="373" ht="19" customHeight="1">
      <x:c r="A373" s="2" t="n">
        <x:v>46029</x:v>
      </x:c>
      <x:c r="B373" t="str">
        <x:f>CHOOSE(WEEKDAY(A373,2),"Lunes","Martes","Miércoles","Jueves","Viernes","Sábado","Domingo")</x:f>
        <x:v>Miércoles</x:v>
      </x:c>
      <x:c r="C373" t="str">
        <x:f>IF(COUNTIF(FERIADOS!$A$2:$A$250,A373)&gt;0,"SÍ","NO")</x:f>
        <x:v>NO</x:v>
      </x:c>
      <x:c r="D373" t="str">
        <x:f>IF(AND(WEEKDAY(A373,2)&lt;=5,C373="NO"),"SÍ","NO")</x:f>
        <x:v>SÍ</x:v>
      </x:c>
      <x:c r="E373" s="2" t="n">
        <x:f>WORKDAY.INTL(A373-1,1,1,FERIADOS!$A$2:$A$250)</x:f>
        <x:v>46029</x:v>
      </x:c>
      <x:c r="F373" t="str">
        <x:f>IF(E373&gt;=WORKDAY.INTL(EOMONTH(E373,0)+1,-2,1,FERIADOS!$A$2:$A$250),"SÍ","NO")</x:f>
        <x:v>NO</x:v>
      </x:c>
      <x:c r="G373" s="10" t="n">
        <x:f>IF(F373="SÍ",EOMONTH(E373,0)+1,DATE(YEAR(E373),MONTH(E373),1))</x:f>
        <x:v>46023</x:v>
      </x:c>
      <x:c r="H373" t="str">
        <x:f>IF(D373="NO",IF(C373="SÍ","FERIADO","FIN DE SEMANA"),"LABORABLE")&amp;IF(F373="SÍ"," + CIERRE","")</x:f>
        <x:v>LABORABLE</x:v>
      </x:c>
      <x:c r="I373" t="str">
        <x:f>TEXT(G373,"yyyy-mm")</x:f>
        <x:v>2026-01</x:v>
      </x:c>
    </x:row>
    <x:row r="374" ht="19" customHeight="1">
      <x:c r="A374" s="2" t="n">
        <x:v>46030</x:v>
      </x:c>
      <x:c r="B374" t="str">
        <x:f>CHOOSE(WEEKDAY(A374,2),"Lunes","Martes","Miércoles","Jueves","Viernes","Sábado","Domingo")</x:f>
        <x:v>Jueves</x:v>
      </x:c>
      <x:c r="C374" t="str">
        <x:f>IF(COUNTIF(FERIADOS!$A$2:$A$250,A374)&gt;0,"SÍ","NO")</x:f>
        <x:v>NO</x:v>
      </x:c>
      <x:c r="D374" t="str">
        <x:f>IF(AND(WEEKDAY(A374,2)&lt;=5,C374="NO"),"SÍ","NO")</x:f>
        <x:v>SÍ</x:v>
      </x:c>
      <x:c r="E374" s="2" t="n">
        <x:f>WORKDAY.INTL(A374-1,1,1,FERIADOS!$A$2:$A$250)</x:f>
        <x:v>46030</x:v>
      </x:c>
      <x:c r="F374" t="str">
        <x:f>IF(E374&gt;=WORKDAY.INTL(EOMONTH(E374,0)+1,-2,1,FERIADOS!$A$2:$A$250),"SÍ","NO")</x:f>
        <x:v>NO</x:v>
      </x:c>
      <x:c r="G374" s="10" t="n">
        <x:f>IF(F374="SÍ",EOMONTH(E374,0)+1,DATE(YEAR(E374),MONTH(E374),1))</x:f>
        <x:v>46023</x:v>
      </x:c>
      <x:c r="H374" t="str">
        <x:f>IF(D374="NO",IF(C374="SÍ","FERIADO","FIN DE SEMANA"),"LABORABLE")&amp;IF(F374="SÍ"," + CIERRE","")</x:f>
        <x:v>LABORABLE</x:v>
      </x:c>
      <x:c r="I374" t="str">
        <x:f>TEXT(G374,"yyyy-mm")</x:f>
        <x:v>2026-01</x:v>
      </x:c>
    </x:row>
    <x:row r="375" ht="19" customHeight="1">
      <x:c r="A375" s="2" t="n">
        <x:v>46031</x:v>
      </x:c>
      <x:c r="B375" t="str">
        <x:f>CHOOSE(WEEKDAY(A375,2),"Lunes","Martes","Miércoles","Jueves","Viernes","Sábado","Domingo")</x:f>
        <x:v>Viernes</x:v>
      </x:c>
      <x:c r="C375" t="str">
        <x:f>IF(COUNTIF(FERIADOS!$A$2:$A$250,A375)&gt;0,"SÍ","NO")</x:f>
        <x:v>NO</x:v>
      </x:c>
      <x:c r="D375" t="str">
        <x:f>IF(AND(WEEKDAY(A375,2)&lt;=5,C375="NO"),"SÍ","NO")</x:f>
        <x:v>SÍ</x:v>
      </x:c>
      <x:c r="E375" s="2" t="n">
        <x:f>WORKDAY.INTL(A375-1,1,1,FERIADOS!$A$2:$A$250)</x:f>
        <x:v>46031</x:v>
      </x:c>
      <x:c r="F375" t="str">
        <x:f>IF(E375&gt;=WORKDAY.INTL(EOMONTH(E375,0)+1,-2,1,FERIADOS!$A$2:$A$250),"SÍ","NO")</x:f>
        <x:v>NO</x:v>
      </x:c>
      <x:c r="G375" s="10" t="n">
        <x:f>IF(F375="SÍ",EOMONTH(E375,0)+1,DATE(YEAR(E375),MONTH(E375),1))</x:f>
        <x:v>46023</x:v>
      </x:c>
      <x:c r="H375" t="str">
        <x:f>IF(D375="NO",IF(C375="SÍ","FERIADO","FIN DE SEMANA"),"LABORABLE")&amp;IF(F375="SÍ"," + CIERRE","")</x:f>
        <x:v>LABORABLE</x:v>
      </x:c>
      <x:c r="I375" t="str">
        <x:f>TEXT(G375,"yyyy-mm")</x:f>
        <x:v>2026-01</x:v>
      </x:c>
    </x:row>
    <x:row r="376" ht="19" customHeight="1">
      <x:c r="A376" s="2" t="n">
        <x:v>46032</x:v>
      </x:c>
      <x:c r="B376" t="str">
        <x:f>CHOOSE(WEEKDAY(A376,2),"Lunes","Martes","Miércoles","Jueves","Viernes","Sábado","Domingo")</x:f>
        <x:v>Sábado</x:v>
      </x:c>
      <x:c r="C376" t="str">
        <x:f>IF(COUNTIF(FERIADOS!$A$2:$A$250,A376)&gt;0,"SÍ","NO")</x:f>
        <x:v>NO</x:v>
      </x:c>
      <x:c r="D376" t="str">
        <x:f>IF(AND(WEEKDAY(A376,2)&lt;=5,C376="NO"),"SÍ","NO")</x:f>
        <x:v>NO</x:v>
      </x:c>
      <x:c r="E376" s="2" t="n">
        <x:f>WORKDAY.INTL(A376-1,1,1,FERIADOS!$A$2:$A$250)</x:f>
        <x:v>46034</x:v>
      </x:c>
      <x:c r="F376" t="str">
        <x:f>IF(E376&gt;=WORKDAY.INTL(EOMONTH(E376,0)+1,-2,1,FERIADOS!$A$2:$A$250),"SÍ","NO")</x:f>
        <x:v>NO</x:v>
      </x:c>
      <x:c r="G376" s="10" t="n">
        <x:f>IF(F376="SÍ",EOMONTH(E376,0)+1,DATE(YEAR(E376),MONTH(E376),1))</x:f>
        <x:v>46023</x:v>
      </x:c>
      <x:c r="H376" t="str">
        <x:f>IF(D376="NO",IF(C376="SÍ","FERIADO","FIN DE SEMANA"),"LABORABLE")&amp;IF(F376="SÍ"," + CIERRE","")</x:f>
        <x:v>FIN DE SEMANA</x:v>
      </x:c>
      <x:c r="I376" t="str">
        <x:f>TEXT(G376,"yyyy-mm")</x:f>
        <x:v>2026-01</x:v>
      </x:c>
    </x:row>
    <x:row r="377" ht="19" customHeight="1">
      <x:c r="A377" s="2" t="n">
        <x:v>46033</x:v>
      </x:c>
      <x:c r="B377" t="str">
        <x:f>CHOOSE(WEEKDAY(A377,2),"Lunes","Martes","Miércoles","Jueves","Viernes","Sábado","Domingo")</x:f>
        <x:v>Domingo</x:v>
      </x:c>
      <x:c r="C377" t="str">
        <x:f>IF(COUNTIF(FERIADOS!$A$2:$A$250,A377)&gt;0,"SÍ","NO")</x:f>
        <x:v>NO</x:v>
      </x:c>
      <x:c r="D377" t="str">
        <x:f>IF(AND(WEEKDAY(A377,2)&lt;=5,C377="NO"),"SÍ","NO")</x:f>
        <x:v>NO</x:v>
      </x:c>
      <x:c r="E377" s="2" t="n">
        <x:f>WORKDAY.INTL(A377-1,1,1,FERIADOS!$A$2:$A$250)</x:f>
        <x:v>46034</x:v>
      </x:c>
      <x:c r="F377" t="str">
        <x:f>IF(E377&gt;=WORKDAY.INTL(EOMONTH(E377,0)+1,-2,1,FERIADOS!$A$2:$A$250),"SÍ","NO")</x:f>
        <x:v>NO</x:v>
      </x:c>
      <x:c r="G377" s="10" t="n">
        <x:f>IF(F377="SÍ",EOMONTH(E377,0)+1,DATE(YEAR(E377),MONTH(E377),1))</x:f>
        <x:v>46023</x:v>
      </x:c>
      <x:c r="H377" t="str">
        <x:f>IF(D377="NO",IF(C377="SÍ","FERIADO","FIN DE SEMANA"),"LABORABLE")&amp;IF(F377="SÍ"," + CIERRE","")</x:f>
        <x:v>FIN DE SEMANA</x:v>
      </x:c>
      <x:c r="I377" t="str">
        <x:f>TEXT(G377,"yyyy-mm")</x:f>
        <x:v>2026-01</x:v>
      </x:c>
    </x:row>
    <x:row r="378" ht="19" customHeight="1">
      <x:c r="A378" s="2" t="n">
        <x:v>46034</x:v>
      </x:c>
      <x:c r="B378" t="str">
        <x:f>CHOOSE(WEEKDAY(A378,2),"Lunes","Martes","Miércoles","Jueves","Viernes","Sábado","Domingo")</x:f>
        <x:v>Lunes</x:v>
      </x:c>
      <x:c r="C378" t="str">
        <x:f>IF(COUNTIF(FERIADOS!$A$2:$A$250,A378)&gt;0,"SÍ","NO")</x:f>
        <x:v>NO</x:v>
      </x:c>
      <x:c r="D378" t="str">
        <x:f>IF(AND(WEEKDAY(A378,2)&lt;=5,C378="NO"),"SÍ","NO")</x:f>
        <x:v>SÍ</x:v>
      </x:c>
      <x:c r="E378" s="2" t="n">
        <x:f>WORKDAY.INTL(A378-1,1,1,FERIADOS!$A$2:$A$250)</x:f>
        <x:v>46034</x:v>
      </x:c>
      <x:c r="F378" t="str">
        <x:f>IF(E378&gt;=WORKDAY.INTL(EOMONTH(E378,0)+1,-2,1,FERIADOS!$A$2:$A$250),"SÍ","NO")</x:f>
        <x:v>NO</x:v>
      </x:c>
      <x:c r="G378" s="10" t="n">
        <x:f>IF(F378="SÍ",EOMONTH(E378,0)+1,DATE(YEAR(E378),MONTH(E378),1))</x:f>
        <x:v>46023</x:v>
      </x:c>
      <x:c r="H378" t="str">
        <x:f>IF(D378="NO",IF(C378="SÍ","FERIADO","FIN DE SEMANA"),"LABORABLE")&amp;IF(F378="SÍ"," + CIERRE","")</x:f>
        <x:v>LABORABLE</x:v>
      </x:c>
      <x:c r="I378" t="str">
        <x:f>TEXT(G378,"yyyy-mm")</x:f>
        <x:v>2026-01</x:v>
      </x:c>
    </x:row>
    <x:row r="379" ht="19" customHeight="1">
      <x:c r="A379" s="2" t="n">
        <x:v>46035</x:v>
      </x:c>
      <x:c r="B379" t="str">
        <x:f>CHOOSE(WEEKDAY(A379,2),"Lunes","Martes","Miércoles","Jueves","Viernes","Sábado","Domingo")</x:f>
        <x:v>Martes</x:v>
      </x:c>
      <x:c r="C379" t="str">
        <x:f>IF(COUNTIF(FERIADOS!$A$2:$A$250,A379)&gt;0,"SÍ","NO")</x:f>
        <x:v>NO</x:v>
      </x:c>
      <x:c r="D379" t="str">
        <x:f>IF(AND(WEEKDAY(A379,2)&lt;=5,C379="NO"),"SÍ","NO")</x:f>
        <x:v>SÍ</x:v>
      </x:c>
      <x:c r="E379" s="2" t="n">
        <x:f>WORKDAY.INTL(A379-1,1,1,FERIADOS!$A$2:$A$250)</x:f>
        <x:v>46035</x:v>
      </x:c>
      <x:c r="F379" t="str">
        <x:f>IF(E379&gt;=WORKDAY.INTL(EOMONTH(E379,0)+1,-2,1,FERIADOS!$A$2:$A$250),"SÍ","NO")</x:f>
        <x:v>NO</x:v>
      </x:c>
      <x:c r="G379" s="10" t="n">
        <x:f>IF(F379="SÍ",EOMONTH(E379,0)+1,DATE(YEAR(E379),MONTH(E379),1))</x:f>
        <x:v>46023</x:v>
      </x:c>
      <x:c r="H379" t="str">
        <x:f>IF(D379="NO",IF(C379="SÍ","FERIADO","FIN DE SEMANA"),"LABORABLE")&amp;IF(F379="SÍ"," + CIERRE","")</x:f>
        <x:v>LABORABLE</x:v>
      </x:c>
      <x:c r="I379" t="str">
        <x:f>TEXT(G379,"yyyy-mm")</x:f>
        <x:v>2026-01</x:v>
      </x:c>
    </x:row>
    <x:row r="380" ht="19" customHeight="1">
      <x:c r="A380" s="2" t="n">
        <x:v>46036</x:v>
      </x:c>
      <x:c r="B380" t="str">
        <x:f>CHOOSE(WEEKDAY(A380,2),"Lunes","Martes","Miércoles","Jueves","Viernes","Sábado","Domingo")</x:f>
        <x:v>Miércoles</x:v>
      </x:c>
      <x:c r="C380" t="str">
        <x:f>IF(COUNTIF(FERIADOS!$A$2:$A$250,A380)&gt;0,"SÍ","NO")</x:f>
        <x:v>NO</x:v>
      </x:c>
      <x:c r="D380" t="str">
        <x:f>IF(AND(WEEKDAY(A380,2)&lt;=5,C380="NO"),"SÍ","NO")</x:f>
        <x:v>SÍ</x:v>
      </x:c>
      <x:c r="E380" s="2" t="n">
        <x:f>WORKDAY.INTL(A380-1,1,1,FERIADOS!$A$2:$A$250)</x:f>
        <x:v>46036</x:v>
      </x:c>
      <x:c r="F380" t="str">
        <x:f>IF(E380&gt;=WORKDAY.INTL(EOMONTH(E380,0)+1,-2,1,FERIADOS!$A$2:$A$250),"SÍ","NO")</x:f>
        <x:v>NO</x:v>
      </x:c>
      <x:c r="G380" s="10" t="n">
        <x:f>IF(F380="SÍ",EOMONTH(E380,0)+1,DATE(YEAR(E380),MONTH(E380),1))</x:f>
        <x:v>46023</x:v>
      </x:c>
      <x:c r="H380" t="str">
        <x:f>IF(D380="NO",IF(C380="SÍ","FERIADO","FIN DE SEMANA"),"LABORABLE")&amp;IF(F380="SÍ"," + CIERRE","")</x:f>
        <x:v>LABORABLE</x:v>
      </x:c>
      <x:c r="I380" t="str">
        <x:f>TEXT(G380,"yyyy-mm")</x:f>
        <x:v>2026-01</x:v>
      </x:c>
    </x:row>
    <x:row r="381" ht="19" customHeight="1">
      <x:c r="A381" s="2" t="n">
        <x:v>46037</x:v>
      </x:c>
      <x:c r="B381" t="str">
        <x:f>CHOOSE(WEEKDAY(A381,2),"Lunes","Martes","Miércoles","Jueves","Viernes","Sábado","Domingo")</x:f>
        <x:v>Jueves</x:v>
      </x:c>
      <x:c r="C381" t="str">
        <x:f>IF(COUNTIF(FERIADOS!$A$2:$A$250,A381)&gt;0,"SÍ","NO")</x:f>
        <x:v>NO</x:v>
      </x:c>
      <x:c r="D381" t="str">
        <x:f>IF(AND(WEEKDAY(A381,2)&lt;=5,C381="NO"),"SÍ","NO")</x:f>
        <x:v>SÍ</x:v>
      </x:c>
      <x:c r="E381" s="2" t="n">
        <x:f>WORKDAY.INTL(A381-1,1,1,FERIADOS!$A$2:$A$250)</x:f>
        <x:v>46037</x:v>
      </x:c>
      <x:c r="F381" t="str">
        <x:f>IF(E381&gt;=WORKDAY.INTL(EOMONTH(E381,0)+1,-2,1,FERIADOS!$A$2:$A$250),"SÍ","NO")</x:f>
        <x:v>NO</x:v>
      </x:c>
      <x:c r="G381" s="10" t="n">
        <x:f>IF(F381="SÍ",EOMONTH(E381,0)+1,DATE(YEAR(E381),MONTH(E381),1))</x:f>
        <x:v>46023</x:v>
      </x:c>
      <x:c r="H381" t="str">
        <x:f>IF(D381="NO",IF(C381="SÍ","FERIADO","FIN DE SEMANA"),"LABORABLE")&amp;IF(F381="SÍ"," + CIERRE","")</x:f>
        <x:v>LABORABLE</x:v>
      </x:c>
      <x:c r="I381" t="str">
        <x:f>TEXT(G381,"yyyy-mm")</x:f>
        <x:v>2026-01</x:v>
      </x:c>
    </x:row>
    <x:row r="382" ht="19" customHeight="1">
      <x:c r="A382" s="2" t="n">
        <x:v>46038</x:v>
      </x:c>
      <x:c r="B382" t="str">
        <x:f>CHOOSE(WEEKDAY(A382,2),"Lunes","Martes","Miércoles","Jueves","Viernes","Sábado","Domingo")</x:f>
        <x:v>Viernes</x:v>
      </x:c>
      <x:c r="C382" t="str">
        <x:f>IF(COUNTIF(FERIADOS!$A$2:$A$250,A382)&gt;0,"SÍ","NO")</x:f>
        <x:v>NO</x:v>
      </x:c>
      <x:c r="D382" t="str">
        <x:f>IF(AND(WEEKDAY(A382,2)&lt;=5,C382="NO"),"SÍ","NO")</x:f>
        <x:v>SÍ</x:v>
      </x:c>
      <x:c r="E382" s="2" t="n">
        <x:f>WORKDAY.INTL(A382-1,1,1,FERIADOS!$A$2:$A$250)</x:f>
        <x:v>46038</x:v>
      </x:c>
      <x:c r="F382" t="str">
        <x:f>IF(E382&gt;=WORKDAY.INTL(EOMONTH(E382,0)+1,-2,1,FERIADOS!$A$2:$A$250),"SÍ","NO")</x:f>
        <x:v>NO</x:v>
      </x:c>
      <x:c r="G382" s="10" t="n">
        <x:f>IF(F382="SÍ",EOMONTH(E382,0)+1,DATE(YEAR(E382),MONTH(E382),1))</x:f>
        <x:v>46023</x:v>
      </x:c>
      <x:c r="H382" t="str">
        <x:f>IF(D382="NO",IF(C382="SÍ","FERIADO","FIN DE SEMANA"),"LABORABLE")&amp;IF(F382="SÍ"," + CIERRE","")</x:f>
        <x:v>LABORABLE</x:v>
      </x:c>
      <x:c r="I382" t="str">
        <x:f>TEXT(G382,"yyyy-mm")</x:f>
        <x:v>2026-01</x:v>
      </x:c>
    </x:row>
    <x:row r="383" ht="19" customHeight="1">
      <x:c r="A383" s="2" t="n">
        <x:v>46039</x:v>
      </x:c>
      <x:c r="B383" t="str">
        <x:f>CHOOSE(WEEKDAY(A383,2),"Lunes","Martes","Miércoles","Jueves","Viernes","Sábado","Domingo")</x:f>
        <x:v>Sábado</x:v>
      </x:c>
      <x:c r="C383" t="str">
        <x:f>IF(COUNTIF(FERIADOS!$A$2:$A$250,A383)&gt;0,"SÍ","NO")</x:f>
        <x:v>NO</x:v>
      </x:c>
      <x:c r="D383" t="str">
        <x:f>IF(AND(WEEKDAY(A383,2)&lt;=5,C383="NO"),"SÍ","NO")</x:f>
        <x:v>NO</x:v>
      </x:c>
      <x:c r="E383" s="2" t="n">
        <x:f>WORKDAY.INTL(A383-1,1,1,FERIADOS!$A$2:$A$250)</x:f>
        <x:v>46041</x:v>
      </x:c>
      <x:c r="F383" t="str">
        <x:f>IF(E383&gt;=WORKDAY.INTL(EOMONTH(E383,0)+1,-2,1,FERIADOS!$A$2:$A$250),"SÍ","NO")</x:f>
        <x:v>NO</x:v>
      </x:c>
      <x:c r="G383" s="10" t="n">
        <x:f>IF(F383="SÍ",EOMONTH(E383,0)+1,DATE(YEAR(E383),MONTH(E383),1))</x:f>
        <x:v>46023</x:v>
      </x:c>
      <x:c r="H383" t="str">
        <x:f>IF(D383="NO",IF(C383="SÍ","FERIADO","FIN DE SEMANA"),"LABORABLE")&amp;IF(F383="SÍ"," + CIERRE","")</x:f>
        <x:v>FIN DE SEMANA</x:v>
      </x:c>
      <x:c r="I383" t="str">
        <x:f>TEXT(G383,"yyyy-mm")</x:f>
        <x:v>2026-01</x:v>
      </x:c>
    </x:row>
    <x:row r="384" ht="19" customHeight="1">
      <x:c r="A384" s="2" t="n">
        <x:v>46040</x:v>
      </x:c>
      <x:c r="B384" t="str">
        <x:f>CHOOSE(WEEKDAY(A384,2),"Lunes","Martes","Miércoles","Jueves","Viernes","Sábado","Domingo")</x:f>
        <x:v>Domingo</x:v>
      </x:c>
      <x:c r="C384" t="str">
        <x:f>IF(COUNTIF(FERIADOS!$A$2:$A$250,A384)&gt;0,"SÍ","NO")</x:f>
        <x:v>NO</x:v>
      </x:c>
      <x:c r="D384" t="str">
        <x:f>IF(AND(WEEKDAY(A384,2)&lt;=5,C384="NO"),"SÍ","NO")</x:f>
        <x:v>NO</x:v>
      </x:c>
      <x:c r="E384" s="2" t="n">
        <x:f>WORKDAY.INTL(A384-1,1,1,FERIADOS!$A$2:$A$250)</x:f>
        <x:v>46041</x:v>
      </x:c>
      <x:c r="F384" t="str">
        <x:f>IF(E384&gt;=WORKDAY.INTL(EOMONTH(E384,0)+1,-2,1,FERIADOS!$A$2:$A$250),"SÍ","NO")</x:f>
        <x:v>NO</x:v>
      </x:c>
      <x:c r="G384" s="10" t="n">
        <x:f>IF(F384="SÍ",EOMONTH(E384,0)+1,DATE(YEAR(E384),MONTH(E384),1))</x:f>
        <x:v>46023</x:v>
      </x:c>
      <x:c r="H384" t="str">
        <x:f>IF(D384="NO",IF(C384="SÍ","FERIADO","FIN DE SEMANA"),"LABORABLE")&amp;IF(F384="SÍ"," + CIERRE","")</x:f>
        <x:v>FIN DE SEMANA</x:v>
      </x:c>
      <x:c r="I384" t="str">
        <x:f>TEXT(G384,"yyyy-mm")</x:f>
        <x:v>2026-01</x:v>
      </x:c>
    </x:row>
    <x:row r="385" ht="19" customHeight="1">
      <x:c r="A385" s="2" t="n">
        <x:v>46041</x:v>
      </x:c>
      <x:c r="B385" t="str">
        <x:f>CHOOSE(WEEKDAY(A385,2),"Lunes","Martes","Miércoles","Jueves","Viernes","Sábado","Domingo")</x:f>
        <x:v>Lunes</x:v>
      </x:c>
      <x:c r="C385" t="str">
        <x:f>IF(COUNTIF(FERIADOS!$A$2:$A$250,A385)&gt;0,"SÍ","NO")</x:f>
        <x:v>NO</x:v>
      </x:c>
      <x:c r="D385" t="str">
        <x:f>IF(AND(WEEKDAY(A385,2)&lt;=5,C385="NO"),"SÍ","NO")</x:f>
        <x:v>SÍ</x:v>
      </x:c>
      <x:c r="E385" s="2" t="n">
        <x:f>WORKDAY.INTL(A385-1,1,1,FERIADOS!$A$2:$A$250)</x:f>
        <x:v>46041</x:v>
      </x:c>
      <x:c r="F385" t="str">
        <x:f>IF(E385&gt;=WORKDAY.INTL(EOMONTH(E385,0)+1,-2,1,FERIADOS!$A$2:$A$250),"SÍ","NO")</x:f>
        <x:v>NO</x:v>
      </x:c>
      <x:c r="G385" s="10" t="n">
        <x:f>IF(F385="SÍ",EOMONTH(E385,0)+1,DATE(YEAR(E385),MONTH(E385),1))</x:f>
        <x:v>46023</x:v>
      </x:c>
      <x:c r="H385" t="str">
        <x:f>IF(D385="NO",IF(C385="SÍ","FERIADO","FIN DE SEMANA"),"LABORABLE")&amp;IF(F385="SÍ"," + CIERRE","")</x:f>
        <x:v>LABORABLE</x:v>
      </x:c>
      <x:c r="I385" t="str">
        <x:f>TEXT(G385,"yyyy-mm")</x:f>
        <x:v>2026-01</x:v>
      </x:c>
    </x:row>
    <x:row r="386" ht="19" customHeight="1">
      <x:c r="A386" s="2" t="n">
        <x:v>46042</x:v>
      </x:c>
      <x:c r="B386" t="str">
        <x:f>CHOOSE(WEEKDAY(A386,2),"Lunes","Martes","Miércoles","Jueves","Viernes","Sábado","Domingo")</x:f>
        <x:v>Martes</x:v>
      </x:c>
      <x:c r="C386" t="str">
        <x:f>IF(COUNTIF(FERIADOS!$A$2:$A$250,A386)&gt;0,"SÍ","NO")</x:f>
        <x:v>NO</x:v>
      </x:c>
      <x:c r="D386" t="str">
        <x:f>IF(AND(WEEKDAY(A386,2)&lt;=5,C386="NO"),"SÍ","NO")</x:f>
        <x:v>SÍ</x:v>
      </x:c>
      <x:c r="E386" s="2" t="n">
        <x:f>WORKDAY.INTL(A386-1,1,1,FERIADOS!$A$2:$A$250)</x:f>
        <x:v>46042</x:v>
      </x:c>
      <x:c r="F386" t="str">
        <x:f>IF(E386&gt;=WORKDAY.INTL(EOMONTH(E386,0)+1,-2,1,FERIADOS!$A$2:$A$250),"SÍ","NO")</x:f>
        <x:v>NO</x:v>
      </x:c>
      <x:c r="G386" s="10" t="n">
        <x:f>IF(F386="SÍ",EOMONTH(E386,0)+1,DATE(YEAR(E386),MONTH(E386),1))</x:f>
        <x:v>46023</x:v>
      </x:c>
      <x:c r="H386" t="str">
        <x:f>IF(D386="NO",IF(C386="SÍ","FERIADO","FIN DE SEMANA"),"LABORABLE")&amp;IF(F386="SÍ"," + CIERRE","")</x:f>
        <x:v>LABORABLE</x:v>
      </x:c>
      <x:c r="I386" t="str">
        <x:f>TEXT(G386,"yyyy-mm")</x:f>
        <x:v>2026-01</x:v>
      </x:c>
    </x:row>
    <x:row r="387" ht="19" customHeight="1">
      <x:c r="A387" s="2" t="n">
        <x:v>46043</x:v>
      </x:c>
      <x:c r="B387" t="str">
        <x:f>CHOOSE(WEEKDAY(A387,2),"Lunes","Martes","Miércoles","Jueves","Viernes","Sábado","Domingo")</x:f>
        <x:v>Miércoles</x:v>
      </x:c>
      <x:c r="C387" t="str">
        <x:f>IF(COUNTIF(FERIADOS!$A$2:$A$250,A387)&gt;0,"SÍ","NO")</x:f>
        <x:v>NO</x:v>
      </x:c>
      <x:c r="D387" t="str">
        <x:f>IF(AND(WEEKDAY(A387,2)&lt;=5,C387="NO"),"SÍ","NO")</x:f>
        <x:v>SÍ</x:v>
      </x:c>
      <x:c r="E387" s="2" t="n">
        <x:f>WORKDAY.INTL(A387-1,1,1,FERIADOS!$A$2:$A$250)</x:f>
        <x:v>46043</x:v>
      </x:c>
      <x:c r="F387" t="str">
        <x:f>IF(E387&gt;=WORKDAY.INTL(EOMONTH(E387,0)+1,-2,1,FERIADOS!$A$2:$A$250),"SÍ","NO")</x:f>
        <x:v>NO</x:v>
      </x:c>
      <x:c r="G387" s="10" t="n">
        <x:f>IF(F387="SÍ",EOMONTH(E387,0)+1,DATE(YEAR(E387),MONTH(E387),1))</x:f>
        <x:v>46023</x:v>
      </x:c>
      <x:c r="H387" t="str">
        <x:f>IF(D387="NO",IF(C387="SÍ","FERIADO","FIN DE SEMANA"),"LABORABLE")&amp;IF(F387="SÍ"," + CIERRE","")</x:f>
        <x:v>LABORABLE</x:v>
      </x:c>
      <x:c r="I387" t="str">
        <x:f>TEXT(G387,"yyyy-mm")</x:f>
        <x:v>2026-01</x:v>
      </x:c>
    </x:row>
    <x:row r="388" ht="19" customHeight="1">
      <x:c r="A388" s="2" t="n">
        <x:v>46044</x:v>
      </x:c>
      <x:c r="B388" t="str">
        <x:f>CHOOSE(WEEKDAY(A388,2),"Lunes","Martes","Miércoles","Jueves","Viernes","Sábado","Domingo")</x:f>
        <x:v>Jueves</x:v>
      </x:c>
      <x:c r="C388" t="str">
        <x:f>IF(COUNTIF(FERIADOS!$A$2:$A$250,A388)&gt;0,"SÍ","NO")</x:f>
        <x:v>NO</x:v>
      </x:c>
      <x:c r="D388" t="str">
        <x:f>IF(AND(WEEKDAY(A388,2)&lt;=5,C388="NO"),"SÍ","NO")</x:f>
        <x:v>SÍ</x:v>
      </x:c>
      <x:c r="E388" s="2" t="n">
        <x:f>WORKDAY.INTL(A388-1,1,1,FERIADOS!$A$2:$A$250)</x:f>
        <x:v>46044</x:v>
      </x:c>
      <x:c r="F388" t="str">
        <x:f>IF(E388&gt;=WORKDAY.INTL(EOMONTH(E388,0)+1,-2,1,FERIADOS!$A$2:$A$250),"SÍ","NO")</x:f>
        <x:v>NO</x:v>
      </x:c>
      <x:c r="G388" s="10" t="n">
        <x:f>IF(F388="SÍ",EOMONTH(E388,0)+1,DATE(YEAR(E388),MONTH(E388),1))</x:f>
        <x:v>46023</x:v>
      </x:c>
      <x:c r="H388" t="str">
        <x:f>IF(D388="NO",IF(C388="SÍ","FERIADO","FIN DE SEMANA"),"LABORABLE")&amp;IF(F388="SÍ"," + CIERRE","")</x:f>
        <x:v>LABORABLE</x:v>
      </x:c>
      <x:c r="I388" t="str">
        <x:f>TEXT(G388,"yyyy-mm")</x:f>
        <x:v>2026-01</x:v>
      </x:c>
    </x:row>
    <x:row r="389" ht="19" customHeight="1">
      <x:c r="A389" s="2" t="n">
        <x:v>46045</x:v>
      </x:c>
      <x:c r="B389" t="str">
        <x:f>CHOOSE(WEEKDAY(A389,2),"Lunes","Martes","Miércoles","Jueves","Viernes","Sábado","Domingo")</x:f>
        <x:v>Viernes</x:v>
      </x:c>
      <x:c r="C389" t="str">
        <x:f>IF(COUNTIF(FERIADOS!$A$2:$A$250,A389)&gt;0,"SÍ","NO")</x:f>
        <x:v>NO</x:v>
      </x:c>
      <x:c r="D389" t="str">
        <x:f>IF(AND(WEEKDAY(A389,2)&lt;=5,C389="NO"),"SÍ","NO")</x:f>
        <x:v>SÍ</x:v>
      </x:c>
      <x:c r="E389" s="2" t="n">
        <x:f>WORKDAY.INTL(A389-1,1,1,FERIADOS!$A$2:$A$250)</x:f>
        <x:v>46045</x:v>
      </x:c>
      <x:c r="F389" t="str">
        <x:f>IF(E389&gt;=WORKDAY.INTL(EOMONTH(E389,0)+1,-2,1,FERIADOS!$A$2:$A$250),"SÍ","NO")</x:f>
        <x:v>NO</x:v>
      </x:c>
      <x:c r="G389" s="10" t="n">
        <x:f>IF(F389="SÍ",EOMONTH(E389,0)+1,DATE(YEAR(E389),MONTH(E389),1))</x:f>
        <x:v>46023</x:v>
      </x:c>
      <x:c r="H389" t="str">
        <x:f>IF(D389="NO",IF(C389="SÍ","FERIADO","FIN DE SEMANA"),"LABORABLE")&amp;IF(F389="SÍ"," + CIERRE","")</x:f>
        <x:v>LABORABLE</x:v>
      </x:c>
      <x:c r="I389" t="str">
        <x:f>TEXT(G389,"yyyy-mm")</x:f>
        <x:v>2026-01</x:v>
      </x:c>
    </x:row>
    <x:row r="390" ht="19" customHeight="1">
      <x:c r="A390" s="2" t="n">
        <x:v>46046</x:v>
      </x:c>
      <x:c r="B390" t="str">
        <x:f>CHOOSE(WEEKDAY(A390,2),"Lunes","Martes","Miércoles","Jueves","Viernes","Sábado","Domingo")</x:f>
        <x:v>Sábado</x:v>
      </x:c>
      <x:c r="C390" t="str">
        <x:f>IF(COUNTIF(FERIADOS!$A$2:$A$250,A390)&gt;0,"SÍ","NO")</x:f>
        <x:v>NO</x:v>
      </x:c>
      <x:c r="D390" t="str">
        <x:f>IF(AND(WEEKDAY(A390,2)&lt;=5,C390="NO"),"SÍ","NO")</x:f>
        <x:v>NO</x:v>
      </x:c>
      <x:c r="E390" s="2" t="n">
        <x:f>WORKDAY.INTL(A390-1,1,1,FERIADOS!$A$2:$A$250)</x:f>
        <x:v>46048</x:v>
      </x:c>
      <x:c r="F390" t="str">
        <x:f>IF(E390&gt;=WORKDAY.INTL(EOMONTH(E390,0)+1,-2,1,FERIADOS!$A$2:$A$250),"SÍ","NO")</x:f>
        <x:v>NO</x:v>
      </x:c>
      <x:c r="G390" s="10" t="n">
        <x:f>IF(F390="SÍ",EOMONTH(E390,0)+1,DATE(YEAR(E390),MONTH(E390),1))</x:f>
        <x:v>46023</x:v>
      </x:c>
      <x:c r="H390" t="str">
        <x:f>IF(D390="NO",IF(C390="SÍ","FERIADO","FIN DE SEMANA"),"LABORABLE")&amp;IF(F390="SÍ"," + CIERRE","")</x:f>
        <x:v>FIN DE SEMANA</x:v>
      </x:c>
      <x:c r="I390" t="str">
        <x:f>TEXT(G390,"yyyy-mm")</x:f>
        <x:v>2026-01</x:v>
      </x:c>
    </x:row>
    <x:row r="391" ht="19" customHeight="1">
      <x:c r="A391" s="2" t="n">
        <x:v>46047</x:v>
      </x:c>
      <x:c r="B391" t="str">
        <x:f>CHOOSE(WEEKDAY(A391,2),"Lunes","Martes","Miércoles","Jueves","Viernes","Sábado","Domingo")</x:f>
        <x:v>Domingo</x:v>
      </x:c>
      <x:c r="C391" t="str">
        <x:f>IF(COUNTIF(FERIADOS!$A$2:$A$250,A391)&gt;0,"SÍ","NO")</x:f>
        <x:v>NO</x:v>
      </x:c>
      <x:c r="D391" t="str">
        <x:f>IF(AND(WEEKDAY(A391,2)&lt;=5,C391="NO"),"SÍ","NO")</x:f>
        <x:v>NO</x:v>
      </x:c>
      <x:c r="E391" s="2" t="n">
        <x:f>WORKDAY.INTL(A391-1,1,1,FERIADOS!$A$2:$A$250)</x:f>
        <x:v>46048</x:v>
      </x:c>
      <x:c r="F391" t="str">
        <x:f>IF(E391&gt;=WORKDAY.INTL(EOMONTH(E391,0)+1,-2,1,FERIADOS!$A$2:$A$250),"SÍ","NO")</x:f>
        <x:v>NO</x:v>
      </x:c>
      <x:c r="G391" s="10" t="n">
        <x:f>IF(F391="SÍ",EOMONTH(E391,0)+1,DATE(YEAR(E391),MONTH(E391),1))</x:f>
        <x:v>46023</x:v>
      </x:c>
      <x:c r="H391" t="str">
        <x:f>IF(D391="NO",IF(C391="SÍ","FERIADO","FIN DE SEMANA"),"LABORABLE")&amp;IF(F391="SÍ"," + CIERRE","")</x:f>
        <x:v>FIN DE SEMANA</x:v>
      </x:c>
      <x:c r="I391" t="str">
        <x:f>TEXT(G391,"yyyy-mm")</x:f>
        <x:v>2026-01</x:v>
      </x:c>
    </x:row>
    <x:row r="392" ht="19" customHeight="1">
      <x:c r="A392" s="2" t="n">
        <x:v>46048</x:v>
      </x:c>
      <x:c r="B392" t="str">
        <x:f>CHOOSE(WEEKDAY(A392,2),"Lunes","Martes","Miércoles","Jueves","Viernes","Sábado","Domingo")</x:f>
        <x:v>Lunes</x:v>
      </x:c>
      <x:c r="C392" t="str">
        <x:f>IF(COUNTIF(FERIADOS!$A$2:$A$250,A392)&gt;0,"SÍ","NO")</x:f>
        <x:v>NO</x:v>
      </x:c>
      <x:c r="D392" t="str">
        <x:f>IF(AND(WEEKDAY(A392,2)&lt;=5,C392="NO"),"SÍ","NO")</x:f>
        <x:v>SÍ</x:v>
      </x:c>
      <x:c r="E392" s="2" t="n">
        <x:f>WORKDAY.INTL(A392-1,1,1,FERIADOS!$A$2:$A$250)</x:f>
        <x:v>46048</x:v>
      </x:c>
      <x:c r="F392" t="str">
        <x:f>IF(E392&gt;=WORKDAY.INTL(EOMONTH(E392,0)+1,-2,1,FERIADOS!$A$2:$A$250),"SÍ","NO")</x:f>
        <x:v>NO</x:v>
      </x:c>
      <x:c r="G392" s="10" t="n">
        <x:f>IF(F392="SÍ",EOMONTH(E392,0)+1,DATE(YEAR(E392),MONTH(E392),1))</x:f>
        <x:v>46023</x:v>
      </x:c>
      <x:c r="H392" t="str">
        <x:f>IF(D392="NO",IF(C392="SÍ","FERIADO","FIN DE SEMANA"),"LABORABLE")&amp;IF(F392="SÍ"," + CIERRE","")</x:f>
        <x:v>LABORABLE</x:v>
      </x:c>
      <x:c r="I392" t="str">
        <x:f>TEXT(G392,"yyyy-mm")</x:f>
        <x:v>2026-01</x:v>
      </x:c>
    </x:row>
    <x:row r="393" ht="19" customHeight="1">
      <x:c r="A393" s="2" t="n">
        <x:v>46049</x:v>
      </x:c>
      <x:c r="B393" t="str">
        <x:f>CHOOSE(WEEKDAY(A393,2),"Lunes","Martes","Miércoles","Jueves","Viernes","Sábado","Domingo")</x:f>
        <x:v>Martes</x:v>
      </x:c>
      <x:c r="C393" t="str">
        <x:f>IF(COUNTIF(FERIADOS!$A$2:$A$250,A393)&gt;0,"SÍ","NO")</x:f>
        <x:v>NO</x:v>
      </x:c>
      <x:c r="D393" t="str">
        <x:f>IF(AND(WEEKDAY(A393,2)&lt;=5,C393="NO"),"SÍ","NO")</x:f>
        <x:v>SÍ</x:v>
      </x:c>
      <x:c r="E393" s="2" t="n">
        <x:f>WORKDAY.INTL(A393-1,1,1,FERIADOS!$A$2:$A$250)</x:f>
        <x:v>46049</x:v>
      </x:c>
      <x:c r="F393" t="str">
        <x:f>IF(E393&gt;=WORKDAY.INTL(EOMONTH(E393,0)+1,-2,1,FERIADOS!$A$2:$A$250),"SÍ","NO")</x:f>
        <x:v>NO</x:v>
      </x:c>
      <x:c r="G393" s="10" t="n">
        <x:f>IF(F393="SÍ",EOMONTH(E393,0)+1,DATE(YEAR(E393),MONTH(E393),1))</x:f>
        <x:v>46023</x:v>
      </x:c>
      <x:c r="H393" t="str">
        <x:f>IF(D393="NO",IF(C393="SÍ","FERIADO","FIN DE SEMANA"),"LABORABLE")&amp;IF(F393="SÍ"," + CIERRE","")</x:f>
        <x:v>LABORABLE</x:v>
      </x:c>
      <x:c r="I393" t="str">
        <x:f>TEXT(G393,"yyyy-mm")</x:f>
        <x:v>2026-01</x:v>
      </x:c>
    </x:row>
    <x:row r="394" ht="19" customHeight="1">
      <x:c r="A394" s="2" t="n">
        <x:v>46050</x:v>
      </x:c>
      <x:c r="B394" t="str">
        <x:f>CHOOSE(WEEKDAY(A394,2),"Lunes","Martes","Miércoles","Jueves","Viernes","Sábado","Domingo")</x:f>
        <x:v>Miércoles</x:v>
      </x:c>
      <x:c r="C394" t="str">
        <x:f>IF(COUNTIF(FERIADOS!$A$2:$A$250,A394)&gt;0,"SÍ","NO")</x:f>
        <x:v>NO</x:v>
      </x:c>
      <x:c r="D394" t="str">
        <x:f>IF(AND(WEEKDAY(A394,2)&lt;=5,C394="NO"),"SÍ","NO")</x:f>
        <x:v>SÍ</x:v>
      </x:c>
      <x:c r="E394" s="2" t="n">
        <x:f>WORKDAY.INTL(A394-1,1,1,FERIADOS!$A$2:$A$250)</x:f>
        <x:v>46050</x:v>
      </x:c>
      <x:c r="F394" t="str">
        <x:f>IF(E394&gt;=WORKDAY.INTL(EOMONTH(E394,0)+1,-2,1,FERIADOS!$A$2:$A$250),"SÍ","NO")</x:f>
        <x:v>NO</x:v>
      </x:c>
      <x:c r="G394" s="10" t="n">
        <x:f>IF(F394="SÍ",EOMONTH(E394,0)+1,DATE(YEAR(E394),MONTH(E394),1))</x:f>
        <x:v>46023</x:v>
      </x:c>
      <x:c r="H394" t="str">
        <x:f>IF(D394="NO",IF(C394="SÍ","FERIADO","FIN DE SEMANA"),"LABORABLE")&amp;IF(F394="SÍ"," + CIERRE","")</x:f>
        <x:v>LABORABLE</x:v>
      </x:c>
      <x:c r="I394" t="str">
        <x:f>TEXT(G394,"yyyy-mm")</x:f>
        <x:v>2026-01</x:v>
      </x:c>
    </x:row>
    <x:row r="395" ht="19" customHeight="1">
      <x:c r="A395" s="2" t="n">
        <x:v>46051</x:v>
      </x:c>
      <x:c r="B395" t="str">
        <x:f>CHOOSE(WEEKDAY(A395,2),"Lunes","Martes","Miércoles","Jueves","Viernes","Sábado","Domingo")</x:f>
        <x:v>Jueves</x:v>
      </x:c>
      <x:c r="C395" t="str">
        <x:f>IF(COUNTIF(FERIADOS!$A$2:$A$250,A395)&gt;0,"SÍ","NO")</x:f>
        <x:v>NO</x:v>
      </x:c>
      <x:c r="D395" t="str">
        <x:f>IF(AND(WEEKDAY(A395,2)&lt;=5,C395="NO"),"SÍ","NO")</x:f>
        <x:v>SÍ</x:v>
      </x:c>
      <x:c r="E395" s="2" t="n">
        <x:f>WORKDAY.INTL(A395-1,1,1,FERIADOS!$A$2:$A$250)</x:f>
        <x:v>46051</x:v>
      </x:c>
      <x:c r="F395" t="str">
        <x:f>IF(E395&gt;=WORKDAY.INTL(EOMONTH(E395,0)+1,-2,1,FERIADOS!$A$2:$A$250),"SÍ","NO")</x:f>
        <x:v>SÍ</x:v>
      </x:c>
      <x:c r="G395" s="10" t="n">
        <x:f>IF(F395="SÍ",EOMONTH(E395,0)+1,DATE(YEAR(E395),MONTH(E395),1))</x:f>
        <x:v>46054</x:v>
      </x:c>
      <x:c r="H395" t="str">
        <x:f>IF(D395="NO",IF(C395="SÍ","FERIADO","FIN DE SEMANA"),"LABORABLE")&amp;IF(F395="SÍ"," + CIERRE","")</x:f>
        <x:v>LABORABLE + CIERRE</x:v>
      </x:c>
      <x:c r="I395" t="str">
        <x:f>TEXT(G395,"yyyy-mm")</x:f>
        <x:v>2026-02</x:v>
      </x:c>
    </x:row>
    <x:row r="396" ht="19" customHeight="1">
      <x:c r="A396" s="2" t="n">
        <x:v>46052</x:v>
      </x:c>
      <x:c r="B396" t="str">
        <x:f>CHOOSE(WEEKDAY(A396,2),"Lunes","Martes","Miércoles","Jueves","Viernes","Sábado","Domingo")</x:f>
        <x:v>Viernes</x:v>
      </x:c>
      <x:c r="C396" t="str">
        <x:f>IF(COUNTIF(FERIADOS!$A$2:$A$250,A396)&gt;0,"SÍ","NO")</x:f>
        <x:v>NO</x:v>
      </x:c>
      <x:c r="D396" t="str">
        <x:f>IF(AND(WEEKDAY(A396,2)&lt;=5,C396="NO"),"SÍ","NO")</x:f>
        <x:v>SÍ</x:v>
      </x:c>
      <x:c r="E396" s="2" t="n">
        <x:f>WORKDAY.INTL(A396-1,1,1,FERIADOS!$A$2:$A$250)</x:f>
        <x:v>46052</x:v>
      </x:c>
      <x:c r="F396" t="str">
        <x:f>IF(E396&gt;=WORKDAY.INTL(EOMONTH(E396,0)+1,-2,1,FERIADOS!$A$2:$A$250),"SÍ","NO")</x:f>
        <x:v>SÍ</x:v>
      </x:c>
      <x:c r="G396" s="10" t="n">
        <x:f>IF(F396="SÍ",EOMONTH(E396,0)+1,DATE(YEAR(E396),MONTH(E396),1))</x:f>
        <x:v>46054</x:v>
      </x:c>
      <x:c r="H396" t="str">
        <x:f>IF(D396="NO",IF(C396="SÍ","FERIADO","FIN DE SEMANA"),"LABORABLE")&amp;IF(F396="SÍ"," + CIERRE","")</x:f>
        <x:v>LABORABLE + CIERRE</x:v>
      </x:c>
      <x:c r="I396" t="str">
        <x:f>TEXT(G396,"yyyy-mm")</x:f>
        <x:v>2026-02</x:v>
      </x:c>
    </x:row>
    <x:row r="397" ht="19" customHeight="1">
      <x:c r="A397" s="2" t="n">
        <x:v>46053</x:v>
      </x:c>
      <x:c r="B397" t="str">
        <x:f>CHOOSE(WEEKDAY(A397,2),"Lunes","Martes","Miércoles","Jueves","Viernes","Sábado","Domingo")</x:f>
        <x:v>Sábado</x:v>
      </x:c>
      <x:c r="C397" t="str">
        <x:f>IF(COUNTIF(FERIADOS!$A$2:$A$250,A397)&gt;0,"SÍ","NO")</x:f>
        <x:v>NO</x:v>
      </x:c>
      <x:c r="D397" t="str">
        <x:f>IF(AND(WEEKDAY(A397,2)&lt;=5,C397="NO"),"SÍ","NO")</x:f>
        <x:v>NO</x:v>
      </x:c>
      <x:c r="E397" s="2" t="n">
        <x:f>WORKDAY.INTL(A397-1,1,1,FERIADOS!$A$2:$A$250)</x:f>
        <x:v>46055</x:v>
      </x:c>
      <x:c r="F397" t="str">
        <x:f>IF(E397&gt;=WORKDAY.INTL(EOMONTH(E397,0)+1,-2,1,FERIADOS!$A$2:$A$250),"SÍ","NO")</x:f>
        <x:v>NO</x:v>
      </x:c>
      <x:c r="G397" s="10" t="n">
        <x:f>IF(F397="SÍ",EOMONTH(E397,0)+1,DATE(YEAR(E397),MONTH(E397),1))</x:f>
        <x:v>46054</x:v>
      </x:c>
      <x:c r="H397" t="str">
        <x:f>IF(D397="NO",IF(C397="SÍ","FERIADO","FIN DE SEMANA"),"LABORABLE")&amp;IF(F397="SÍ"," + CIERRE","")</x:f>
        <x:v>FIN DE SEMANA</x:v>
      </x:c>
      <x:c r="I397" t="str">
        <x:f>TEXT(G397,"yyyy-mm")</x:f>
        <x:v>2026-02</x:v>
      </x:c>
    </x:row>
    <x:row r="398" ht="19" customHeight="1">
      <x:c r="A398" s="2" t="n">
        <x:v>46054</x:v>
      </x:c>
      <x:c r="B398" t="str">
        <x:f>CHOOSE(WEEKDAY(A398,2),"Lunes","Martes","Miércoles","Jueves","Viernes","Sábado","Domingo")</x:f>
        <x:v>Domingo</x:v>
      </x:c>
      <x:c r="C398" t="str">
        <x:f>IF(COUNTIF(FERIADOS!$A$2:$A$250,A398)&gt;0,"SÍ","NO")</x:f>
        <x:v>NO</x:v>
      </x:c>
      <x:c r="D398" t="str">
        <x:f>IF(AND(WEEKDAY(A398,2)&lt;=5,C398="NO"),"SÍ","NO")</x:f>
        <x:v>NO</x:v>
      </x:c>
      <x:c r="E398" s="2" t="n">
        <x:f>WORKDAY.INTL(A398-1,1,1,FERIADOS!$A$2:$A$250)</x:f>
        <x:v>46055</x:v>
      </x:c>
      <x:c r="F398" t="str">
        <x:f>IF(E398&gt;=WORKDAY.INTL(EOMONTH(E398,0)+1,-2,1,FERIADOS!$A$2:$A$250),"SÍ","NO")</x:f>
        <x:v>NO</x:v>
      </x:c>
      <x:c r="G398" s="10" t="n">
        <x:f>IF(F398="SÍ",EOMONTH(E398,0)+1,DATE(YEAR(E398),MONTH(E398),1))</x:f>
        <x:v>46054</x:v>
      </x:c>
      <x:c r="H398" t="str">
        <x:f>IF(D398="NO",IF(C398="SÍ","FERIADO","FIN DE SEMANA"),"LABORABLE")&amp;IF(F398="SÍ"," + CIERRE","")</x:f>
        <x:v>FIN DE SEMANA</x:v>
      </x:c>
      <x:c r="I398" t="str">
        <x:f>TEXT(G398,"yyyy-mm")</x:f>
        <x:v>2026-02</x:v>
      </x:c>
    </x:row>
    <x:row r="399" ht="19" customHeight="1">
      <x:c r="A399" s="2" t="n">
        <x:v>46055</x:v>
      </x:c>
      <x:c r="B399" t="str">
        <x:f>CHOOSE(WEEKDAY(A399,2),"Lunes","Martes","Miércoles","Jueves","Viernes","Sábado","Domingo")</x:f>
        <x:v>Lunes</x:v>
      </x:c>
      <x:c r="C399" t="str">
        <x:f>IF(COUNTIF(FERIADOS!$A$2:$A$250,A399)&gt;0,"SÍ","NO")</x:f>
        <x:v>NO</x:v>
      </x:c>
      <x:c r="D399" t="str">
        <x:f>IF(AND(WEEKDAY(A399,2)&lt;=5,C399="NO"),"SÍ","NO")</x:f>
        <x:v>SÍ</x:v>
      </x:c>
      <x:c r="E399" s="2" t="n">
        <x:f>WORKDAY.INTL(A399-1,1,1,FERIADOS!$A$2:$A$250)</x:f>
        <x:v>46055</x:v>
      </x:c>
      <x:c r="F399" t="str">
        <x:f>IF(E399&gt;=WORKDAY.INTL(EOMONTH(E399,0)+1,-2,1,FERIADOS!$A$2:$A$250),"SÍ","NO")</x:f>
        <x:v>NO</x:v>
      </x:c>
      <x:c r="G399" s="10" t="n">
        <x:f>IF(F399="SÍ",EOMONTH(E399,0)+1,DATE(YEAR(E399),MONTH(E399),1))</x:f>
        <x:v>46054</x:v>
      </x:c>
      <x:c r="H399" t="str">
        <x:f>IF(D399="NO",IF(C399="SÍ","FERIADO","FIN DE SEMANA"),"LABORABLE")&amp;IF(F399="SÍ"," + CIERRE","")</x:f>
        <x:v>LABORABLE</x:v>
      </x:c>
      <x:c r="I399" t="str">
        <x:f>TEXT(G399,"yyyy-mm")</x:f>
        <x:v>2026-02</x:v>
      </x:c>
    </x:row>
    <x:row r="400" ht="19" customHeight="1">
      <x:c r="A400" s="2" t="n">
        <x:v>46056</x:v>
      </x:c>
      <x:c r="B400" t="str">
        <x:f>CHOOSE(WEEKDAY(A400,2),"Lunes","Martes","Miércoles","Jueves","Viernes","Sábado","Domingo")</x:f>
        <x:v>Martes</x:v>
      </x:c>
      <x:c r="C400" t="str">
        <x:f>IF(COUNTIF(FERIADOS!$A$2:$A$250,A400)&gt;0,"SÍ","NO")</x:f>
        <x:v>NO</x:v>
      </x:c>
      <x:c r="D400" t="str">
        <x:f>IF(AND(WEEKDAY(A400,2)&lt;=5,C400="NO"),"SÍ","NO")</x:f>
        <x:v>SÍ</x:v>
      </x:c>
      <x:c r="E400" s="2" t="n">
        <x:f>WORKDAY.INTL(A400-1,1,1,FERIADOS!$A$2:$A$250)</x:f>
        <x:v>46056</x:v>
      </x:c>
      <x:c r="F400" t="str">
        <x:f>IF(E400&gt;=WORKDAY.INTL(EOMONTH(E400,0)+1,-2,1,FERIADOS!$A$2:$A$250),"SÍ","NO")</x:f>
        <x:v>NO</x:v>
      </x:c>
      <x:c r="G400" s="10" t="n">
        <x:f>IF(F400="SÍ",EOMONTH(E400,0)+1,DATE(YEAR(E400),MONTH(E400),1))</x:f>
        <x:v>46054</x:v>
      </x:c>
      <x:c r="H400" t="str">
        <x:f>IF(D400="NO",IF(C400="SÍ","FERIADO","FIN DE SEMANA"),"LABORABLE")&amp;IF(F400="SÍ"," + CIERRE","")</x:f>
        <x:v>LABORABLE</x:v>
      </x:c>
      <x:c r="I400" t="str">
        <x:f>TEXT(G400,"yyyy-mm")</x:f>
        <x:v>2026-02</x:v>
      </x:c>
    </x:row>
    <x:row r="401" ht="19" customHeight="1">
      <x:c r="A401" s="2" t="n">
        <x:v>46057</x:v>
      </x:c>
      <x:c r="B401" t="str">
        <x:f>CHOOSE(WEEKDAY(A401,2),"Lunes","Martes","Miércoles","Jueves","Viernes","Sábado","Domingo")</x:f>
        <x:v>Miércoles</x:v>
      </x:c>
      <x:c r="C401" t="str">
        <x:f>IF(COUNTIF(FERIADOS!$A$2:$A$250,A401)&gt;0,"SÍ","NO")</x:f>
        <x:v>NO</x:v>
      </x:c>
      <x:c r="D401" t="str">
        <x:f>IF(AND(WEEKDAY(A401,2)&lt;=5,C401="NO"),"SÍ","NO")</x:f>
        <x:v>SÍ</x:v>
      </x:c>
      <x:c r="E401" s="2" t="n">
        <x:f>WORKDAY.INTL(A401-1,1,1,FERIADOS!$A$2:$A$250)</x:f>
        <x:v>46057</x:v>
      </x:c>
      <x:c r="F401" t="str">
        <x:f>IF(E401&gt;=WORKDAY.INTL(EOMONTH(E401,0)+1,-2,1,FERIADOS!$A$2:$A$250),"SÍ","NO")</x:f>
        <x:v>NO</x:v>
      </x:c>
      <x:c r="G401" s="10" t="n">
        <x:f>IF(F401="SÍ",EOMONTH(E401,0)+1,DATE(YEAR(E401),MONTH(E401),1))</x:f>
        <x:v>46054</x:v>
      </x:c>
      <x:c r="H401" t="str">
        <x:f>IF(D401="NO",IF(C401="SÍ","FERIADO","FIN DE SEMANA"),"LABORABLE")&amp;IF(F401="SÍ"," + CIERRE","")</x:f>
        <x:v>LABORABLE</x:v>
      </x:c>
      <x:c r="I401" t="str">
        <x:f>TEXT(G401,"yyyy-mm")</x:f>
        <x:v>2026-02</x:v>
      </x:c>
    </x:row>
    <x:row r="402" ht="19" customHeight="1">
      <x:c r="A402" s="2" t="n">
        <x:v>46058</x:v>
      </x:c>
      <x:c r="B402" t="str">
        <x:f>CHOOSE(WEEKDAY(A402,2),"Lunes","Martes","Miércoles","Jueves","Viernes","Sábado","Domingo")</x:f>
        <x:v>Jueves</x:v>
      </x:c>
      <x:c r="C402" t="str">
        <x:f>IF(COUNTIF(FERIADOS!$A$2:$A$250,A402)&gt;0,"SÍ","NO")</x:f>
        <x:v>NO</x:v>
      </x:c>
      <x:c r="D402" t="str">
        <x:f>IF(AND(WEEKDAY(A402,2)&lt;=5,C402="NO"),"SÍ","NO")</x:f>
        <x:v>SÍ</x:v>
      </x:c>
      <x:c r="E402" s="2" t="n">
        <x:f>WORKDAY.INTL(A402-1,1,1,FERIADOS!$A$2:$A$250)</x:f>
        <x:v>46058</x:v>
      </x:c>
      <x:c r="F402" t="str">
        <x:f>IF(E402&gt;=WORKDAY.INTL(EOMONTH(E402,0)+1,-2,1,FERIADOS!$A$2:$A$250),"SÍ","NO")</x:f>
        <x:v>NO</x:v>
      </x:c>
      <x:c r="G402" s="10" t="n">
        <x:f>IF(F402="SÍ",EOMONTH(E402,0)+1,DATE(YEAR(E402),MONTH(E402),1))</x:f>
        <x:v>46054</x:v>
      </x:c>
      <x:c r="H402" t="str">
        <x:f>IF(D402="NO",IF(C402="SÍ","FERIADO","FIN DE SEMANA"),"LABORABLE")&amp;IF(F402="SÍ"," + CIERRE","")</x:f>
        <x:v>LABORABLE</x:v>
      </x:c>
      <x:c r="I402" t="str">
        <x:f>TEXT(G402,"yyyy-mm")</x:f>
        <x:v>2026-02</x:v>
      </x:c>
    </x:row>
    <x:row r="403" ht="19" customHeight="1">
      <x:c r="A403" s="2" t="n">
        <x:v>46059</x:v>
      </x:c>
      <x:c r="B403" t="str">
        <x:f>CHOOSE(WEEKDAY(A403,2),"Lunes","Martes","Miércoles","Jueves","Viernes","Sábado","Domingo")</x:f>
        <x:v>Viernes</x:v>
      </x:c>
      <x:c r="C403" t="str">
        <x:f>IF(COUNTIF(FERIADOS!$A$2:$A$250,A403)&gt;0,"SÍ","NO")</x:f>
        <x:v>NO</x:v>
      </x:c>
      <x:c r="D403" t="str">
        <x:f>IF(AND(WEEKDAY(A403,2)&lt;=5,C403="NO"),"SÍ","NO")</x:f>
        <x:v>SÍ</x:v>
      </x:c>
      <x:c r="E403" s="2" t="n">
        <x:f>WORKDAY.INTL(A403-1,1,1,FERIADOS!$A$2:$A$250)</x:f>
        <x:v>46059</x:v>
      </x:c>
      <x:c r="F403" t="str">
        <x:f>IF(E403&gt;=WORKDAY.INTL(EOMONTH(E403,0)+1,-2,1,FERIADOS!$A$2:$A$250),"SÍ","NO")</x:f>
        <x:v>NO</x:v>
      </x:c>
      <x:c r="G403" s="10" t="n">
        <x:f>IF(F403="SÍ",EOMONTH(E403,0)+1,DATE(YEAR(E403),MONTH(E403),1))</x:f>
        <x:v>46054</x:v>
      </x:c>
      <x:c r="H403" t="str">
        <x:f>IF(D403="NO",IF(C403="SÍ","FERIADO","FIN DE SEMANA"),"LABORABLE")&amp;IF(F403="SÍ"," + CIERRE","")</x:f>
        <x:v>LABORABLE</x:v>
      </x:c>
      <x:c r="I403" t="str">
        <x:f>TEXT(G403,"yyyy-mm")</x:f>
        <x:v>2026-02</x:v>
      </x:c>
    </x:row>
    <x:row r="404" ht="19" customHeight="1">
      <x:c r="A404" s="2" t="n">
        <x:v>46060</x:v>
      </x:c>
      <x:c r="B404" t="str">
        <x:f>CHOOSE(WEEKDAY(A404,2),"Lunes","Martes","Miércoles","Jueves","Viernes","Sábado","Domingo")</x:f>
        <x:v>Sábado</x:v>
      </x:c>
      <x:c r="C404" t="str">
        <x:f>IF(COUNTIF(FERIADOS!$A$2:$A$250,A404)&gt;0,"SÍ","NO")</x:f>
        <x:v>NO</x:v>
      </x:c>
      <x:c r="D404" t="str">
        <x:f>IF(AND(WEEKDAY(A404,2)&lt;=5,C404="NO"),"SÍ","NO")</x:f>
        <x:v>NO</x:v>
      </x:c>
      <x:c r="E404" s="2" t="n">
        <x:f>WORKDAY.INTL(A404-1,1,1,FERIADOS!$A$2:$A$250)</x:f>
        <x:v>46062</x:v>
      </x:c>
      <x:c r="F404" t="str">
        <x:f>IF(E404&gt;=WORKDAY.INTL(EOMONTH(E404,0)+1,-2,1,FERIADOS!$A$2:$A$250),"SÍ","NO")</x:f>
        <x:v>NO</x:v>
      </x:c>
      <x:c r="G404" s="10" t="n">
        <x:f>IF(F404="SÍ",EOMONTH(E404,0)+1,DATE(YEAR(E404),MONTH(E404),1))</x:f>
        <x:v>46054</x:v>
      </x:c>
      <x:c r="H404" t="str">
        <x:f>IF(D404="NO",IF(C404="SÍ","FERIADO","FIN DE SEMANA"),"LABORABLE")&amp;IF(F404="SÍ"," + CIERRE","")</x:f>
        <x:v>FIN DE SEMANA</x:v>
      </x:c>
      <x:c r="I404" t="str">
        <x:f>TEXT(G404,"yyyy-mm")</x:f>
        <x:v>2026-02</x:v>
      </x:c>
    </x:row>
    <x:row r="405" ht="19" customHeight="1">
      <x:c r="A405" s="2" t="n">
        <x:v>46061</x:v>
      </x:c>
      <x:c r="B405" t="str">
        <x:f>CHOOSE(WEEKDAY(A405,2),"Lunes","Martes","Miércoles","Jueves","Viernes","Sábado","Domingo")</x:f>
        <x:v>Domingo</x:v>
      </x:c>
      <x:c r="C405" t="str">
        <x:f>IF(COUNTIF(FERIADOS!$A$2:$A$250,A405)&gt;0,"SÍ","NO")</x:f>
        <x:v>NO</x:v>
      </x:c>
      <x:c r="D405" t="str">
        <x:f>IF(AND(WEEKDAY(A405,2)&lt;=5,C405="NO"),"SÍ","NO")</x:f>
        <x:v>NO</x:v>
      </x:c>
      <x:c r="E405" s="2" t="n">
        <x:f>WORKDAY.INTL(A405-1,1,1,FERIADOS!$A$2:$A$250)</x:f>
        <x:v>46062</x:v>
      </x:c>
      <x:c r="F405" t="str">
        <x:f>IF(E405&gt;=WORKDAY.INTL(EOMONTH(E405,0)+1,-2,1,FERIADOS!$A$2:$A$250),"SÍ","NO")</x:f>
        <x:v>NO</x:v>
      </x:c>
      <x:c r="G405" s="10" t="n">
        <x:f>IF(F405="SÍ",EOMONTH(E405,0)+1,DATE(YEAR(E405),MONTH(E405),1))</x:f>
        <x:v>46054</x:v>
      </x:c>
      <x:c r="H405" t="str">
        <x:f>IF(D405="NO",IF(C405="SÍ","FERIADO","FIN DE SEMANA"),"LABORABLE")&amp;IF(F405="SÍ"," + CIERRE","")</x:f>
        <x:v>FIN DE SEMANA</x:v>
      </x:c>
      <x:c r="I405" t="str">
        <x:f>TEXT(G405,"yyyy-mm")</x:f>
        <x:v>2026-02</x:v>
      </x:c>
    </x:row>
    <x:row r="406" ht="19" customHeight="1">
      <x:c r="A406" s="2" t="n">
        <x:v>46062</x:v>
      </x:c>
      <x:c r="B406" t="str">
        <x:f>CHOOSE(WEEKDAY(A406,2),"Lunes","Martes","Miércoles","Jueves","Viernes","Sábado","Domingo")</x:f>
        <x:v>Lunes</x:v>
      </x:c>
      <x:c r="C406" t="str">
        <x:f>IF(COUNTIF(FERIADOS!$A$2:$A$250,A406)&gt;0,"SÍ","NO")</x:f>
        <x:v>NO</x:v>
      </x:c>
      <x:c r="D406" t="str">
        <x:f>IF(AND(WEEKDAY(A406,2)&lt;=5,C406="NO"),"SÍ","NO")</x:f>
        <x:v>SÍ</x:v>
      </x:c>
      <x:c r="E406" s="2" t="n">
        <x:f>WORKDAY.INTL(A406-1,1,1,FERIADOS!$A$2:$A$250)</x:f>
        <x:v>46062</x:v>
      </x:c>
      <x:c r="F406" t="str">
        <x:f>IF(E406&gt;=WORKDAY.INTL(EOMONTH(E406,0)+1,-2,1,FERIADOS!$A$2:$A$250),"SÍ","NO")</x:f>
        <x:v>NO</x:v>
      </x:c>
      <x:c r="G406" s="10" t="n">
        <x:f>IF(F406="SÍ",EOMONTH(E406,0)+1,DATE(YEAR(E406),MONTH(E406),1))</x:f>
        <x:v>46054</x:v>
      </x:c>
      <x:c r="H406" t="str">
        <x:f>IF(D406="NO",IF(C406="SÍ","FERIADO","FIN DE SEMANA"),"LABORABLE")&amp;IF(F406="SÍ"," + CIERRE","")</x:f>
        <x:v>LABORABLE</x:v>
      </x:c>
      <x:c r="I406" t="str">
        <x:f>TEXT(G406,"yyyy-mm")</x:f>
        <x:v>2026-02</x:v>
      </x:c>
    </x:row>
    <x:row r="407" ht="19" customHeight="1">
      <x:c r="A407" s="2" t="n">
        <x:v>46063</x:v>
      </x:c>
      <x:c r="B407" t="str">
        <x:f>CHOOSE(WEEKDAY(A407,2),"Lunes","Martes","Miércoles","Jueves","Viernes","Sábado","Domingo")</x:f>
        <x:v>Martes</x:v>
      </x:c>
      <x:c r="C407" t="str">
        <x:f>IF(COUNTIF(FERIADOS!$A$2:$A$250,A407)&gt;0,"SÍ","NO")</x:f>
        <x:v>NO</x:v>
      </x:c>
      <x:c r="D407" t="str">
        <x:f>IF(AND(WEEKDAY(A407,2)&lt;=5,C407="NO"),"SÍ","NO")</x:f>
        <x:v>SÍ</x:v>
      </x:c>
      <x:c r="E407" s="2" t="n">
        <x:f>WORKDAY.INTL(A407-1,1,1,FERIADOS!$A$2:$A$250)</x:f>
        <x:v>46063</x:v>
      </x:c>
      <x:c r="F407" t="str">
        <x:f>IF(E407&gt;=WORKDAY.INTL(EOMONTH(E407,0)+1,-2,1,FERIADOS!$A$2:$A$250),"SÍ","NO")</x:f>
        <x:v>NO</x:v>
      </x:c>
      <x:c r="G407" s="10" t="n">
        <x:f>IF(F407="SÍ",EOMONTH(E407,0)+1,DATE(YEAR(E407),MONTH(E407),1))</x:f>
        <x:v>46054</x:v>
      </x:c>
      <x:c r="H407" t="str">
        <x:f>IF(D407="NO",IF(C407="SÍ","FERIADO","FIN DE SEMANA"),"LABORABLE")&amp;IF(F407="SÍ"," + CIERRE","")</x:f>
        <x:v>LABORABLE</x:v>
      </x:c>
      <x:c r="I407" t="str">
        <x:f>TEXT(G407,"yyyy-mm")</x:f>
        <x:v>2026-02</x:v>
      </x:c>
    </x:row>
    <x:row r="408" ht="19" customHeight="1">
      <x:c r="A408" s="2" t="n">
        <x:v>46064</x:v>
      </x:c>
      <x:c r="B408" t="str">
        <x:f>CHOOSE(WEEKDAY(A408,2),"Lunes","Martes","Miércoles","Jueves","Viernes","Sábado","Domingo")</x:f>
        <x:v>Miércoles</x:v>
      </x:c>
      <x:c r="C408" t="str">
        <x:f>IF(COUNTIF(FERIADOS!$A$2:$A$250,A408)&gt;0,"SÍ","NO")</x:f>
        <x:v>NO</x:v>
      </x:c>
      <x:c r="D408" t="str">
        <x:f>IF(AND(WEEKDAY(A408,2)&lt;=5,C408="NO"),"SÍ","NO")</x:f>
        <x:v>SÍ</x:v>
      </x:c>
      <x:c r="E408" s="2" t="n">
        <x:f>WORKDAY.INTL(A408-1,1,1,FERIADOS!$A$2:$A$250)</x:f>
        <x:v>46064</x:v>
      </x:c>
      <x:c r="F408" t="str">
        <x:f>IF(E408&gt;=WORKDAY.INTL(EOMONTH(E408,0)+1,-2,1,FERIADOS!$A$2:$A$250),"SÍ","NO")</x:f>
        <x:v>NO</x:v>
      </x:c>
      <x:c r="G408" s="10" t="n">
        <x:f>IF(F408="SÍ",EOMONTH(E408,0)+1,DATE(YEAR(E408),MONTH(E408),1))</x:f>
        <x:v>46054</x:v>
      </x:c>
      <x:c r="H408" t="str">
        <x:f>IF(D408="NO",IF(C408="SÍ","FERIADO","FIN DE SEMANA"),"LABORABLE")&amp;IF(F408="SÍ"," + CIERRE","")</x:f>
        <x:v>LABORABLE</x:v>
      </x:c>
      <x:c r="I408" t="str">
        <x:f>TEXT(G408,"yyyy-mm")</x:f>
        <x:v>2026-02</x:v>
      </x:c>
    </x:row>
    <x:row r="409" ht="19" customHeight="1">
      <x:c r="A409" s="2" t="n">
        <x:v>46065</x:v>
      </x:c>
      <x:c r="B409" t="str">
        <x:f>CHOOSE(WEEKDAY(A409,2),"Lunes","Martes","Miércoles","Jueves","Viernes","Sábado","Domingo")</x:f>
        <x:v>Jueves</x:v>
      </x:c>
      <x:c r="C409" t="str">
        <x:f>IF(COUNTIF(FERIADOS!$A$2:$A$250,A409)&gt;0,"SÍ","NO")</x:f>
        <x:v>NO</x:v>
      </x:c>
      <x:c r="D409" t="str">
        <x:f>IF(AND(WEEKDAY(A409,2)&lt;=5,C409="NO"),"SÍ","NO")</x:f>
        <x:v>SÍ</x:v>
      </x:c>
      <x:c r="E409" s="2" t="n">
        <x:f>WORKDAY.INTL(A409-1,1,1,FERIADOS!$A$2:$A$250)</x:f>
        <x:v>46065</x:v>
      </x:c>
      <x:c r="F409" t="str">
        <x:f>IF(E409&gt;=WORKDAY.INTL(EOMONTH(E409,0)+1,-2,1,FERIADOS!$A$2:$A$250),"SÍ","NO")</x:f>
        <x:v>NO</x:v>
      </x:c>
      <x:c r="G409" s="10" t="n">
        <x:f>IF(F409="SÍ",EOMONTH(E409,0)+1,DATE(YEAR(E409),MONTH(E409),1))</x:f>
        <x:v>46054</x:v>
      </x:c>
      <x:c r="H409" t="str">
        <x:f>IF(D409="NO",IF(C409="SÍ","FERIADO","FIN DE SEMANA"),"LABORABLE")&amp;IF(F409="SÍ"," + CIERRE","")</x:f>
        <x:v>LABORABLE</x:v>
      </x:c>
      <x:c r="I409" t="str">
        <x:f>TEXT(G409,"yyyy-mm")</x:f>
        <x:v>2026-02</x:v>
      </x:c>
    </x:row>
    <x:row r="410" ht="19" customHeight="1">
      <x:c r="A410" s="2" t="n">
        <x:v>46066</x:v>
      </x:c>
      <x:c r="B410" t="str">
        <x:f>CHOOSE(WEEKDAY(A410,2),"Lunes","Martes","Miércoles","Jueves","Viernes","Sábado","Domingo")</x:f>
        <x:v>Viernes</x:v>
      </x:c>
      <x:c r="C410" t="str">
        <x:f>IF(COUNTIF(FERIADOS!$A$2:$A$250,A410)&gt;0,"SÍ","NO")</x:f>
        <x:v>NO</x:v>
      </x:c>
      <x:c r="D410" t="str">
        <x:f>IF(AND(WEEKDAY(A410,2)&lt;=5,C410="NO"),"SÍ","NO")</x:f>
        <x:v>SÍ</x:v>
      </x:c>
      <x:c r="E410" s="2" t="n">
        <x:f>WORKDAY.INTL(A410-1,1,1,FERIADOS!$A$2:$A$250)</x:f>
        <x:v>46066</x:v>
      </x:c>
      <x:c r="F410" t="str">
        <x:f>IF(E410&gt;=WORKDAY.INTL(EOMONTH(E410,0)+1,-2,1,FERIADOS!$A$2:$A$250),"SÍ","NO")</x:f>
        <x:v>NO</x:v>
      </x:c>
      <x:c r="G410" s="10" t="n">
        <x:f>IF(F410="SÍ",EOMONTH(E410,0)+1,DATE(YEAR(E410),MONTH(E410),1))</x:f>
        <x:v>46054</x:v>
      </x:c>
      <x:c r="H410" t="str">
        <x:f>IF(D410="NO",IF(C410="SÍ","FERIADO","FIN DE SEMANA"),"LABORABLE")&amp;IF(F410="SÍ"," + CIERRE","")</x:f>
        <x:v>LABORABLE</x:v>
      </x:c>
      <x:c r="I410" t="str">
        <x:f>TEXT(G410,"yyyy-mm")</x:f>
        <x:v>2026-02</x:v>
      </x:c>
    </x:row>
    <x:row r="411" ht="19" customHeight="1">
      <x:c r="A411" s="2" t="n">
        <x:v>46067</x:v>
      </x:c>
      <x:c r="B411" t="str">
        <x:f>CHOOSE(WEEKDAY(A411,2),"Lunes","Martes","Miércoles","Jueves","Viernes","Sábado","Domingo")</x:f>
        <x:v>Sábado</x:v>
      </x:c>
      <x:c r="C411" t="str">
        <x:f>IF(COUNTIF(FERIADOS!$A$2:$A$250,A411)&gt;0,"SÍ","NO")</x:f>
        <x:v>NO</x:v>
      </x:c>
      <x:c r="D411" t="str">
        <x:f>IF(AND(WEEKDAY(A411,2)&lt;=5,C411="NO"),"SÍ","NO")</x:f>
        <x:v>NO</x:v>
      </x:c>
      <x:c r="E411" s="2" t="n">
        <x:f>WORKDAY.INTL(A411-1,1,1,FERIADOS!$A$2:$A$250)</x:f>
        <x:v>46071</x:v>
      </x:c>
      <x:c r="F411" t="str">
        <x:f>IF(E411&gt;=WORKDAY.INTL(EOMONTH(E411,0)+1,-2,1,FERIADOS!$A$2:$A$250),"SÍ","NO")</x:f>
        <x:v>NO</x:v>
      </x:c>
      <x:c r="G411" s="10" t="n">
        <x:f>IF(F411="SÍ",EOMONTH(E411,0)+1,DATE(YEAR(E411),MONTH(E411),1))</x:f>
        <x:v>46054</x:v>
      </x:c>
      <x:c r="H411" t="str">
        <x:f>IF(D411="NO",IF(C411="SÍ","FERIADO","FIN DE SEMANA"),"LABORABLE")&amp;IF(F411="SÍ"," + CIERRE","")</x:f>
        <x:v>FIN DE SEMANA</x:v>
      </x:c>
      <x:c r="I411" t="str">
        <x:f>TEXT(G411,"yyyy-mm")</x:f>
        <x:v>2026-02</x:v>
      </x:c>
    </x:row>
    <x:row r="412" ht="19" customHeight="1">
      <x:c r="A412" s="2" t="n">
        <x:v>46068</x:v>
      </x:c>
      <x:c r="B412" t="str">
        <x:f>CHOOSE(WEEKDAY(A412,2),"Lunes","Martes","Miércoles","Jueves","Viernes","Sábado","Domingo")</x:f>
        <x:v>Domingo</x:v>
      </x:c>
      <x:c r="C412" t="str">
        <x:f>IF(COUNTIF(FERIADOS!$A$2:$A$250,A412)&gt;0,"SÍ","NO")</x:f>
        <x:v>NO</x:v>
      </x:c>
      <x:c r="D412" t="str">
        <x:f>IF(AND(WEEKDAY(A412,2)&lt;=5,C412="NO"),"SÍ","NO")</x:f>
        <x:v>NO</x:v>
      </x:c>
      <x:c r="E412" s="2" t="n">
        <x:f>WORKDAY.INTL(A412-1,1,1,FERIADOS!$A$2:$A$250)</x:f>
        <x:v>46071</x:v>
      </x:c>
      <x:c r="F412" t="str">
        <x:f>IF(E412&gt;=WORKDAY.INTL(EOMONTH(E412,0)+1,-2,1,FERIADOS!$A$2:$A$250),"SÍ","NO")</x:f>
        <x:v>NO</x:v>
      </x:c>
      <x:c r="G412" s="10" t="n">
        <x:f>IF(F412="SÍ",EOMONTH(E412,0)+1,DATE(YEAR(E412),MONTH(E412),1))</x:f>
        <x:v>46054</x:v>
      </x:c>
      <x:c r="H412" t="str">
        <x:f>IF(D412="NO",IF(C412="SÍ","FERIADO","FIN DE SEMANA"),"LABORABLE")&amp;IF(F412="SÍ"," + CIERRE","")</x:f>
        <x:v>FIN DE SEMANA</x:v>
      </x:c>
      <x:c r="I412" t="str">
        <x:f>TEXT(G412,"yyyy-mm")</x:f>
        <x:v>2026-02</x:v>
      </x:c>
    </x:row>
    <x:row r="413" ht="19" customHeight="1">
      <x:c r="A413" s="2" t="n">
        <x:v>46069</x:v>
      </x:c>
      <x:c r="B413" t="str">
        <x:f>CHOOSE(WEEKDAY(A413,2),"Lunes","Martes","Miércoles","Jueves","Viernes","Sábado","Domingo")</x:f>
        <x:v>Lunes</x:v>
      </x:c>
      <x:c r="C413" t="str">
        <x:f>IF(COUNTIF(FERIADOS!$A$2:$A$250,A413)&gt;0,"SÍ","NO")</x:f>
        <x:v>SÍ</x:v>
      </x:c>
      <x:c r="D413" t="str">
        <x:f>IF(AND(WEEKDAY(A413,2)&lt;=5,C413="NO"),"SÍ","NO")</x:f>
        <x:v>NO</x:v>
      </x:c>
      <x:c r="E413" s="2" t="n">
        <x:f>WORKDAY.INTL(A413-1,1,1,FERIADOS!$A$2:$A$250)</x:f>
        <x:v>46071</x:v>
      </x:c>
      <x:c r="F413" t="str">
        <x:f>IF(E413&gt;=WORKDAY.INTL(EOMONTH(E413,0)+1,-2,1,FERIADOS!$A$2:$A$250),"SÍ","NO")</x:f>
        <x:v>NO</x:v>
      </x:c>
      <x:c r="G413" s="10" t="n">
        <x:f>IF(F413="SÍ",EOMONTH(E413,0)+1,DATE(YEAR(E413),MONTH(E413),1))</x:f>
        <x:v>46054</x:v>
      </x:c>
      <x:c r="H413" t="str">
        <x:f>IF(D413="NO",IF(C413="SÍ","FERIADO","FIN DE SEMANA"),"LABORABLE")&amp;IF(F413="SÍ"," + CIERRE","")</x:f>
        <x:v>FERIADO</x:v>
      </x:c>
      <x:c r="I413" t="str">
        <x:f>TEXT(G413,"yyyy-mm")</x:f>
        <x:v>2026-02</x:v>
      </x:c>
    </x:row>
    <x:row r="414" ht="19" customHeight="1">
      <x:c r="A414" s="2" t="n">
        <x:v>46070</x:v>
      </x:c>
      <x:c r="B414" t="str">
        <x:f>CHOOSE(WEEKDAY(A414,2),"Lunes","Martes","Miércoles","Jueves","Viernes","Sábado","Domingo")</x:f>
        <x:v>Martes</x:v>
      </x:c>
      <x:c r="C414" t="str">
        <x:f>IF(COUNTIF(FERIADOS!$A$2:$A$250,A414)&gt;0,"SÍ","NO")</x:f>
        <x:v>SÍ</x:v>
      </x:c>
      <x:c r="D414" t="str">
        <x:f>IF(AND(WEEKDAY(A414,2)&lt;=5,C414="NO"),"SÍ","NO")</x:f>
        <x:v>NO</x:v>
      </x:c>
      <x:c r="E414" s="2" t="n">
        <x:f>WORKDAY.INTL(A414-1,1,1,FERIADOS!$A$2:$A$250)</x:f>
        <x:v>46071</x:v>
      </x:c>
      <x:c r="F414" t="str">
        <x:f>IF(E414&gt;=WORKDAY.INTL(EOMONTH(E414,0)+1,-2,1,FERIADOS!$A$2:$A$250),"SÍ","NO")</x:f>
        <x:v>NO</x:v>
      </x:c>
      <x:c r="G414" s="10" t="n">
        <x:f>IF(F414="SÍ",EOMONTH(E414,0)+1,DATE(YEAR(E414),MONTH(E414),1))</x:f>
        <x:v>46054</x:v>
      </x:c>
      <x:c r="H414" t="str">
        <x:f>IF(D414="NO",IF(C414="SÍ","FERIADO","FIN DE SEMANA"),"LABORABLE")&amp;IF(F414="SÍ"," + CIERRE","")</x:f>
        <x:v>FERIADO</x:v>
      </x:c>
      <x:c r="I414" t="str">
        <x:f>TEXT(G414,"yyyy-mm")</x:f>
        <x:v>2026-02</x:v>
      </x:c>
    </x:row>
    <x:row r="415" ht="19" customHeight="1">
      <x:c r="A415" s="2" t="n">
        <x:v>46071</x:v>
      </x:c>
      <x:c r="B415" t="str">
        <x:f>CHOOSE(WEEKDAY(A415,2),"Lunes","Martes","Miércoles","Jueves","Viernes","Sábado","Domingo")</x:f>
        <x:v>Miércoles</x:v>
      </x:c>
      <x:c r="C415" t="str">
        <x:f>IF(COUNTIF(FERIADOS!$A$2:$A$250,A415)&gt;0,"SÍ","NO")</x:f>
        <x:v>NO</x:v>
      </x:c>
      <x:c r="D415" t="str">
        <x:f>IF(AND(WEEKDAY(A415,2)&lt;=5,C415="NO"),"SÍ","NO")</x:f>
        <x:v>SÍ</x:v>
      </x:c>
      <x:c r="E415" s="2" t="n">
        <x:f>WORKDAY.INTL(A415-1,1,1,FERIADOS!$A$2:$A$250)</x:f>
        <x:v>46071</x:v>
      </x:c>
      <x:c r="F415" t="str">
        <x:f>IF(E415&gt;=WORKDAY.INTL(EOMONTH(E415,0)+1,-2,1,FERIADOS!$A$2:$A$250),"SÍ","NO")</x:f>
        <x:v>NO</x:v>
      </x:c>
      <x:c r="G415" s="10" t="n">
        <x:f>IF(F415="SÍ",EOMONTH(E415,0)+1,DATE(YEAR(E415),MONTH(E415),1))</x:f>
        <x:v>46054</x:v>
      </x:c>
      <x:c r="H415" t="str">
        <x:f>IF(D415="NO",IF(C415="SÍ","FERIADO","FIN DE SEMANA"),"LABORABLE")&amp;IF(F415="SÍ"," + CIERRE","")</x:f>
        <x:v>LABORABLE</x:v>
      </x:c>
      <x:c r="I415" t="str">
        <x:f>TEXT(G415,"yyyy-mm")</x:f>
        <x:v>2026-02</x:v>
      </x:c>
    </x:row>
    <x:row r="416" ht="19" customHeight="1">
      <x:c r="A416" s="2" t="n">
        <x:v>46072</x:v>
      </x:c>
      <x:c r="B416" t="str">
        <x:f>CHOOSE(WEEKDAY(A416,2),"Lunes","Martes","Miércoles","Jueves","Viernes","Sábado","Domingo")</x:f>
        <x:v>Jueves</x:v>
      </x:c>
      <x:c r="C416" t="str">
        <x:f>IF(COUNTIF(FERIADOS!$A$2:$A$250,A416)&gt;0,"SÍ","NO")</x:f>
        <x:v>NO</x:v>
      </x:c>
      <x:c r="D416" t="str">
        <x:f>IF(AND(WEEKDAY(A416,2)&lt;=5,C416="NO"),"SÍ","NO")</x:f>
        <x:v>SÍ</x:v>
      </x:c>
      <x:c r="E416" s="2" t="n">
        <x:f>WORKDAY.INTL(A416-1,1,1,FERIADOS!$A$2:$A$250)</x:f>
        <x:v>46072</x:v>
      </x:c>
      <x:c r="F416" t="str">
        <x:f>IF(E416&gt;=WORKDAY.INTL(EOMONTH(E416,0)+1,-2,1,FERIADOS!$A$2:$A$250),"SÍ","NO")</x:f>
        <x:v>NO</x:v>
      </x:c>
      <x:c r="G416" s="10" t="n">
        <x:f>IF(F416="SÍ",EOMONTH(E416,0)+1,DATE(YEAR(E416),MONTH(E416),1))</x:f>
        <x:v>46054</x:v>
      </x:c>
      <x:c r="H416" t="str">
        <x:f>IF(D416="NO",IF(C416="SÍ","FERIADO","FIN DE SEMANA"),"LABORABLE")&amp;IF(F416="SÍ"," + CIERRE","")</x:f>
        <x:v>LABORABLE</x:v>
      </x:c>
      <x:c r="I416" t="str">
        <x:f>TEXT(G416,"yyyy-mm")</x:f>
        <x:v>2026-02</x:v>
      </x:c>
    </x:row>
    <x:row r="417" ht="19" customHeight="1">
      <x:c r="A417" s="2" t="n">
        <x:v>46073</x:v>
      </x:c>
      <x:c r="B417" t="str">
        <x:f>CHOOSE(WEEKDAY(A417,2),"Lunes","Martes","Miércoles","Jueves","Viernes","Sábado","Domingo")</x:f>
        <x:v>Viernes</x:v>
      </x:c>
      <x:c r="C417" t="str">
        <x:f>IF(COUNTIF(FERIADOS!$A$2:$A$250,A417)&gt;0,"SÍ","NO")</x:f>
        <x:v>NO</x:v>
      </x:c>
      <x:c r="D417" t="str">
        <x:f>IF(AND(WEEKDAY(A417,2)&lt;=5,C417="NO"),"SÍ","NO")</x:f>
        <x:v>SÍ</x:v>
      </x:c>
      <x:c r="E417" s="2" t="n">
        <x:f>WORKDAY.INTL(A417-1,1,1,FERIADOS!$A$2:$A$250)</x:f>
        <x:v>46073</x:v>
      </x:c>
      <x:c r="F417" t="str">
        <x:f>IF(E417&gt;=WORKDAY.INTL(EOMONTH(E417,0)+1,-2,1,FERIADOS!$A$2:$A$250),"SÍ","NO")</x:f>
        <x:v>NO</x:v>
      </x:c>
      <x:c r="G417" s="10" t="n">
        <x:f>IF(F417="SÍ",EOMONTH(E417,0)+1,DATE(YEAR(E417),MONTH(E417),1))</x:f>
        <x:v>46054</x:v>
      </x:c>
      <x:c r="H417" t="str">
        <x:f>IF(D417="NO",IF(C417="SÍ","FERIADO","FIN DE SEMANA"),"LABORABLE")&amp;IF(F417="SÍ"," + CIERRE","")</x:f>
        <x:v>LABORABLE</x:v>
      </x:c>
      <x:c r="I417" t="str">
        <x:f>TEXT(G417,"yyyy-mm")</x:f>
        <x:v>2026-02</x:v>
      </x:c>
    </x:row>
    <x:row r="418" ht="19" customHeight="1">
      <x:c r="A418" s="2" t="n">
        <x:v>46074</x:v>
      </x:c>
      <x:c r="B418" t="str">
        <x:f>CHOOSE(WEEKDAY(A418,2),"Lunes","Martes","Miércoles","Jueves","Viernes","Sábado","Domingo")</x:f>
        <x:v>Sábado</x:v>
      </x:c>
      <x:c r="C418" t="str">
        <x:f>IF(COUNTIF(FERIADOS!$A$2:$A$250,A418)&gt;0,"SÍ","NO")</x:f>
        <x:v>NO</x:v>
      </x:c>
      <x:c r="D418" t="str">
        <x:f>IF(AND(WEEKDAY(A418,2)&lt;=5,C418="NO"),"SÍ","NO")</x:f>
        <x:v>NO</x:v>
      </x:c>
      <x:c r="E418" s="2" t="n">
        <x:f>WORKDAY.INTL(A418-1,1,1,FERIADOS!$A$2:$A$250)</x:f>
        <x:v>46076</x:v>
      </x:c>
      <x:c r="F418" t="str">
        <x:f>IF(E418&gt;=WORKDAY.INTL(EOMONTH(E418,0)+1,-2,1,FERIADOS!$A$2:$A$250),"SÍ","NO")</x:f>
        <x:v>NO</x:v>
      </x:c>
      <x:c r="G418" s="10" t="n">
        <x:f>IF(F418="SÍ",EOMONTH(E418,0)+1,DATE(YEAR(E418),MONTH(E418),1))</x:f>
        <x:v>46054</x:v>
      </x:c>
      <x:c r="H418" t="str">
        <x:f>IF(D418="NO",IF(C418="SÍ","FERIADO","FIN DE SEMANA"),"LABORABLE")&amp;IF(F418="SÍ"," + CIERRE","")</x:f>
        <x:v>FIN DE SEMANA</x:v>
      </x:c>
      <x:c r="I418" t="str">
        <x:f>TEXT(G418,"yyyy-mm")</x:f>
        <x:v>2026-02</x:v>
      </x:c>
    </x:row>
    <x:row r="419" ht="19" customHeight="1">
      <x:c r="A419" s="2" t="n">
        <x:v>46075</x:v>
      </x:c>
      <x:c r="B419" t="str">
        <x:f>CHOOSE(WEEKDAY(A419,2),"Lunes","Martes","Miércoles","Jueves","Viernes","Sábado","Domingo")</x:f>
        <x:v>Domingo</x:v>
      </x:c>
      <x:c r="C419" t="str">
        <x:f>IF(COUNTIF(FERIADOS!$A$2:$A$250,A419)&gt;0,"SÍ","NO")</x:f>
        <x:v>NO</x:v>
      </x:c>
      <x:c r="D419" t="str">
        <x:f>IF(AND(WEEKDAY(A419,2)&lt;=5,C419="NO"),"SÍ","NO")</x:f>
        <x:v>NO</x:v>
      </x:c>
      <x:c r="E419" s="2" t="n">
        <x:f>WORKDAY.INTL(A419-1,1,1,FERIADOS!$A$2:$A$250)</x:f>
        <x:v>46076</x:v>
      </x:c>
      <x:c r="F419" t="str">
        <x:f>IF(E419&gt;=WORKDAY.INTL(EOMONTH(E419,0)+1,-2,1,FERIADOS!$A$2:$A$250),"SÍ","NO")</x:f>
        <x:v>NO</x:v>
      </x:c>
      <x:c r="G419" s="10" t="n">
        <x:f>IF(F419="SÍ",EOMONTH(E419,0)+1,DATE(YEAR(E419),MONTH(E419),1))</x:f>
        <x:v>46054</x:v>
      </x:c>
      <x:c r="H419" t="str">
        <x:f>IF(D419="NO",IF(C419="SÍ","FERIADO","FIN DE SEMANA"),"LABORABLE")&amp;IF(F419="SÍ"," + CIERRE","")</x:f>
        <x:v>FIN DE SEMANA</x:v>
      </x:c>
      <x:c r="I419" t="str">
        <x:f>TEXT(G419,"yyyy-mm")</x:f>
        <x:v>2026-02</x:v>
      </x:c>
    </x:row>
    <x:row r="420" ht="19" customHeight="1">
      <x:c r="A420" s="2" t="n">
        <x:v>46076</x:v>
      </x:c>
      <x:c r="B420" t="str">
        <x:f>CHOOSE(WEEKDAY(A420,2),"Lunes","Martes","Miércoles","Jueves","Viernes","Sábado","Domingo")</x:f>
        <x:v>Lunes</x:v>
      </x:c>
      <x:c r="C420" t="str">
        <x:f>IF(COUNTIF(FERIADOS!$A$2:$A$250,A420)&gt;0,"SÍ","NO")</x:f>
        <x:v>NO</x:v>
      </x:c>
      <x:c r="D420" t="str">
        <x:f>IF(AND(WEEKDAY(A420,2)&lt;=5,C420="NO"),"SÍ","NO")</x:f>
        <x:v>SÍ</x:v>
      </x:c>
      <x:c r="E420" s="2" t="n">
        <x:f>WORKDAY.INTL(A420-1,1,1,FERIADOS!$A$2:$A$250)</x:f>
        <x:v>46076</x:v>
      </x:c>
      <x:c r="F420" t="str">
        <x:f>IF(E420&gt;=WORKDAY.INTL(EOMONTH(E420,0)+1,-2,1,FERIADOS!$A$2:$A$250),"SÍ","NO")</x:f>
        <x:v>NO</x:v>
      </x:c>
      <x:c r="G420" s="10" t="n">
        <x:f>IF(F420="SÍ",EOMONTH(E420,0)+1,DATE(YEAR(E420),MONTH(E420),1))</x:f>
        <x:v>46054</x:v>
      </x:c>
      <x:c r="H420" t="str">
        <x:f>IF(D420="NO",IF(C420="SÍ","FERIADO","FIN DE SEMANA"),"LABORABLE")&amp;IF(F420="SÍ"," + CIERRE","")</x:f>
        <x:v>LABORABLE</x:v>
      </x:c>
      <x:c r="I420" t="str">
        <x:f>TEXT(G420,"yyyy-mm")</x:f>
        <x:v>2026-02</x:v>
      </x:c>
    </x:row>
    <x:row r="421" ht="19" customHeight="1">
      <x:c r="A421" s="2" t="n">
        <x:v>46077</x:v>
      </x:c>
      <x:c r="B421" t="str">
        <x:f>CHOOSE(WEEKDAY(A421,2),"Lunes","Martes","Miércoles","Jueves","Viernes","Sábado","Domingo")</x:f>
        <x:v>Martes</x:v>
      </x:c>
      <x:c r="C421" t="str">
        <x:f>IF(COUNTIF(FERIADOS!$A$2:$A$250,A421)&gt;0,"SÍ","NO")</x:f>
        <x:v>NO</x:v>
      </x:c>
      <x:c r="D421" t="str">
        <x:f>IF(AND(WEEKDAY(A421,2)&lt;=5,C421="NO"),"SÍ","NO")</x:f>
        <x:v>SÍ</x:v>
      </x:c>
      <x:c r="E421" s="2" t="n">
        <x:f>WORKDAY.INTL(A421-1,1,1,FERIADOS!$A$2:$A$250)</x:f>
        <x:v>46077</x:v>
      </x:c>
      <x:c r="F421" t="str">
        <x:f>IF(E421&gt;=WORKDAY.INTL(EOMONTH(E421,0)+1,-2,1,FERIADOS!$A$2:$A$250),"SÍ","NO")</x:f>
        <x:v>NO</x:v>
      </x:c>
      <x:c r="G421" s="10" t="n">
        <x:f>IF(F421="SÍ",EOMONTH(E421,0)+1,DATE(YEAR(E421),MONTH(E421),1))</x:f>
        <x:v>46054</x:v>
      </x:c>
      <x:c r="H421" t="str">
        <x:f>IF(D421="NO",IF(C421="SÍ","FERIADO","FIN DE SEMANA"),"LABORABLE")&amp;IF(F421="SÍ"," + CIERRE","")</x:f>
        <x:v>LABORABLE</x:v>
      </x:c>
      <x:c r="I421" t="str">
        <x:f>TEXT(G421,"yyyy-mm")</x:f>
        <x:v>2026-02</x:v>
      </x:c>
    </x:row>
    <x:row r="422" ht="19" customHeight="1">
      <x:c r="A422" s="2" t="n">
        <x:v>46078</x:v>
      </x:c>
      <x:c r="B422" t="str">
        <x:f>CHOOSE(WEEKDAY(A422,2),"Lunes","Martes","Miércoles","Jueves","Viernes","Sábado","Domingo")</x:f>
        <x:v>Miércoles</x:v>
      </x:c>
      <x:c r="C422" t="str">
        <x:f>IF(COUNTIF(FERIADOS!$A$2:$A$250,A422)&gt;0,"SÍ","NO")</x:f>
        <x:v>NO</x:v>
      </x:c>
      <x:c r="D422" t="str">
        <x:f>IF(AND(WEEKDAY(A422,2)&lt;=5,C422="NO"),"SÍ","NO")</x:f>
        <x:v>SÍ</x:v>
      </x:c>
      <x:c r="E422" s="2" t="n">
        <x:f>WORKDAY.INTL(A422-1,1,1,FERIADOS!$A$2:$A$250)</x:f>
        <x:v>46078</x:v>
      </x:c>
      <x:c r="F422" t="str">
        <x:f>IF(E422&gt;=WORKDAY.INTL(EOMONTH(E422,0)+1,-2,1,FERIADOS!$A$2:$A$250),"SÍ","NO")</x:f>
        <x:v>NO</x:v>
      </x:c>
      <x:c r="G422" s="10" t="n">
        <x:f>IF(F422="SÍ",EOMONTH(E422,0)+1,DATE(YEAR(E422),MONTH(E422),1))</x:f>
        <x:v>46054</x:v>
      </x:c>
      <x:c r="H422" t="str">
        <x:f>IF(D422="NO",IF(C422="SÍ","FERIADO","FIN DE SEMANA"),"LABORABLE")&amp;IF(F422="SÍ"," + CIERRE","")</x:f>
        <x:v>LABORABLE</x:v>
      </x:c>
      <x:c r="I422" t="str">
        <x:f>TEXT(G422,"yyyy-mm")</x:f>
        <x:v>2026-02</x:v>
      </x:c>
    </x:row>
    <x:row r="423" ht="19" customHeight="1">
      <x:c r="A423" s="2" t="n">
        <x:v>46079</x:v>
      </x:c>
      <x:c r="B423" t="str">
        <x:f>CHOOSE(WEEKDAY(A423,2),"Lunes","Martes","Miércoles","Jueves","Viernes","Sábado","Domingo")</x:f>
        <x:v>Jueves</x:v>
      </x:c>
      <x:c r="C423" t="str">
        <x:f>IF(COUNTIF(FERIADOS!$A$2:$A$250,A423)&gt;0,"SÍ","NO")</x:f>
        <x:v>NO</x:v>
      </x:c>
      <x:c r="D423" t="str">
        <x:f>IF(AND(WEEKDAY(A423,2)&lt;=5,C423="NO"),"SÍ","NO")</x:f>
        <x:v>SÍ</x:v>
      </x:c>
      <x:c r="E423" s="2" t="n">
        <x:f>WORKDAY.INTL(A423-1,1,1,FERIADOS!$A$2:$A$250)</x:f>
        <x:v>46079</x:v>
      </x:c>
      <x:c r="F423" t="str">
        <x:f>IF(E423&gt;=WORKDAY.INTL(EOMONTH(E423,0)+1,-2,1,FERIADOS!$A$2:$A$250),"SÍ","NO")</x:f>
        <x:v>SÍ</x:v>
      </x:c>
      <x:c r="G423" s="10" t="n">
        <x:f>IF(F423="SÍ",EOMONTH(E423,0)+1,DATE(YEAR(E423),MONTH(E423),1))</x:f>
        <x:v>46082</x:v>
      </x:c>
      <x:c r="H423" t="str">
        <x:f>IF(D423="NO",IF(C423="SÍ","FERIADO","FIN DE SEMANA"),"LABORABLE")&amp;IF(F423="SÍ"," + CIERRE","")</x:f>
        <x:v>LABORABLE + CIERRE</x:v>
      </x:c>
      <x:c r="I423" t="str">
        <x:f>TEXT(G423,"yyyy-mm")</x:f>
        <x:v>2026-03</x:v>
      </x:c>
    </x:row>
    <x:row r="424" ht="19" customHeight="1">
      <x:c r="A424" s="2" t="n">
        <x:v>46080</x:v>
      </x:c>
      <x:c r="B424" t="str">
        <x:f>CHOOSE(WEEKDAY(A424,2),"Lunes","Martes","Miércoles","Jueves","Viernes","Sábado","Domingo")</x:f>
        <x:v>Viernes</x:v>
      </x:c>
      <x:c r="C424" t="str">
        <x:f>IF(COUNTIF(FERIADOS!$A$2:$A$250,A424)&gt;0,"SÍ","NO")</x:f>
        <x:v>NO</x:v>
      </x:c>
      <x:c r="D424" t="str">
        <x:f>IF(AND(WEEKDAY(A424,2)&lt;=5,C424="NO"),"SÍ","NO")</x:f>
        <x:v>SÍ</x:v>
      </x:c>
      <x:c r="E424" s="2" t="n">
        <x:f>WORKDAY.INTL(A424-1,1,1,FERIADOS!$A$2:$A$250)</x:f>
        <x:v>46080</x:v>
      </x:c>
      <x:c r="F424" t="str">
        <x:f>IF(E424&gt;=WORKDAY.INTL(EOMONTH(E424,0)+1,-2,1,FERIADOS!$A$2:$A$250),"SÍ","NO")</x:f>
        <x:v>SÍ</x:v>
      </x:c>
      <x:c r="G424" s="10" t="n">
        <x:f>IF(F424="SÍ",EOMONTH(E424,0)+1,DATE(YEAR(E424),MONTH(E424),1))</x:f>
        <x:v>46082</x:v>
      </x:c>
      <x:c r="H424" t="str">
        <x:f>IF(D424="NO",IF(C424="SÍ","FERIADO","FIN DE SEMANA"),"LABORABLE")&amp;IF(F424="SÍ"," + CIERRE","")</x:f>
        <x:v>LABORABLE + CIERRE</x:v>
      </x:c>
      <x:c r="I424" t="str">
        <x:f>TEXT(G424,"yyyy-mm")</x:f>
        <x:v>2026-03</x:v>
      </x:c>
    </x:row>
    <x:row r="425" ht="19" customHeight="1">
      <x:c r="A425" s="2" t="n">
        <x:v>46081</x:v>
      </x:c>
      <x:c r="B425" t="str">
        <x:f>CHOOSE(WEEKDAY(A425,2),"Lunes","Martes","Miércoles","Jueves","Viernes","Sábado","Domingo")</x:f>
        <x:v>Sábado</x:v>
      </x:c>
      <x:c r="C425" t="str">
        <x:f>IF(COUNTIF(FERIADOS!$A$2:$A$250,A425)&gt;0,"SÍ","NO")</x:f>
        <x:v>NO</x:v>
      </x:c>
      <x:c r="D425" t="str">
        <x:f>IF(AND(WEEKDAY(A425,2)&lt;=5,C425="NO"),"SÍ","NO")</x:f>
        <x:v>NO</x:v>
      </x:c>
      <x:c r="E425" s="2" t="n">
        <x:f>WORKDAY.INTL(A425-1,1,1,FERIADOS!$A$2:$A$250)</x:f>
        <x:v>46083</x:v>
      </x:c>
      <x:c r="F425" t="str">
        <x:f>IF(E425&gt;=WORKDAY.INTL(EOMONTH(E425,0)+1,-2,1,FERIADOS!$A$2:$A$250),"SÍ","NO")</x:f>
        <x:v>NO</x:v>
      </x:c>
      <x:c r="G425" s="10" t="n">
        <x:f>IF(F425="SÍ",EOMONTH(E425,0)+1,DATE(YEAR(E425),MONTH(E425),1))</x:f>
        <x:v>46082</x:v>
      </x:c>
      <x:c r="H425" t="str">
        <x:f>IF(D425="NO",IF(C425="SÍ","FERIADO","FIN DE SEMANA"),"LABORABLE")&amp;IF(F425="SÍ"," + CIERRE","")</x:f>
        <x:v>FIN DE SEMANA</x:v>
      </x:c>
      <x:c r="I425" t="str">
        <x:f>TEXT(G425,"yyyy-mm")</x:f>
        <x:v>2026-03</x:v>
      </x:c>
    </x:row>
    <x:row r="426" ht="19" customHeight="1">
      <x:c r="A426" s="2" t="n">
        <x:v>46082</x:v>
      </x:c>
      <x:c r="B426" t="str">
        <x:f>CHOOSE(WEEKDAY(A426,2),"Lunes","Martes","Miércoles","Jueves","Viernes","Sábado","Domingo")</x:f>
        <x:v>Domingo</x:v>
      </x:c>
      <x:c r="C426" t="str">
        <x:f>IF(COUNTIF(FERIADOS!$A$2:$A$250,A426)&gt;0,"SÍ","NO")</x:f>
        <x:v>NO</x:v>
      </x:c>
      <x:c r="D426" t="str">
        <x:f>IF(AND(WEEKDAY(A426,2)&lt;=5,C426="NO"),"SÍ","NO")</x:f>
        <x:v>NO</x:v>
      </x:c>
      <x:c r="E426" s="2" t="n">
        <x:f>WORKDAY.INTL(A426-1,1,1,FERIADOS!$A$2:$A$250)</x:f>
        <x:v>46083</x:v>
      </x:c>
      <x:c r="F426" t="str">
        <x:f>IF(E426&gt;=WORKDAY.INTL(EOMONTH(E426,0)+1,-2,1,FERIADOS!$A$2:$A$250),"SÍ","NO")</x:f>
        <x:v>NO</x:v>
      </x:c>
      <x:c r="G426" s="10" t="n">
        <x:f>IF(F426="SÍ",EOMONTH(E426,0)+1,DATE(YEAR(E426),MONTH(E426),1))</x:f>
        <x:v>46082</x:v>
      </x:c>
      <x:c r="H426" t="str">
        <x:f>IF(D426="NO",IF(C426="SÍ","FERIADO","FIN DE SEMANA"),"LABORABLE")&amp;IF(F426="SÍ"," + CIERRE","")</x:f>
        <x:v>FIN DE SEMANA</x:v>
      </x:c>
      <x:c r="I426" t="str">
        <x:f>TEXT(G426,"yyyy-mm")</x:f>
        <x:v>2026-03</x:v>
      </x:c>
    </x:row>
    <x:row r="427" ht="19" customHeight="1">
      <x:c r="A427" s="2" t="n">
        <x:v>46083</x:v>
      </x:c>
      <x:c r="B427" t="str">
        <x:f>CHOOSE(WEEKDAY(A427,2),"Lunes","Martes","Miércoles","Jueves","Viernes","Sábado","Domingo")</x:f>
        <x:v>Lunes</x:v>
      </x:c>
      <x:c r="C427" t="str">
        <x:f>IF(COUNTIF(FERIADOS!$A$2:$A$250,A427)&gt;0,"SÍ","NO")</x:f>
        <x:v>NO</x:v>
      </x:c>
      <x:c r="D427" t="str">
        <x:f>IF(AND(WEEKDAY(A427,2)&lt;=5,C427="NO"),"SÍ","NO")</x:f>
        <x:v>SÍ</x:v>
      </x:c>
      <x:c r="E427" s="2" t="n">
        <x:f>WORKDAY.INTL(A427-1,1,1,FERIADOS!$A$2:$A$250)</x:f>
        <x:v>46083</x:v>
      </x:c>
      <x:c r="F427" t="str">
        <x:f>IF(E427&gt;=WORKDAY.INTL(EOMONTH(E427,0)+1,-2,1,FERIADOS!$A$2:$A$250),"SÍ","NO")</x:f>
        <x:v>NO</x:v>
      </x:c>
      <x:c r="G427" s="10" t="n">
        <x:f>IF(F427="SÍ",EOMONTH(E427,0)+1,DATE(YEAR(E427),MONTH(E427),1))</x:f>
        <x:v>46082</x:v>
      </x:c>
      <x:c r="H427" t="str">
        <x:f>IF(D427="NO",IF(C427="SÍ","FERIADO","FIN DE SEMANA"),"LABORABLE")&amp;IF(F427="SÍ"," + CIERRE","")</x:f>
        <x:v>LABORABLE</x:v>
      </x:c>
      <x:c r="I427" t="str">
        <x:f>TEXT(G427,"yyyy-mm")</x:f>
        <x:v>2026-03</x:v>
      </x:c>
    </x:row>
    <x:row r="428" ht="19" customHeight="1">
      <x:c r="A428" s="2" t="n">
        <x:v>46084</x:v>
      </x:c>
      <x:c r="B428" t="str">
        <x:f>CHOOSE(WEEKDAY(A428,2),"Lunes","Martes","Miércoles","Jueves","Viernes","Sábado","Domingo")</x:f>
        <x:v>Martes</x:v>
      </x:c>
      <x:c r="C428" t="str">
        <x:f>IF(COUNTIF(FERIADOS!$A$2:$A$250,A428)&gt;0,"SÍ","NO")</x:f>
        <x:v>NO</x:v>
      </x:c>
      <x:c r="D428" t="str">
        <x:f>IF(AND(WEEKDAY(A428,2)&lt;=5,C428="NO"),"SÍ","NO")</x:f>
        <x:v>SÍ</x:v>
      </x:c>
      <x:c r="E428" s="2" t="n">
        <x:f>WORKDAY.INTL(A428-1,1,1,FERIADOS!$A$2:$A$250)</x:f>
        <x:v>46084</x:v>
      </x:c>
      <x:c r="F428" t="str">
        <x:f>IF(E428&gt;=WORKDAY.INTL(EOMONTH(E428,0)+1,-2,1,FERIADOS!$A$2:$A$250),"SÍ","NO")</x:f>
        <x:v>NO</x:v>
      </x:c>
      <x:c r="G428" s="10" t="n">
        <x:f>IF(F428="SÍ",EOMONTH(E428,0)+1,DATE(YEAR(E428),MONTH(E428),1))</x:f>
        <x:v>46082</x:v>
      </x:c>
      <x:c r="H428" t="str">
        <x:f>IF(D428="NO",IF(C428="SÍ","FERIADO","FIN DE SEMANA"),"LABORABLE")&amp;IF(F428="SÍ"," + CIERRE","")</x:f>
        <x:v>LABORABLE</x:v>
      </x:c>
      <x:c r="I428" t="str">
        <x:f>TEXT(G428,"yyyy-mm")</x:f>
        <x:v>2026-03</x:v>
      </x:c>
    </x:row>
    <x:row r="429" ht="19" customHeight="1">
      <x:c r="A429" s="2" t="n">
        <x:v>46085</x:v>
      </x:c>
      <x:c r="B429" t="str">
        <x:f>CHOOSE(WEEKDAY(A429,2),"Lunes","Martes","Miércoles","Jueves","Viernes","Sábado","Domingo")</x:f>
        <x:v>Miércoles</x:v>
      </x:c>
      <x:c r="C429" t="str">
        <x:f>IF(COUNTIF(FERIADOS!$A$2:$A$250,A429)&gt;0,"SÍ","NO")</x:f>
        <x:v>NO</x:v>
      </x:c>
      <x:c r="D429" t="str">
        <x:f>IF(AND(WEEKDAY(A429,2)&lt;=5,C429="NO"),"SÍ","NO")</x:f>
        <x:v>SÍ</x:v>
      </x:c>
      <x:c r="E429" s="2" t="n">
        <x:f>WORKDAY.INTL(A429-1,1,1,FERIADOS!$A$2:$A$250)</x:f>
        <x:v>46085</x:v>
      </x:c>
      <x:c r="F429" t="str">
        <x:f>IF(E429&gt;=WORKDAY.INTL(EOMONTH(E429,0)+1,-2,1,FERIADOS!$A$2:$A$250),"SÍ","NO")</x:f>
        <x:v>NO</x:v>
      </x:c>
      <x:c r="G429" s="10" t="n">
        <x:f>IF(F429="SÍ",EOMONTH(E429,0)+1,DATE(YEAR(E429),MONTH(E429),1))</x:f>
        <x:v>46082</x:v>
      </x:c>
      <x:c r="H429" t="str">
        <x:f>IF(D429="NO",IF(C429="SÍ","FERIADO","FIN DE SEMANA"),"LABORABLE")&amp;IF(F429="SÍ"," + CIERRE","")</x:f>
        <x:v>LABORABLE</x:v>
      </x:c>
      <x:c r="I429" t="str">
        <x:f>TEXT(G429,"yyyy-mm")</x:f>
        <x:v>2026-03</x:v>
      </x:c>
    </x:row>
    <x:row r="430" ht="19" customHeight="1">
      <x:c r="A430" s="2" t="n">
        <x:v>46086</x:v>
      </x:c>
      <x:c r="B430" t="str">
        <x:f>CHOOSE(WEEKDAY(A430,2),"Lunes","Martes","Miércoles","Jueves","Viernes","Sábado","Domingo")</x:f>
        <x:v>Jueves</x:v>
      </x:c>
      <x:c r="C430" t="str">
        <x:f>IF(COUNTIF(FERIADOS!$A$2:$A$250,A430)&gt;0,"SÍ","NO")</x:f>
        <x:v>NO</x:v>
      </x:c>
      <x:c r="D430" t="str">
        <x:f>IF(AND(WEEKDAY(A430,2)&lt;=5,C430="NO"),"SÍ","NO")</x:f>
        <x:v>SÍ</x:v>
      </x:c>
      <x:c r="E430" s="2" t="n">
        <x:f>WORKDAY.INTL(A430-1,1,1,FERIADOS!$A$2:$A$250)</x:f>
        <x:v>46086</x:v>
      </x:c>
      <x:c r="F430" t="str">
        <x:f>IF(E430&gt;=WORKDAY.INTL(EOMONTH(E430,0)+1,-2,1,FERIADOS!$A$2:$A$250),"SÍ","NO")</x:f>
        <x:v>NO</x:v>
      </x:c>
      <x:c r="G430" s="10" t="n">
        <x:f>IF(F430="SÍ",EOMONTH(E430,0)+1,DATE(YEAR(E430),MONTH(E430),1))</x:f>
        <x:v>46082</x:v>
      </x:c>
      <x:c r="H430" t="str">
        <x:f>IF(D430="NO",IF(C430="SÍ","FERIADO","FIN DE SEMANA"),"LABORABLE")&amp;IF(F430="SÍ"," + CIERRE","")</x:f>
        <x:v>LABORABLE</x:v>
      </x:c>
      <x:c r="I430" t="str">
        <x:f>TEXT(G430,"yyyy-mm")</x:f>
        <x:v>2026-03</x:v>
      </x:c>
    </x:row>
    <x:row r="431" ht="19" customHeight="1">
      <x:c r="A431" s="2" t="n">
        <x:v>46087</x:v>
      </x:c>
      <x:c r="B431" t="str">
        <x:f>CHOOSE(WEEKDAY(A431,2),"Lunes","Martes","Miércoles","Jueves","Viernes","Sábado","Domingo")</x:f>
        <x:v>Viernes</x:v>
      </x:c>
      <x:c r="C431" t="str">
        <x:f>IF(COUNTIF(FERIADOS!$A$2:$A$250,A431)&gt;0,"SÍ","NO")</x:f>
        <x:v>NO</x:v>
      </x:c>
      <x:c r="D431" t="str">
        <x:f>IF(AND(WEEKDAY(A431,2)&lt;=5,C431="NO"),"SÍ","NO")</x:f>
        <x:v>SÍ</x:v>
      </x:c>
      <x:c r="E431" s="2" t="n">
        <x:f>WORKDAY.INTL(A431-1,1,1,FERIADOS!$A$2:$A$250)</x:f>
        <x:v>46087</x:v>
      </x:c>
      <x:c r="F431" t="str">
        <x:f>IF(E431&gt;=WORKDAY.INTL(EOMONTH(E431,0)+1,-2,1,FERIADOS!$A$2:$A$250),"SÍ","NO")</x:f>
        <x:v>NO</x:v>
      </x:c>
      <x:c r="G431" s="10" t="n">
        <x:f>IF(F431="SÍ",EOMONTH(E431,0)+1,DATE(YEAR(E431),MONTH(E431),1))</x:f>
        <x:v>46082</x:v>
      </x:c>
      <x:c r="H431" t="str">
        <x:f>IF(D431="NO",IF(C431="SÍ","FERIADO","FIN DE SEMANA"),"LABORABLE")&amp;IF(F431="SÍ"," + CIERRE","")</x:f>
        <x:v>LABORABLE</x:v>
      </x:c>
      <x:c r="I431" t="str">
        <x:f>TEXT(G431,"yyyy-mm")</x:f>
        <x:v>2026-03</x:v>
      </x:c>
    </x:row>
    <x:row r="432" ht="19" customHeight="1">
      <x:c r="A432" s="2" t="n">
        <x:v>46088</x:v>
      </x:c>
      <x:c r="B432" t="str">
        <x:f>CHOOSE(WEEKDAY(A432,2),"Lunes","Martes","Miércoles","Jueves","Viernes","Sábado","Domingo")</x:f>
        <x:v>Sábado</x:v>
      </x:c>
      <x:c r="C432" t="str">
        <x:f>IF(COUNTIF(FERIADOS!$A$2:$A$250,A432)&gt;0,"SÍ","NO")</x:f>
        <x:v>NO</x:v>
      </x:c>
      <x:c r="D432" t="str">
        <x:f>IF(AND(WEEKDAY(A432,2)&lt;=5,C432="NO"),"SÍ","NO")</x:f>
        <x:v>NO</x:v>
      </x:c>
      <x:c r="E432" s="2" t="n">
        <x:f>WORKDAY.INTL(A432-1,1,1,FERIADOS!$A$2:$A$250)</x:f>
        <x:v>46090</x:v>
      </x:c>
      <x:c r="F432" t="str">
        <x:f>IF(E432&gt;=WORKDAY.INTL(EOMONTH(E432,0)+1,-2,1,FERIADOS!$A$2:$A$250),"SÍ","NO")</x:f>
        <x:v>NO</x:v>
      </x:c>
      <x:c r="G432" s="10" t="n">
        <x:f>IF(F432="SÍ",EOMONTH(E432,0)+1,DATE(YEAR(E432),MONTH(E432),1))</x:f>
        <x:v>46082</x:v>
      </x:c>
      <x:c r="H432" t="str">
        <x:f>IF(D432="NO",IF(C432="SÍ","FERIADO","FIN DE SEMANA"),"LABORABLE")&amp;IF(F432="SÍ"," + CIERRE","")</x:f>
        <x:v>FIN DE SEMANA</x:v>
      </x:c>
      <x:c r="I432" t="str">
        <x:f>TEXT(G432,"yyyy-mm")</x:f>
        <x:v>2026-03</x:v>
      </x:c>
    </x:row>
    <x:row r="433" ht="19" customHeight="1">
      <x:c r="A433" s="2" t="n">
        <x:v>46089</x:v>
      </x:c>
      <x:c r="B433" t="str">
        <x:f>CHOOSE(WEEKDAY(A433,2),"Lunes","Martes","Miércoles","Jueves","Viernes","Sábado","Domingo")</x:f>
        <x:v>Domingo</x:v>
      </x:c>
      <x:c r="C433" t="str">
        <x:f>IF(COUNTIF(FERIADOS!$A$2:$A$250,A433)&gt;0,"SÍ","NO")</x:f>
        <x:v>NO</x:v>
      </x:c>
      <x:c r="D433" t="str">
        <x:f>IF(AND(WEEKDAY(A433,2)&lt;=5,C433="NO"),"SÍ","NO")</x:f>
        <x:v>NO</x:v>
      </x:c>
      <x:c r="E433" s="2" t="n">
        <x:f>WORKDAY.INTL(A433-1,1,1,FERIADOS!$A$2:$A$250)</x:f>
        <x:v>46090</x:v>
      </x:c>
      <x:c r="F433" t="str">
        <x:f>IF(E433&gt;=WORKDAY.INTL(EOMONTH(E433,0)+1,-2,1,FERIADOS!$A$2:$A$250),"SÍ","NO")</x:f>
        <x:v>NO</x:v>
      </x:c>
      <x:c r="G433" s="10" t="n">
        <x:f>IF(F433="SÍ",EOMONTH(E433,0)+1,DATE(YEAR(E433),MONTH(E433),1))</x:f>
        <x:v>46082</x:v>
      </x:c>
      <x:c r="H433" t="str">
        <x:f>IF(D433="NO",IF(C433="SÍ","FERIADO","FIN DE SEMANA"),"LABORABLE")&amp;IF(F433="SÍ"," + CIERRE","")</x:f>
        <x:v>FIN DE SEMANA</x:v>
      </x:c>
      <x:c r="I433" t="str">
        <x:f>TEXT(G433,"yyyy-mm")</x:f>
        <x:v>2026-03</x:v>
      </x:c>
    </x:row>
    <x:row r="434" ht="19" customHeight="1">
      <x:c r="A434" s="2" t="n">
        <x:v>46090</x:v>
      </x:c>
      <x:c r="B434" t="str">
        <x:f>CHOOSE(WEEKDAY(A434,2),"Lunes","Martes","Miércoles","Jueves","Viernes","Sábado","Domingo")</x:f>
        <x:v>Lunes</x:v>
      </x:c>
      <x:c r="C434" t="str">
        <x:f>IF(COUNTIF(FERIADOS!$A$2:$A$250,A434)&gt;0,"SÍ","NO")</x:f>
        <x:v>NO</x:v>
      </x:c>
      <x:c r="D434" t="str">
        <x:f>IF(AND(WEEKDAY(A434,2)&lt;=5,C434="NO"),"SÍ","NO")</x:f>
        <x:v>SÍ</x:v>
      </x:c>
      <x:c r="E434" s="2" t="n">
        <x:f>WORKDAY.INTL(A434-1,1,1,FERIADOS!$A$2:$A$250)</x:f>
        <x:v>46090</x:v>
      </x:c>
      <x:c r="F434" t="str">
        <x:f>IF(E434&gt;=WORKDAY.INTL(EOMONTH(E434,0)+1,-2,1,FERIADOS!$A$2:$A$250),"SÍ","NO")</x:f>
        <x:v>NO</x:v>
      </x:c>
      <x:c r="G434" s="10" t="n">
        <x:f>IF(F434="SÍ",EOMONTH(E434,0)+1,DATE(YEAR(E434),MONTH(E434),1))</x:f>
        <x:v>46082</x:v>
      </x:c>
      <x:c r="H434" t="str">
        <x:f>IF(D434="NO",IF(C434="SÍ","FERIADO","FIN DE SEMANA"),"LABORABLE")&amp;IF(F434="SÍ"," + CIERRE","")</x:f>
        <x:v>LABORABLE</x:v>
      </x:c>
      <x:c r="I434" t="str">
        <x:f>TEXT(G434,"yyyy-mm")</x:f>
        <x:v>2026-03</x:v>
      </x:c>
    </x:row>
    <x:row r="435" ht="19" customHeight="1">
      <x:c r="A435" s="2" t="n">
        <x:v>46091</x:v>
      </x:c>
      <x:c r="B435" t="str">
        <x:f>CHOOSE(WEEKDAY(A435,2),"Lunes","Martes","Miércoles","Jueves","Viernes","Sábado","Domingo")</x:f>
        <x:v>Martes</x:v>
      </x:c>
      <x:c r="C435" t="str">
        <x:f>IF(COUNTIF(FERIADOS!$A$2:$A$250,A435)&gt;0,"SÍ","NO")</x:f>
        <x:v>NO</x:v>
      </x:c>
      <x:c r="D435" t="str">
        <x:f>IF(AND(WEEKDAY(A435,2)&lt;=5,C435="NO"),"SÍ","NO")</x:f>
        <x:v>SÍ</x:v>
      </x:c>
      <x:c r="E435" s="2" t="n">
        <x:f>WORKDAY.INTL(A435-1,1,1,FERIADOS!$A$2:$A$250)</x:f>
        <x:v>46091</x:v>
      </x:c>
      <x:c r="F435" t="str">
        <x:f>IF(E435&gt;=WORKDAY.INTL(EOMONTH(E435,0)+1,-2,1,FERIADOS!$A$2:$A$250),"SÍ","NO")</x:f>
        <x:v>NO</x:v>
      </x:c>
      <x:c r="G435" s="10" t="n">
        <x:f>IF(F435="SÍ",EOMONTH(E435,0)+1,DATE(YEAR(E435),MONTH(E435),1))</x:f>
        <x:v>46082</x:v>
      </x:c>
      <x:c r="H435" t="str">
        <x:f>IF(D435="NO",IF(C435="SÍ","FERIADO","FIN DE SEMANA"),"LABORABLE")&amp;IF(F435="SÍ"," + CIERRE","")</x:f>
        <x:v>LABORABLE</x:v>
      </x:c>
      <x:c r="I435" t="str">
        <x:f>TEXT(G435,"yyyy-mm")</x:f>
        <x:v>2026-03</x:v>
      </x:c>
    </x:row>
    <x:row r="436" ht="19" customHeight="1">
      <x:c r="A436" s="2" t="n">
        <x:v>46092</x:v>
      </x:c>
      <x:c r="B436" t="str">
        <x:f>CHOOSE(WEEKDAY(A436,2),"Lunes","Martes","Miércoles","Jueves","Viernes","Sábado","Domingo")</x:f>
        <x:v>Miércoles</x:v>
      </x:c>
      <x:c r="C436" t="str">
        <x:f>IF(COUNTIF(FERIADOS!$A$2:$A$250,A436)&gt;0,"SÍ","NO")</x:f>
        <x:v>NO</x:v>
      </x:c>
      <x:c r="D436" t="str">
        <x:f>IF(AND(WEEKDAY(A436,2)&lt;=5,C436="NO"),"SÍ","NO")</x:f>
        <x:v>SÍ</x:v>
      </x:c>
      <x:c r="E436" s="2" t="n">
        <x:f>WORKDAY.INTL(A436-1,1,1,FERIADOS!$A$2:$A$250)</x:f>
        <x:v>46092</x:v>
      </x:c>
      <x:c r="F436" t="str">
        <x:f>IF(E436&gt;=WORKDAY.INTL(EOMONTH(E436,0)+1,-2,1,FERIADOS!$A$2:$A$250),"SÍ","NO")</x:f>
        <x:v>NO</x:v>
      </x:c>
      <x:c r="G436" s="10" t="n">
        <x:f>IF(F436="SÍ",EOMONTH(E436,0)+1,DATE(YEAR(E436),MONTH(E436),1))</x:f>
        <x:v>46082</x:v>
      </x:c>
      <x:c r="H436" t="str">
        <x:f>IF(D436="NO",IF(C436="SÍ","FERIADO","FIN DE SEMANA"),"LABORABLE")&amp;IF(F436="SÍ"," + CIERRE","")</x:f>
        <x:v>LABORABLE</x:v>
      </x:c>
      <x:c r="I436" t="str">
        <x:f>TEXT(G436,"yyyy-mm")</x:f>
        <x:v>2026-03</x:v>
      </x:c>
    </x:row>
    <x:row r="437" ht="19" customHeight="1">
      <x:c r="A437" s="2" t="n">
        <x:v>46093</x:v>
      </x:c>
      <x:c r="B437" t="str">
        <x:f>CHOOSE(WEEKDAY(A437,2),"Lunes","Martes","Miércoles","Jueves","Viernes","Sábado","Domingo")</x:f>
        <x:v>Jueves</x:v>
      </x:c>
      <x:c r="C437" t="str">
        <x:f>IF(COUNTIF(FERIADOS!$A$2:$A$250,A437)&gt;0,"SÍ","NO")</x:f>
        <x:v>NO</x:v>
      </x:c>
      <x:c r="D437" t="str">
        <x:f>IF(AND(WEEKDAY(A437,2)&lt;=5,C437="NO"),"SÍ","NO")</x:f>
        <x:v>SÍ</x:v>
      </x:c>
      <x:c r="E437" s="2" t="n">
        <x:f>WORKDAY.INTL(A437-1,1,1,FERIADOS!$A$2:$A$250)</x:f>
        <x:v>46093</x:v>
      </x:c>
      <x:c r="F437" t="str">
        <x:f>IF(E437&gt;=WORKDAY.INTL(EOMONTH(E437,0)+1,-2,1,FERIADOS!$A$2:$A$250),"SÍ","NO")</x:f>
        <x:v>NO</x:v>
      </x:c>
      <x:c r="G437" s="10" t="n">
        <x:f>IF(F437="SÍ",EOMONTH(E437,0)+1,DATE(YEAR(E437),MONTH(E437),1))</x:f>
        <x:v>46082</x:v>
      </x:c>
      <x:c r="H437" t="str">
        <x:f>IF(D437="NO",IF(C437="SÍ","FERIADO","FIN DE SEMANA"),"LABORABLE")&amp;IF(F437="SÍ"," + CIERRE","")</x:f>
        <x:v>LABORABLE</x:v>
      </x:c>
      <x:c r="I437" t="str">
        <x:f>TEXT(G437,"yyyy-mm")</x:f>
        <x:v>2026-03</x:v>
      </x:c>
    </x:row>
    <x:row r="438" ht="19" customHeight="1">
      <x:c r="A438" s="2" t="n">
        <x:v>46094</x:v>
      </x:c>
      <x:c r="B438" t="str">
        <x:f>CHOOSE(WEEKDAY(A438,2),"Lunes","Martes","Miércoles","Jueves","Viernes","Sábado","Domingo")</x:f>
        <x:v>Viernes</x:v>
      </x:c>
      <x:c r="C438" t="str">
        <x:f>IF(COUNTIF(FERIADOS!$A$2:$A$250,A438)&gt;0,"SÍ","NO")</x:f>
        <x:v>NO</x:v>
      </x:c>
      <x:c r="D438" t="str">
        <x:f>IF(AND(WEEKDAY(A438,2)&lt;=5,C438="NO"),"SÍ","NO")</x:f>
        <x:v>SÍ</x:v>
      </x:c>
      <x:c r="E438" s="2" t="n">
        <x:f>WORKDAY.INTL(A438-1,1,1,FERIADOS!$A$2:$A$250)</x:f>
        <x:v>46094</x:v>
      </x:c>
      <x:c r="F438" t="str">
        <x:f>IF(E438&gt;=WORKDAY.INTL(EOMONTH(E438,0)+1,-2,1,FERIADOS!$A$2:$A$250),"SÍ","NO")</x:f>
        <x:v>NO</x:v>
      </x:c>
      <x:c r="G438" s="10" t="n">
        <x:f>IF(F438="SÍ",EOMONTH(E438,0)+1,DATE(YEAR(E438),MONTH(E438),1))</x:f>
        <x:v>46082</x:v>
      </x:c>
      <x:c r="H438" t="str">
        <x:f>IF(D438="NO",IF(C438="SÍ","FERIADO","FIN DE SEMANA"),"LABORABLE")&amp;IF(F438="SÍ"," + CIERRE","")</x:f>
        <x:v>LABORABLE</x:v>
      </x:c>
      <x:c r="I438" t="str">
        <x:f>TEXT(G438,"yyyy-mm")</x:f>
        <x:v>2026-03</x:v>
      </x:c>
    </x:row>
    <x:row r="439" ht="19" customHeight="1">
      <x:c r="A439" s="2" t="n">
        <x:v>46095</x:v>
      </x:c>
      <x:c r="B439" t="str">
        <x:f>CHOOSE(WEEKDAY(A439,2),"Lunes","Martes","Miércoles","Jueves","Viernes","Sábado","Domingo")</x:f>
        <x:v>Sábado</x:v>
      </x:c>
      <x:c r="C439" t="str">
        <x:f>IF(COUNTIF(FERIADOS!$A$2:$A$250,A439)&gt;0,"SÍ","NO")</x:f>
        <x:v>NO</x:v>
      </x:c>
      <x:c r="D439" t="str">
        <x:f>IF(AND(WEEKDAY(A439,2)&lt;=5,C439="NO"),"SÍ","NO")</x:f>
        <x:v>NO</x:v>
      </x:c>
      <x:c r="E439" s="2" t="n">
        <x:f>WORKDAY.INTL(A439-1,1,1,FERIADOS!$A$2:$A$250)</x:f>
        <x:v>46097</x:v>
      </x:c>
      <x:c r="F439" t="str">
        <x:f>IF(E439&gt;=WORKDAY.INTL(EOMONTH(E439,0)+1,-2,1,FERIADOS!$A$2:$A$250),"SÍ","NO")</x:f>
        <x:v>NO</x:v>
      </x:c>
      <x:c r="G439" s="10" t="n">
        <x:f>IF(F439="SÍ",EOMONTH(E439,0)+1,DATE(YEAR(E439),MONTH(E439),1))</x:f>
        <x:v>46082</x:v>
      </x:c>
      <x:c r="H439" t="str">
        <x:f>IF(D439="NO",IF(C439="SÍ","FERIADO","FIN DE SEMANA"),"LABORABLE")&amp;IF(F439="SÍ"," + CIERRE","")</x:f>
        <x:v>FIN DE SEMANA</x:v>
      </x:c>
      <x:c r="I439" t="str">
        <x:f>TEXT(G439,"yyyy-mm")</x:f>
        <x:v>2026-03</x:v>
      </x:c>
    </x:row>
    <x:row r="440" ht="19" customHeight="1">
      <x:c r="A440" s="2" t="n">
        <x:v>46096</x:v>
      </x:c>
      <x:c r="B440" t="str">
        <x:f>CHOOSE(WEEKDAY(A440,2),"Lunes","Martes","Miércoles","Jueves","Viernes","Sábado","Domingo")</x:f>
        <x:v>Domingo</x:v>
      </x:c>
      <x:c r="C440" t="str">
        <x:f>IF(COUNTIF(FERIADOS!$A$2:$A$250,A440)&gt;0,"SÍ","NO")</x:f>
        <x:v>NO</x:v>
      </x:c>
      <x:c r="D440" t="str">
        <x:f>IF(AND(WEEKDAY(A440,2)&lt;=5,C440="NO"),"SÍ","NO")</x:f>
        <x:v>NO</x:v>
      </x:c>
      <x:c r="E440" s="2" t="n">
        <x:f>WORKDAY.INTL(A440-1,1,1,FERIADOS!$A$2:$A$250)</x:f>
        <x:v>46097</x:v>
      </x:c>
      <x:c r="F440" t="str">
        <x:f>IF(E440&gt;=WORKDAY.INTL(EOMONTH(E440,0)+1,-2,1,FERIADOS!$A$2:$A$250),"SÍ","NO")</x:f>
        <x:v>NO</x:v>
      </x:c>
      <x:c r="G440" s="10" t="n">
        <x:f>IF(F440="SÍ",EOMONTH(E440,0)+1,DATE(YEAR(E440),MONTH(E440),1))</x:f>
        <x:v>46082</x:v>
      </x:c>
      <x:c r="H440" t="str">
        <x:f>IF(D440="NO",IF(C440="SÍ","FERIADO","FIN DE SEMANA"),"LABORABLE")&amp;IF(F440="SÍ"," + CIERRE","")</x:f>
        <x:v>FIN DE SEMANA</x:v>
      </x:c>
      <x:c r="I440" t="str">
        <x:f>TEXT(G440,"yyyy-mm")</x:f>
        <x:v>2026-03</x:v>
      </x:c>
    </x:row>
    <x:row r="441" ht="19" customHeight="1">
      <x:c r="A441" s="2" t="n">
        <x:v>46097</x:v>
      </x:c>
      <x:c r="B441" t="str">
        <x:f>CHOOSE(WEEKDAY(A441,2),"Lunes","Martes","Miércoles","Jueves","Viernes","Sábado","Domingo")</x:f>
        <x:v>Lunes</x:v>
      </x:c>
      <x:c r="C441" t="str">
        <x:f>IF(COUNTIF(FERIADOS!$A$2:$A$250,A441)&gt;0,"SÍ","NO")</x:f>
        <x:v>NO</x:v>
      </x:c>
      <x:c r="D441" t="str">
        <x:f>IF(AND(WEEKDAY(A441,2)&lt;=5,C441="NO"),"SÍ","NO")</x:f>
        <x:v>SÍ</x:v>
      </x:c>
      <x:c r="E441" s="2" t="n">
        <x:f>WORKDAY.INTL(A441-1,1,1,FERIADOS!$A$2:$A$250)</x:f>
        <x:v>46097</x:v>
      </x:c>
      <x:c r="F441" t="str">
        <x:f>IF(E441&gt;=WORKDAY.INTL(EOMONTH(E441,0)+1,-2,1,FERIADOS!$A$2:$A$250),"SÍ","NO")</x:f>
        <x:v>NO</x:v>
      </x:c>
      <x:c r="G441" s="10" t="n">
        <x:f>IF(F441="SÍ",EOMONTH(E441,0)+1,DATE(YEAR(E441),MONTH(E441),1))</x:f>
        <x:v>46082</x:v>
      </x:c>
      <x:c r="H441" t="str">
        <x:f>IF(D441="NO",IF(C441="SÍ","FERIADO","FIN DE SEMANA"),"LABORABLE")&amp;IF(F441="SÍ"," + CIERRE","")</x:f>
        <x:v>LABORABLE</x:v>
      </x:c>
      <x:c r="I441" t="str">
        <x:f>TEXT(G441,"yyyy-mm")</x:f>
        <x:v>2026-03</x:v>
      </x:c>
    </x:row>
    <x:row r="442" ht="19" customHeight="1">
      <x:c r="A442" s="2" t="n">
        <x:v>46098</x:v>
      </x:c>
      <x:c r="B442" t="str">
        <x:f>CHOOSE(WEEKDAY(A442,2),"Lunes","Martes","Miércoles","Jueves","Viernes","Sábado","Domingo")</x:f>
        <x:v>Martes</x:v>
      </x:c>
      <x:c r="C442" t="str">
        <x:f>IF(COUNTIF(FERIADOS!$A$2:$A$250,A442)&gt;0,"SÍ","NO")</x:f>
        <x:v>NO</x:v>
      </x:c>
      <x:c r="D442" t="str">
        <x:f>IF(AND(WEEKDAY(A442,2)&lt;=5,C442="NO"),"SÍ","NO")</x:f>
        <x:v>SÍ</x:v>
      </x:c>
      <x:c r="E442" s="2" t="n">
        <x:f>WORKDAY.INTL(A442-1,1,1,FERIADOS!$A$2:$A$250)</x:f>
        <x:v>46098</x:v>
      </x:c>
      <x:c r="F442" t="str">
        <x:f>IF(E442&gt;=WORKDAY.INTL(EOMONTH(E442,0)+1,-2,1,FERIADOS!$A$2:$A$250),"SÍ","NO")</x:f>
        <x:v>NO</x:v>
      </x:c>
      <x:c r="G442" s="10" t="n">
        <x:f>IF(F442="SÍ",EOMONTH(E442,0)+1,DATE(YEAR(E442),MONTH(E442),1))</x:f>
        <x:v>46082</x:v>
      </x:c>
      <x:c r="H442" t="str">
        <x:f>IF(D442="NO",IF(C442="SÍ","FERIADO","FIN DE SEMANA"),"LABORABLE")&amp;IF(F442="SÍ"," + CIERRE","")</x:f>
        <x:v>LABORABLE</x:v>
      </x:c>
      <x:c r="I442" t="str">
        <x:f>TEXT(G442,"yyyy-mm")</x:f>
        <x:v>2026-03</x:v>
      </x:c>
    </x:row>
    <x:row r="443" ht="19" customHeight="1">
      <x:c r="A443" s="2" t="n">
        <x:v>46099</x:v>
      </x:c>
      <x:c r="B443" t="str">
        <x:f>CHOOSE(WEEKDAY(A443,2),"Lunes","Martes","Miércoles","Jueves","Viernes","Sábado","Domingo")</x:f>
        <x:v>Miércoles</x:v>
      </x:c>
      <x:c r="C443" t="str">
        <x:f>IF(COUNTIF(FERIADOS!$A$2:$A$250,A443)&gt;0,"SÍ","NO")</x:f>
        <x:v>NO</x:v>
      </x:c>
      <x:c r="D443" t="str">
        <x:f>IF(AND(WEEKDAY(A443,2)&lt;=5,C443="NO"),"SÍ","NO")</x:f>
        <x:v>SÍ</x:v>
      </x:c>
      <x:c r="E443" s="2" t="n">
        <x:f>WORKDAY.INTL(A443-1,1,1,FERIADOS!$A$2:$A$250)</x:f>
        <x:v>46099</x:v>
      </x:c>
      <x:c r="F443" t="str">
        <x:f>IF(E443&gt;=WORKDAY.INTL(EOMONTH(E443,0)+1,-2,1,FERIADOS!$A$2:$A$250),"SÍ","NO")</x:f>
        <x:v>NO</x:v>
      </x:c>
      <x:c r="G443" s="10" t="n">
        <x:f>IF(F443="SÍ",EOMONTH(E443,0)+1,DATE(YEAR(E443),MONTH(E443),1))</x:f>
        <x:v>46082</x:v>
      </x:c>
      <x:c r="H443" t="str">
        <x:f>IF(D443="NO",IF(C443="SÍ","FERIADO","FIN DE SEMANA"),"LABORABLE")&amp;IF(F443="SÍ"," + CIERRE","")</x:f>
        <x:v>LABORABLE</x:v>
      </x:c>
      <x:c r="I443" t="str">
        <x:f>TEXT(G443,"yyyy-mm")</x:f>
        <x:v>2026-03</x:v>
      </x:c>
    </x:row>
    <x:row r="444" ht="19" customHeight="1">
      <x:c r="A444" s="2" t="n">
        <x:v>46100</x:v>
      </x:c>
      <x:c r="B444" t="str">
        <x:f>CHOOSE(WEEKDAY(A444,2),"Lunes","Martes","Miércoles","Jueves","Viernes","Sábado","Domingo")</x:f>
        <x:v>Jueves</x:v>
      </x:c>
      <x:c r="C444" t="str">
        <x:f>IF(COUNTIF(FERIADOS!$A$2:$A$250,A444)&gt;0,"SÍ","NO")</x:f>
        <x:v>NO</x:v>
      </x:c>
      <x:c r="D444" t="str">
        <x:f>IF(AND(WEEKDAY(A444,2)&lt;=5,C444="NO"),"SÍ","NO")</x:f>
        <x:v>SÍ</x:v>
      </x:c>
      <x:c r="E444" s="2" t="n">
        <x:f>WORKDAY.INTL(A444-1,1,1,FERIADOS!$A$2:$A$250)</x:f>
        <x:v>46100</x:v>
      </x:c>
      <x:c r="F444" t="str">
        <x:f>IF(E444&gt;=WORKDAY.INTL(EOMONTH(E444,0)+1,-2,1,FERIADOS!$A$2:$A$250),"SÍ","NO")</x:f>
        <x:v>NO</x:v>
      </x:c>
      <x:c r="G444" s="10" t="n">
        <x:f>IF(F444="SÍ",EOMONTH(E444,0)+1,DATE(YEAR(E444),MONTH(E444),1))</x:f>
        <x:v>46082</x:v>
      </x:c>
      <x:c r="H444" t="str">
        <x:f>IF(D444="NO",IF(C444="SÍ","FERIADO","FIN DE SEMANA"),"LABORABLE")&amp;IF(F444="SÍ"," + CIERRE","")</x:f>
        <x:v>LABORABLE</x:v>
      </x:c>
      <x:c r="I444" t="str">
        <x:f>TEXT(G444,"yyyy-mm")</x:f>
        <x:v>2026-03</x:v>
      </x:c>
    </x:row>
    <x:row r="445" ht="19" customHeight="1">
      <x:c r="A445" s="2" t="n">
        <x:v>46101</x:v>
      </x:c>
      <x:c r="B445" t="str">
        <x:f>CHOOSE(WEEKDAY(A445,2),"Lunes","Martes","Miércoles","Jueves","Viernes","Sábado","Domingo")</x:f>
        <x:v>Viernes</x:v>
      </x:c>
      <x:c r="C445" t="str">
        <x:f>IF(COUNTIF(FERIADOS!$A$2:$A$250,A445)&gt;0,"SÍ","NO")</x:f>
        <x:v>NO</x:v>
      </x:c>
      <x:c r="D445" t="str">
        <x:f>IF(AND(WEEKDAY(A445,2)&lt;=5,C445="NO"),"SÍ","NO")</x:f>
        <x:v>SÍ</x:v>
      </x:c>
      <x:c r="E445" s="2" t="n">
        <x:f>WORKDAY.INTL(A445-1,1,1,FERIADOS!$A$2:$A$250)</x:f>
        <x:v>46101</x:v>
      </x:c>
      <x:c r="F445" t="str">
        <x:f>IF(E445&gt;=WORKDAY.INTL(EOMONTH(E445,0)+1,-2,1,FERIADOS!$A$2:$A$250),"SÍ","NO")</x:f>
        <x:v>NO</x:v>
      </x:c>
      <x:c r="G445" s="10" t="n">
        <x:f>IF(F445="SÍ",EOMONTH(E445,0)+1,DATE(YEAR(E445),MONTH(E445),1))</x:f>
        <x:v>46082</x:v>
      </x:c>
      <x:c r="H445" t="str">
        <x:f>IF(D445="NO",IF(C445="SÍ","FERIADO","FIN DE SEMANA"),"LABORABLE")&amp;IF(F445="SÍ"," + CIERRE","")</x:f>
        <x:v>LABORABLE</x:v>
      </x:c>
      <x:c r="I445" t="str">
        <x:f>TEXT(G445,"yyyy-mm")</x:f>
        <x:v>2026-03</x:v>
      </x:c>
    </x:row>
    <x:row r="446" ht="19" customHeight="1">
      <x:c r="A446" s="2" t="n">
        <x:v>46102</x:v>
      </x:c>
      <x:c r="B446" t="str">
        <x:f>CHOOSE(WEEKDAY(A446,2),"Lunes","Martes","Miércoles","Jueves","Viernes","Sábado","Domingo")</x:f>
        <x:v>Sábado</x:v>
      </x:c>
      <x:c r="C446" t="str">
        <x:f>IF(COUNTIF(FERIADOS!$A$2:$A$250,A446)&gt;0,"SÍ","NO")</x:f>
        <x:v>NO</x:v>
      </x:c>
      <x:c r="D446" t="str">
        <x:f>IF(AND(WEEKDAY(A446,2)&lt;=5,C446="NO"),"SÍ","NO")</x:f>
        <x:v>NO</x:v>
      </x:c>
      <x:c r="E446" s="2" t="n">
        <x:f>WORKDAY.INTL(A446-1,1,1,FERIADOS!$A$2:$A$250)</x:f>
        <x:v>46104</x:v>
      </x:c>
      <x:c r="F446" t="str">
        <x:f>IF(E446&gt;=WORKDAY.INTL(EOMONTH(E446,0)+1,-2,1,FERIADOS!$A$2:$A$250),"SÍ","NO")</x:f>
        <x:v>NO</x:v>
      </x:c>
      <x:c r="G446" s="10" t="n">
        <x:f>IF(F446="SÍ",EOMONTH(E446,0)+1,DATE(YEAR(E446),MONTH(E446),1))</x:f>
        <x:v>46082</x:v>
      </x:c>
      <x:c r="H446" t="str">
        <x:f>IF(D446="NO",IF(C446="SÍ","FERIADO","FIN DE SEMANA"),"LABORABLE")&amp;IF(F446="SÍ"," + CIERRE","")</x:f>
        <x:v>FIN DE SEMANA</x:v>
      </x:c>
      <x:c r="I446" t="str">
        <x:f>TEXT(G446,"yyyy-mm")</x:f>
        <x:v>2026-03</x:v>
      </x:c>
    </x:row>
    <x:row r="447" ht="19" customHeight="1">
      <x:c r="A447" s="2" t="n">
        <x:v>46103</x:v>
      </x:c>
      <x:c r="B447" t="str">
        <x:f>CHOOSE(WEEKDAY(A447,2),"Lunes","Martes","Miércoles","Jueves","Viernes","Sábado","Domingo")</x:f>
        <x:v>Domingo</x:v>
      </x:c>
      <x:c r="C447" t="str">
        <x:f>IF(COUNTIF(FERIADOS!$A$2:$A$250,A447)&gt;0,"SÍ","NO")</x:f>
        <x:v>NO</x:v>
      </x:c>
      <x:c r="D447" t="str">
        <x:f>IF(AND(WEEKDAY(A447,2)&lt;=5,C447="NO"),"SÍ","NO")</x:f>
        <x:v>NO</x:v>
      </x:c>
      <x:c r="E447" s="2" t="n">
        <x:f>WORKDAY.INTL(A447-1,1,1,FERIADOS!$A$2:$A$250)</x:f>
        <x:v>46104</x:v>
      </x:c>
      <x:c r="F447" t="str">
        <x:f>IF(E447&gt;=WORKDAY.INTL(EOMONTH(E447,0)+1,-2,1,FERIADOS!$A$2:$A$250),"SÍ","NO")</x:f>
        <x:v>NO</x:v>
      </x:c>
      <x:c r="G447" s="10" t="n">
        <x:f>IF(F447="SÍ",EOMONTH(E447,0)+1,DATE(YEAR(E447),MONTH(E447),1))</x:f>
        <x:v>46082</x:v>
      </x:c>
      <x:c r="H447" t="str">
        <x:f>IF(D447="NO",IF(C447="SÍ","FERIADO","FIN DE SEMANA"),"LABORABLE")&amp;IF(F447="SÍ"," + CIERRE","")</x:f>
        <x:v>FIN DE SEMANA</x:v>
      </x:c>
      <x:c r="I447" t="str">
        <x:f>TEXT(G447,"yyyy-mm")</x:f>
        <x:v>2026-03</x:v>
      </x:c>
    </x:row>
    <x:row r="448" ht="19" customHeight="1">
      <x:c r="A448" s="2" t="n">
        <x:v>46104</x:v>
      </x:c>
      <x:c r="B448" t="str">
        <x:f>CHOOSE(WEEKDAY(A448,2),"Lunes","Martes","Miércoles","Jueves","Viernes","Sábado","Domingo")</x:f>
        <x:v>Lunes</x:v>
      </x:c>
      <x:c r="C448" t="str">
        <x:f>IF(COUNTIF(FERIADOS!$A$2:$A$250,A448)&gt;0,"SÍ","NO")</x:f>
        <x:v>NO</x:v>
      </x:c>
      <x:c r="D448" t="str">
        <x:f>IF(AND(WEEKDAY(A448,2)&lt;=5,C448="NO"),"SÍ","NO")</x:f>
        <x:v>SÍ</x:v>
      </x:c>
      <x:c r="E448" s="2" t="n">
        <x:f>WORKDAY.INTL(A448-1,1,1,FERIADOS!$A$2:$A$250)</x:f>
        <x:v>46104</x:v>
      </x:c>
      <x:c r="F448" t="str">
        <x:f>IF(E448&gt;=WORKDAY.INTL(EOMONTH(E448,0)+1,-2,1,FERIADOS!$A$2:$A$250),"SÍ","NO")</x:f>
        <x:v>NO</x:v>
      </x:c>
      <x:c r="G448" s="10" t="n">
        <x:f>IF(F448="SÍ",EOMONTH(E448,0)+1,DATE(YEAR(E448),MONTH(E448),1))</x:f>
        <x:v>46082</x:v>
      </x:c>
      <x:c r="H448" t="str">
        <x:f>IF(D448="NO",IF(C448="SÍ","FERIADO","FIN DE SEMANA"),"LABORABLE")&amp;IF(F448="SÍ"," + CIERRE","")</x:f>
        <x:v>LABORABLE</x:v>
      </x:c>
      <x:c r="I448" t="str">
        <x:f>TEXT(G448,"yyyy-mm")</x:f>
        <x:v>2026-03</x:v>
      </x:c>
    </x:row>
    <x:row r="449" ht="19" customHeight="1">
      <x:c r="A449" s="2" t="n">
        <x:v>46105</x:v>
      </x:c>
      <x:c r="B449" t="str">
        <x:f>CHOOSE(WEEKDAY(A449,2),"Lunes","Martes","Miércoles","Jueves","Viernes","Sábado","Domingo")</x:f>
        <x:v>Martes</x:v>
      </x:c>
      <x:c r="C449" t="str">
        <x:f>IF(COUNTIF(FERIADOS!$A$2:$A$250,A449)&gt;0,"SÍ","NO")</x:f>
        <x:v>NO</x:v>
      </x:c>
      <x:c r="D449" t="str">
        <x:f>IF(AND(WEEKDAY(A449,2)&lt;=5,C449="NO"),"SÍ","NO")</x:f>
        <x:v>SÍ</x:v>
      </x:c>
      <x:c r="E449" s="2" t="n">
        <x:f>WORKDAY.INTL(A449-1,1,1,FERIADOS!$A$2:$A$250)</x:f>
        <x:v>46105</x:v>
      </x:c>
      <x:c r="F449" t="str">
        <x:f>IF(E449&gt;=WORKDAY.INTL(EOMONTH(E449,0)+1,-2,1,FERIADOS!$A$2:$A$250),"SÍ","NO")</x:f>
        <x:v>NO</x:v>
      </x:c>
      <x:c r="G449" s="10" t="n">
        <x:f>IF(F449="SÍ",EOMONTH(E449,0)+1,DATE(YEAR(E449),MONTH(E449),1))</x:f>
        <x:v>46082</x:v>
      </x:c>
      <x:c r="H449" t="str">
        <x:f>IF(D449="NO",IF(C449="SÍ","FERIADO","FIN DE SEMANA"),"LABORABLE")&amp;IF(F449="SÍ"," + CIERRE","")</x:f>
        <x:v>LABORABLE</x:v>
      </x:c>
      <x:c r="I449" t="str">
        <x:f>TEXT(G449,"yyyy-mm")</x:f>
        <x:v>2026-03</x:v>
      </x:c>
    </x:row>
    <x:row r="450" ht="19" customHeight="1">
      <x:c r="A450" s="2" t="n">
        <x:v>46106</x:v>
      </x:c>
      <x:c r="B450" t="str">
        <x:f>CHOOSE(WEEKDAY(A450,2),"Lunes","Martes","Miércoles","Jueves","Viernes","Sábado","Domingo")</x:f>
        <x:v>Miércoles</x:v>
      </x:c>
      <x:c r="C450" t="str">
        <x:f>IF(COUNTIF(FERIADOS!$A$2:$A$250,A450)&gt;0,"SÍ","NO")</x:f>
        <x:v>NO</x:v>
      </x:c>
      <x:c r="D450" t="str">
        <x:f>IF(AND(WEEKDAY(A450,2)&lt;=5,C450="NO"),"SÍ","NO")</x:f>
        <x:v>SÍ</x:v>
      </x:c>
      <x:c r="E450" s="2" t="n">
        <x:f>WORKDAY.INTL(A450-1,1,1,FERIADOS!$A$2:$A$250)</x:f>
        <x:v>46106</x:v>
      </x:c>
      <x:c r="F450" t="str">
        <x:f>IF(E450&gt;=WORKDAY.INTL(EOMONTH(E450,0)+1,-2,1,FERIADOS!$A$2:$A$250),"SÍ","NO")</x:f>
        <x:v>NO</x:v>
      </x:c>
      <x:c r="G450" s="10" t="n">
        <x:f>IF(F450="SÍ",EOMONTH(E450,0)+1,DATE(YEAR(E450),MONTH(E450),1))</x:f>
        <x:v>46082</x:v>
      </x:c>
      <x:c r="H450" t="str">
        <x:f>IF(D450="NO",IF(C450="SÍ","FERIADO","FIN DE SEMANA"),"LABORABLE")&amp;IF(F450="SÍ"," + CIERRE","")</x:f>
        <x:v>LABORABLE</x:v>
      </x:c>
      <x:c r="I450" t="str">
        <x:f>TEXT(G450,"yyyy-mm")</x:f>
        <x:v>2026-03</x:v>
      </x:c>
    </x:row>
    <x:row r="451" ht="19" customHeight="1">
      <x:c r="A451" s="2" t="n">
        <x:v>46107</x:v>
      </x:c>
      <x:c r="B451" t="str">
        <x:f>CHOOSE(WEEKDAY(A451,2),"Lunes","Martes","Miércoles","Jueves","Viernes","Sábado","Domingo")</x:f>
        <x:v>Jueves</x:v>
      </x:c>
      <x:c r="C451" t="str">
        <x:f>IF(COUNTIF(FERIADOS!$A$2:$A$250,A451)&gt;0,"SÍ","NO")</x:f>
        <x:v>NO</x:v>
      </x:c>
      <x:c r="D451" t="str">
        <x:f>IF(AND(WEEKDAY(A451,2)&lt;=5,C451="NO"),"SÍ","NO")</x:f>
        <x:v>SÍ</x:v>
      </x:c>
      <x:c r="E451" s="2" t="n">
        <x:f>WORKDAY.INTL(A451-1,1,1,FERIADOS!$A$2:$A$250)</x:f>
        <x:v>46107</x:v>
      </x:c>
      <x:c r="F451" t="str">
        <x:f>IF(E451&gt;=WORKDAY.INTL(EOMONTH(E451,0)+1,-2,1,FERIADOS!$A$2:$A$250),"SÍ","NO")</x:f>
        <x:v>NO</x:v>
      </x:c>
      <x:c r="G451" s="10" t="n">
        <x:f>IF(F451="SÍ",EOMONTH(E451,0)+1,DATE(YEAR(E451),MONTH(E451),1))</x:f>
        <x:v>46082</x:v>
      </x:c>
      <x:c r="H451" t="str">
        <x:f>IF(D451="NO",IF(C451="SÍ","FERIADO","FIN DE SEMANA"),"LABORABLE")&amp;IF(F451="SÍ"," + CIERRE","")</x:f>
        <x:v>LABORABLE</x:v>
      </x:c>
      <x:c r="I451" t="str">
        <x:f>TEXT(G451,"yyyy-mm")</x:f>
        <x:v>2026-03</x:v>
      </x:c>
    </x:row>
    <x:row r="452" ht="19" customHeight="1">
      <x:c r="A452" s="2" t="n">
        <x:v>46108</x:v>
      </x:c>
      <x:c r="B452" t="str">
        <x:f>CHOOSE(WEEKDAY(A452,2),"Lunes","Martes","Miércoles","Jueves","Viernes","Sábado","Domingo")</x:f>
        <x:v>Viernes</x:v>
      </x:c>
      <x:c r="C452" t="str">
        <x:f>IF(COUNTIF(FERIADOS!$A$2:$A$250,A452)&gt;0,"SÍ","NO")</x:f>
        <x:v>NO</x:v>
      </x:c>
      <x:c r="D452" t="str">
        <x:f>IF(AND(WEEKDAY(A452,2)&lt;=5,C452="NO"),"SÍ","NO")</x:f>
        <x:v>SÍ</x:v>
      </x:c>
      <x:c r="E452" s="2" t="n">
        <x:f>WORKDAY.INTL(A452-1,1,1,FERIADOS!$A$2:$A$250)</x:f>
        <x:v>46108</x:v>
      </x:c>
      <x:c r="F452" t="str">
        <x:f>IF(E452&gt;=WORKDAY.INTL(EOMONTH(E452,0)+1,-2,1,FERIADOS!$A$2:$A$250),"SÍ","NO")</x:f>
        <x:v>NO</x:v>
      </x:c>
      <x:c r="G452" s="10" t="n">
        <x:f>IF(F452="SÍ",EOMONTH(E452,0)+1,DATE(YEAR(E452),MONTH(E452),1))</x:f>
        <x:v>46082</x:v>
      </x:c>
      <x:c r="H452" t="str">
        <x:f>IF(D452="NO",IF(C452="SÍ","FERIADO","FIN DE SEMANA"),"LABORABLE")&amp;IF(F452="SÍ"," + CIERRE","")</x:f>
        <x:v>LABORABLE</x:v>
      </x:c>
      <x:c r="I452" t="str">
        <x:f>TEXT(G452,"yyyy-mm")</x:f>
        <x:v>2026-03</x:v>
      </x:c>
    </x:row>
    <x:row r="453" ht="19" customHeight="1">
      <x:c r="A453" s="2" t="n">
        <x:v>46109</x:v>
      </x:c>
      <x:c r="B453" t="str">
        <x:f>CHOOSE(WEEKDAY(A453,2),"Lunes","Martes","Miércoles","Jueves","Viernes","Sábado","Domingo")</x:f>
        <x:v>Sábado</x:v>
      </x:c>
      <x:c r="C453" t="str">
        <x:f>IF(COUNTIF(FERIADOS!$A$2:$A$250,A453)&gt;0,"SÍ","NO")</x:f>
        <x:v>NO</x:v>
      </x:c>
      <x:c r="D453" t="str">
        <x:f>IF(AND(WEEKDAY(A453,2)&lt;=5,C453="NO"),"SÍ","NO")</x:f>
        <x:v>NO</x:v>
      </x:c>
      <x:c r="E453" s="2" t="n">
        <x:f>WORKDAY.INTL(A453-1,1,1,FERIADOS!$A$2:$A$250)</x:f>
        <x:v>46111</x:v>
      </x:c>
      <x:c r="F453" t="str">
        <x:f>IF(E453&gt;=WORKDAY.INTL(EOMONTH(E453,0)+1,-2,1,FERIADOS!$A$2:$A$250),"SÍ","NO")</x:f>
        <x:v>SÍ</x:v>
      </x:c>
      <x:c r="G453" s="10" t="n">
        <x:f>IF(F453="SÍ",EOMONTH(E453,0)+1,DATE(YEAR(E453),MONTH(E453),1))</x:f>
        <x:v>46113</x:v>
      </x:c>
      <x:c r="H453" t="str">
        <x:f>IF(D453="NO",IF(C453="SÍ","FERIADO","FIN DE SEMANA"),"LABORABLE")&amp;IF(F453="SÍ"," + CIERRE","")</x:f>
        <x:v>FIN DE SEMANA + CIERRE</x:v>
      </x:c>
      <x:c r="I453" t="str">
        <x:f>TEXT(G453,"yyyy-mm")</x:f>
        <x:v>2026-04</x:v>
      </x:c>
    </x:row>
    <x:row r="454" ht="19" customHeight="1">
      <x:c r="A454" s="2" t="n">
        <x:v>46110</x:v>
      </x:c>
      <x:c r="B454" t="str">
        <x:f>CHOOSE(WEEKDAY(A454,2),"Lunes","Martes","Miércoles","Jueves","Viernes","Sábado","Domingo")</x:f>
        <x:v>Domingo</x:v>
      </x:c>
      <x:c r="C454" t="str">
        <x:f>IF(COUNTIF(FERIADOS!$A$2:$A$250,A454)&gt;0,"SÍ","NO")</x:f>
        <x:v>NO</x:v>
      </x:c>
      <x:c r="D454" t="str">
        <x:f>IF(AND(WEEKDAY(A454,2)&lt;=5,C454="NO"),"SÍ","NO")</x:f>
        <x:v>NO</x:v>
      </x:c>
      <x:c r="E454" s="2" t="n">
        <x:f>WORKDAY.INTL(A454-1,1,1,FERIADOS!$A$2:$A$250)</x:f>
        <x:v>46111</x:v>
      </x:c>
      <x:c r="F454" t="str">
        <x:f>IF(E454&gt;=WORKDAY.INTL(EOMONTH(E454,0)+1,-2,1,FERIADOS!$A$2:$A$250),"SÍ","NO")</x:f>
        <x:v>SÍ</x:v>
      </x:c>
      <x:c r="G454" s="10" t="n">
        <x:f>IF(F454="SÍ",EOMONTH(E454,0)+1,DATE(YEAR(E454),MONTH(E454),1))</x:f>
        <x:v>46113</x:v>
      </x:c>
      <x:c r="H454" t="str">
        <x:f>IF(D454="NO",IF(C454="SÍ","FERIADO","FIN DE SEMANA"),"LABORABLE")&amp;IF(F454="SÍ"," + CIERRE","")</x:f>
        <x:v>FIN DE SEMANA + CIERRE</x:v>
      </x:c>
      <x:c r="I454" t="str">
        <x:f>TEXT(G454,"yyyy-mm")</x:f>
        <x:v>2026-04</x:v>
      </x:c>
    </x:row>
    <x:row r="455" ht="19" customHeight="1">
      <x:c r="A455" s="2" t="n">
        <x:v>46111</x:v>
      </x:c>
      <x:c r="B455" t="str">
        <x:f>CHOOSE(WEEKDAY(A455,2),"Lunes","Martes","Miércoles","Jueves","Viernes","Sábado","Domingo")</x:f>
        <x:v>Lunes</x:v>
      </x:c>
      <x:c r="C455" t="str">
        <x:f>IF(COUNTIF(FERIADOS!$A$2:$A$250,A455)&gt;0,"SÍ","NO")</x:f>
        <x:v>NO</x:v>
      </x:c>
      <x:c r="D455" t="str">
        <x:f>IF(AND(WEEKDAY(A455,2)&lt;=5,C455="NO"),"SÍ","NO")</x:f>
        <x:v>SÍ</x:v>
      </x:c>
      <x:c r="E455" s="2" t="n">
        <x:f>WORKDAY.INTL(A455-1,1,1,FERIADOS!$A$2:$A$250)</x:f>
        <x:v>46111</x:v>
      </x:c>
      <x:c r="F455" t="str">
        <x:f>IF(E455&gt;=WORKDAY.INTL(EOMONTH(E455,0)+1,-2,1,FERIADOS!$A$2:$A$250),"SÍ","NO")</x:f>
        <x:v>SÍ</x:v>
      </x:c>
      <x:c r="G455" s="10" t="n">
        <x:f>IF(F455="SÍ",EOMONTH(E455,0)+1,DATE(YEAR(E455),MONTH(E455),1))</x:f>
        <x:v>46113</x:v>
      </x:c>
      <x:c r="H455" t="str">
        <x:f>IF(D455="NO",IF(C455="SÍ","FERIADO","FIN DE SEMANA"),"LABORABLE")&amp;IF(F455="SÍ"," + CIERRE","")</x:f>
        <x:v>LABORABLE + CIERRE</x:v>
      </x:c>
      <x:c r="I455" t="str">
        <x:f>TEXT(G455,"yyyy-mm")</x:f>
        <x:v>2026-04</x:v>
      </x:c>
    </x:row>
    <x:row r="456" ht="19" customHeight="1">
      <x:c r="A456" s="2" t="n">
        <x:v>46112</x:v>
      </x:c>
      <x:c r="B456" t="str">
        <x:f>CHOOSE(WEEKDAY(A456,2),"Lunes","Martes","Miércoles","Jueves","Viernes","Sábado","Domingo")</x:f>
        <x:v>Martes</x:v>
      </x:c>
      <x:c r="C456" t="str">
        <x:f>IF(COUNTIF(FERIADOS!$A$2:$A$250,A456)&gt;0,"SÍ","NO")</x:f>
        <x:v>NO</x:v>
      </x:c>
      <x:c r="D456" t="str">
        <x:f>IF(AND(WEEKDAY(A456,2)&lt;=5,C456="NO"),"SÍ","NO")</x:f>
        <x:v>SÍ</x:v>
      </x:c>
      <x:c r="E456" s="2" t="n">
        <x:f>WORKDAY.INTL(A456-1,1,1,FERIADOS!$A$2:$A$250)</x:f>
        <x:v>46112</x:v>
      </x:c>
      <x:c r="F456" t="str">
        <x:f>IF(E456&gt;=WORKDAY.INTL(EOMONTH(E456,0)+1,-2,1,FERIADOS!$A$2:$A$250),"SÍ","NO")</x:f>
        <x:v>SÍ</x:v>
      </x:c>
      <x:c r="G456" s="10" t="n">
        <x:f>IF(F456="SÍ",EOMONTH(E456,0)+1,DATE(YEAR(E456),MONTH(E456),1))</x:f>
        <x:v>46113</x:v>
      </x:c>
      <x:c r="H456" t="str">
        <x:f>IF(D456="NO",IF(C456="SÍ","FERIADO","FIN DE SEMANA"),"LABORABLE")&amp;IF(F456="SÍ"," + CIERRE","")</x:f>
        <x:v>LABORABLE + CIERRE</x:v>
      </x:c>
      <x:c r="I456" t="str">
        <x:f>TEXT(G456,"yyyy-mm")</x:f>
        <x:v>2026-04</x:v>
      </x:c>
    </x:row>
    <x:row r="457" ht="19" customHeight="1">
      <x:c r="A457" s="2" t="n">
        <x:v>46113</x:v>
      </x:c>
      <x:c r="B457" t="str">
        <x:f>CHOOSE(WEEKDAY(A457,2),"Lunes","Martes","Miércoles","Jueves","Viernes","Sábado","Domingo")</x:f>
        <x:v>Miércoles</x:v>
      </x:c>
      <x:c r="C457" t="str">
        <x:f>IF(COUNTIF(FERIADOS!$A$2:$A$250,A457)&gt;0,"SÍ","NO")</x:f>
        <x:v>NO</x:v>
      </x:c>
      <x:c r="D457" t="str">
        <x:f>IF(AND(WEEKDAY(A457,2)&lt;=5,C457="NO"),"SÍ","NO")</x:f>
        <x:v>SÍ</x:v>
      </x:c>
      <x:c r="E457" s="2" t="n">
        <x:f>WORKDAY.INTL(A457-1,1,1,FERIADOS!$A$2:$A$250)</x:f>
        <x:v>46113</x:v>
      </x:c>
      <x:c r="F457" t="str">
        <x:f>IF(E457&gt;=WORKDAY.INTL(EOMONTH(E457,0)+1,-2,1,FERIADOS!$A$2:$A$250),"SÍ","NO")</x:f>
        <x:v>NO</x:v>
      </x:c>
      <x:c r="G457" s="10" t="n">
        <x:f>IF(F457="SÍ",EOMONTH(E457,0)+1,DATE(YEAR(E457),MONTH(E457),1))</x:f>
        <x:v>46113</x:v>
      </x:c>
      <x:c r="H457" t="str">
        <x:f>IF(D457="NO",IF(C457="SÍ","FERIADO","FIN DE SEMANA"),"LABORABLE")&amp;IF(F457="SÍ"," + CIERRE","")</x:f>
        <x:v>LABORABLE</x:v>
      </x:c>
      <x:c r="I457" t="str">
        <x:f>TEXT(G457,"yyyy-mm")</x:f>
        <x:v>2026-04</x:v>
      </x:c>
    </x:row>
    <x:row r="458" ht="19" customHeight="1">
      <x:c r="A458" s="2" t="n">
        <x:v>46114</x:v>
      </x:c>
      <x:c r="B458" t="str">
        <x:f>CHOOSE(WEEKDAY(A458,2),"Lunes","Martes","Miércoles","Jueves","Viernes","Sábado","Domingo")</x:f>
        <x:v>Jueves</x:v>
      </x:c>
      <x:c r="C458" t="str">
        <x:f>IF(COUNTIF(FERIADOS!$A$2:$A$250,A458)&gt;0,"SÍ","NO")</x:f>
        <x:v>NO</x:v>
      </x:c>
      <x:c r="D458" t="str">
        <x:f>IF(AND(WEEKDAY(A458,2)&lt;=5,C458="NO"),"SÍ","NO")</x:f>
        <x:v>SÍ</x:v>
      </x:c>
      <x:c r="E458" s="2" t="n">
        <x:f>WORKDAY.INTL(A458-1,1,1,FERIADOS!$A$2:$A$250)</x:f>
        <x:v>46114</x:v>
      </x:c>
      <x:c r="F458" t="str">
        <x:f>IF(E458&gt;=WORKDAY.INTL(EOMONTH(E458,0)+1,-2,1,FERIADOS!$A$2:$A$250),"SÍ","NO")</x:f>
        <x:v>NO</x:v>
      </x:c>
      <x:c r="G458" s="10" t="n">
        <x:f>IF(F458="SÍ",EOMONTH(E458,0)+1,DATE(YEAR(E458),MONTH(E458),1))</x:f>
        <x:v>46113</x:v>
      </x:c>
      <x:c r="H458" t="str">
        <x:f>IF(D458="NO",IF(C458="SÍ","FERIADO","FIN DE SEMANA"),"LABORABLE")&amp;IF(F458="SÍ"," + CIERRE","")</x:f>
        <x:v>LABORABLE</x:v>
      </x:c>
      <x:c r="I458" t="str">
        <x:f>TEXT(G458,"yyyy-mm")</x:f>
        <x:v>2026-04</x:v>
      </x:c>
    </x:row>
    <x:row r="459" ht="19" customHeight="1">
      <x:c r="A459" s="2" t="n">
        <x:v>46115</x:v>
      </x:c>
      <x:c r="B459" t="str">
        <x:f>CHOOSE(WEEKDAY(A459,2),"Lunes","Martes","Miércoles","Jueves","Viernes","Sábado","Domingo")</x:f>
        <x:v>Viernes</x:v>
      </x:c>
      <x:c r="C459" t="str">
        <x:f>IF(COUNTIF(FERIADOS!$A$2:$A$250,A459)&gt;0,"SÍ","NO")</x:f>
        <x:v>SÍ</x:v>
      </x:c>
      <x:c r="D459" t="str">
        <x:f>IF(AND(WEEKDAY(A459,2)&lt;=5,C459="NO"),"SÍ","NO")</x:f>
        <x:v>NO</x:v>
      </x:c>
      <x:c r="E459" s="2" t="n">
        <x:f>WORKDAY.INTL(A459-1,1,1,FERIADOS!$A$2:$A$250)</x:f>
        <x:v>46118</x:v>
      </x:c>
      <x:c r="F459" t="str">
        <x:f>IF(E459&gt;=WORKDAY.INTL(EOMONTH(E459,0)+1,-2,1,FERIADOS!$A$2:$A$250),"SÍ","NO")</x:f>
        <x:v>NO</x:v>
      </x:c>
      <x:c r="G459" s="10" t="n">
        <x:f>IF(F459="SÍ",EOMONTH(E459,0)+1,DATE(YEAR(E459),MONTH(E459),1))</x:f>
        <x:v>46113</x:v>
      </x:c>
      <x:c r="H459" t="str">
        <x:f>IF(D459="NO",IF(C459="SÍ","FERIADO","FIN DE SEMANA"),"LABORABLE")&amp;IF(F459="SÍ"," + CIERRE","")</x:f>
        <x:v>FERIADO</x:v>
      </x:c>
      <x:c r="I459" t="str">
        <x:f>TEXT(G459,"yyyy-mm")</x:f>
        <x:v>2026-04</x:v>
      </x:c>
    </x:row>
    <x:row r="460" ht="19" customHeight="1">
      <x:c r="A460" s="2" t="n">
        <x:v>46116</x:v>
      </x:c>
      <x:c r="B460" t="str">
        <x:f>CHOOSE(WEEKDAY(A460,2),"Lunes","Martes","Miércoles","Jueves","Viernes","Sábado","Domingo")</x:f>
        <x:v>Sábado</x:v>
      </x:c>
      <x:c r="C460" t="str">
        <x:f>IF(COUNTIF(FERIADOS!$A$2:$A$250,A460)&gt;0,"SÍ","NO")</x:f>
        <x:v>NO</x:v>
      </x:c>
      <x:c r="D460" t="str">
        <x:f>IF(AND(WEEKDAY(A460,2)&lt;=5,C460="NO"),"SÍ","NO")</x:f>
        <x:v>NO</x:v>
      </x:c>
      <x:c r="E460" s="2" t="n">
        <x:f>WORKDAY.INTL(A460-1,1,1,FERIADOS!$A$2:$A$250)</x:f>
        <x:v>46118</x:v>
      </x:c>
      <x:c r="F460" t="str">
        <x:f>IF(E460&gt;=WORKDAY.INTL(EOMONTH(E460,0)+1,-2,1,FERIADOS!$A$2:$A$250),"SÍ","NO")</x:f>
        <x:v>NO</x:v>
      </x:c>
      <x:c r="G460" s="10" t="n">
        <x:f>IF(F460="SÍ",EOMONTH(E460,0)+1,DATE(YEAR(E460),MONTH(E460),1))</x:f>
        <x:v>46113</x:v>
      </x:c>
      <x:c r="H460" t="str">
        <x:f>IF(D460="NO",IF(C460="SÍ","FERIADO","FIN DE SEMANA"),"LABORABLE")&amp;IF(F460="SÍ"," + CIERRE","")</x:f>
        <x:v>FIN DE SEMANA</x:v>
      </x:c>
      <x:c r="I460" t="str">
        <x:f>TEXT(G460,"yyyy-mm")</x:f>
        <x:v>2026-04</x:v>
      </x:c>
    </x:row>
    <x:row r="461" ht="19" customHeight="1">
      <x:c r="A461" s="2" t="n">
        <x:v>46117</x:v>
      </x:c>
      <x:c r="B461" t="str">
        <x:f>CHOOSE(WEEKDAY(A461,2),"Lunes","Martes","Miércoles","Jueves","Viernes","Sábado","Domingo")</x:f>
        <x:v>Domingo</x:v>
      </x:c>
      <x:c r="C461" t="str">
        <x:f>IF(COUNTIF(FERIADOS!$A$2:$A$250,A461)&gt;0,"SÍ","NO")</x:f>
        <x:v>NO</x:v>
      </x:c>
      <x:c r="D461" t="str">
        <x:f>IF(AND(WEEKDAY(A461,2)&lt;=5,C461="NO"),"SÍ","NO")</x:f>
        <x:v>NO</x:v>
      </x:c>
      <x:c r="E461" s="2" t="n">
        <x:f>WORKDAY.INTL(A461-1,1,1,FERIADOS!$A$2:$A$250)</x:f>
        <x:v>46118</x:v>
      </x:c>
      <x:c r="F461" t="str">
        <x:f>IF(E461&gt;=WORKDAY.INTL(EOMONTH(E461,0)+1,-2,1,FERIADOS!$A$2:$A$250),"SÍ","NO")</x:f>
        <x:v>NO</x:v>
      </x:c>
      <x:c r="G461" s="10" t="n">
        <x:f>IF(F461="SÍ",EOMONTH(E461,0)+1,DATE(YEAR(E461),MONTH(E461),1))</x:f>
        <x:v>46113</x:v>
      </x:c>
      <x:c r="H461" t="str">
        <x:f>IF(D461="NO",IF(C461="SÍ","FERIADO","FIN DE SEMANA"),"LABORABLE")&amp;IF(F461="SÍ"," + CIERRE","")</x:f>
        <x:v>FIN DE SEMANA</x:v>
      </x:c>
      <x:c r="I461" t="str">
        <x:f>TEXT(G461,"yyyy-mm")</x:f>
        <x:v>2026-04</x:v>
      </x:c>
    </x:row>
    <x:row r="462" ht="19" customHeight="1">
      <x:c r="A462" s="2" t="n">
        <x:v>46118</x:v>
      </x:c>
      <x:c r="B462" t="str">
        <x:f>CHOOSE(WEEKDAY(A462,2),"Lunes","Martes","Miércoles","Jueves","Viernes","Sábado","Domingo")</x:f>
        <x:v>Lunes</x:v>
      </x:c>
      <x:c r="C462" t="str">
        <x:f>IF(COUNTIF(FERIADOS!$A$2:$A$250,A462)&gt;0,"SÍ","NO")</x:f>
        <x:v>NO</x:v>
      </x:c>
      <x:c r="D462" t="str">
        <x:f>IF(AND(WEEKDAY(A462,2)&lt;=5,C462="NO"),"SÍ","NO")</x:f>
        <x:v>SÍ</x:v>
      </x:c>
      <x:c r="E462" s="2" t="n">
        <x:f>WORKDAY.INTL(A462-1,1,1,FERIADOS!$A$2:$A$250)</x:f>
        <x:v>46118</x:v>
      </x:c>
      <x:c r="F462" t="str">
        <x:f>IF(E462&gt;=WORKDAY.INTL(EOMONTH(E462,0)+1,-2,1,FERIADOS!$A$2:$A$250),"SÍ","NO")</x:f>
        <x:v>NO</x:v>
      </x:c>
      <x:c r="G462" s="10" t="n">
        <x:f>IF(F462="SÍ",EOMONTH(E462,0)+1,DATE(YEAR(E462),MONTH(E462),1))</x:f>
        <x:v>46113</x:v>
      </x:c>
      <x:c r="H462" t="str">
        <x:f>IF(D462="NO",IF(C462="SÍ","FERIADO","FIN DE SEMANA"),"LABORABLE")&amp;IF(F462="SÍ"," + CIERRE","")</x:f>
        <x:v>LABORABLE</x:v>
      </x:c>
      <x:c r="I462" t="str">
        <x:f>TEXT(G462,"yyyy-mm")</x:f>
        <x:v>2026-04</x:v>
      </x:c>
    </x:row>
    <x:row r="463" ht="19" customHeight="1">
      <x:c r="A463" s="2" t="n">
        <x:v>46119</x:v>
      </x:c>
      <x:c r="B463" t="str">
        <x:f>CHOOSE(WEEKDAY(A463,2),"Lunes","Martes","Miércoles","Jueves","Viernes","Sábado","Domingo")</x:f>
        <x:v>Martes</x:v>
      </x:c>
      <x:c r="C463" t="str">
        <x:f>IF(COUNTIF(FERIADOS!$A$2:$A$250,A463)&gt;0,"SÍ","NO")</x:f>
        <x:v>NO</x:v>
      </x:c>
      <x:c r="D463" t="str">
        <x:f>IF(AND(WEEKDAY(A463,2)&lt;=5,C463="NO"),"SÍ","NO")</x:f>
        <x:v>SÍ</x:v>
      </x:c>
      <x:c r="E463" s="2" t="n">
        <x:f>WORKDAY.INTL(A463-1,1,1,FERIADOS!$A$2:$A$250)</x:f>
        <x:v>46119</x:v>
      </x:c>
      <x:c r="F463" t="str">
        <x:f>IF(E463&gt;=WORKDAY.INTL(EOMONTH(E463,0)+1,-2,1,FERIADOS!$A$2:$A$250),"SÍ","NO")</x:f>
        <x:v>NO</x:v>
      </x:c>
      <x:c r="G463" s="10" t="n">
        <x:f>IF(F463="SÍ",EOMONTH(E463,0)+1,DATE(YEAR(E463),MONTH(E463),1))</x:f>
        <x:v>46113</x:v>
      </x:c>
      <x:c r="H463" t="str">
        <x:f>IF(D463="NO",IF(C463="SÍ","FERIADO","FIN DE SEMANA"),"LABORABLE")&amp;IF(F463="SÍ"," + CIERRE","")</x:f>
        <x:v>LABORABLE</x:v>
      </x:c>
      <x:c r="I463" t="str">
        <x:f>TEXT(G463,"yyyy-mm")</x:f>
        <x:v>2026-04</x:v>
      </x:c>
    </x:row>
    <x:row r="464" ht="19" customHeight="1">
      <x:c r="A464" s="2" t="n">
        <x:v>46120</x:v>
      </x:c>
      <x:c r="B464" t="str">
        <x:f>CHOOSE(WEEKDAY(A464,2),"Lunes","Martes","Miércoles","Jueves","Viernes","Sábado","Domingo")</x:f>
        <x:v>Miércoles</x:v>
      </x:c>
      <x:c r="C464" t="str">
        <x:f>IF(COUNTIF(FERIADOS!$A$2:$A$250,A464)&gt;0,"SÍ","NO")</x:f>
        <x:v>NO</x:v>
      </x:c>
      <x:c r="D464" t="str">
        <x:f>IF(AND(WEEKDAY(A464,2)&lt;=5,C464="NO"),"SÍ","NO")</x:f>
        <x:v>SÍ</x:v>
      </x:c>
      <x:c r="E464" s="2" t="n">
        <x:f>WORKDAY.INTL(A464-1,1,1,FERIADOS!$A$2:$A$250)</x:f>
        <x:v>46120</x:v>
      </x:c>
      <x:c r="F464" t="str">
        <x:f>IF(E464&gt;=WORKDAY.INTL(EOMONTH(E464,0)+1,-2,1,FERIADOS!$A$2:$A$250),"SÍ","NO")</x:f>
        <x:v>NO</x:v>
      </x:c>
      <x:c r="G464" s="10" t="n">
        <x:f>IF(F464="SÍ",EOMONTH(E464,0)+1,DATE(YEAR(E464),MONTH(E464),1))</x:f>
        <x:v>46113</x:v>
      </x:c>
      <x:c r="H464" t="str">
        <x:f>IF(D464="NO",IF(C464="SÍ","FERIADO","FIN DE SEMANA"),"LABORABLE")&amp;IF(F464="SÍ"," + CIERRE","")</x:f>
        <x:v>LABORABLE</x:v>
      </x:c>
      <x:c r="I464" t="str">
        <x:f>TEXT(G464,"yyyy-mm")</x:f>
        <x:v>2026-04</x:v>
      </x:c>
    </x:row>
    <x:row r="465" ht="19" customHeight="1">
      <x:c r="A465" s="2" t="n">
        <x:v>46121</x:v>
      </x:c>
      <x:c r="B465" t="str">
        <x:f>CHOOSE(WEEKDAY(A465,2),"Lunes","Martes","Miércoles","Jueves","Viernes","Sábado","Domingo")</x:f>
        <x:v>Jueves</x:v>
      </x:c>
      <x:c r="C465" t="str">
        <x:f>IF(COUNTIF(FERIADOS!$A$2:$A$250,A465)&gt;0,"SÍ","NO")</x:f>
        <x:v>NO</x:v>
      </x:c>
      <x:c r="D465" t="str">
        <x:f>IF(AND(WEEKDAY(A465,2)&lt;=5,C465="NO"),"SÍ","NO")</x:f>
        <x:v>SÍ</x:v>
      </x:c>
      <x:c r="E465" s="2" t="n">
        <x:f>WORKDAY.INTL(A465-1,1,1,FERIADOS!$A$2:$A$250)</x:f>
        <x:v>46121</x:v>
      </x:c>
      <x:c r="F465" t="str">
        <x:f>IF(E465&gt;=WORKDAY.INTL(EOMONTH(E465,0)+1,-2,1,FERIADOS!$A$2:$A$250),"SÍ","NO")</x:f>
        <x:v>NO</x:v>
      </x:c>
      <x:c r="G465" s="10" t="n">
        <x:f>IF(F465="SÍ",EOMONTH(E465,0)+1,DATE(YEAR(E465),MONTH(E465),1))</x:f>
        <x:v>46113</x:v>
      </x:c>
      <x:c r="H465" t="str">
        <x:f>IF(D465="NO",IF(C465="SÍ","FERIADO","FIN DE SEMANA"),"LABORABLE")&amp;IF(F465="SÍ"," + CIERRE","")</x:f>
        <x:v>LABORABLE</x:v>
      </x:c>
      <x:c r="I465" t="str">
        <x:f>TEXT(G465,"yyyy-mm")</x:f>
        <x:v>2026-04</x:v>
      </x:c>
    </x:row>
    <x:row r="466" ht="19" customHeight="1">
      <x:c r="A466" s="2" t="n">
        <x:v>46122</x:v>
      </x:c>
      <x:c r="B466" t="str">
        <x:f>CHOOSE(WEEKDAY(A466,2),"Lunes","Martes","Miércoles","Jueves","Viernes","Sábado","Domingo")</x:f>
        <x:v>Viernes</x:v>
      </x:c>
      <x:c r="C466" t="str">
        <x:f>IF(COUNTIF(FERIADOS!$A$2:$A$250,A466)&gt;0,"SÍ","NO")</x:f>
        <x:v>NO</x:v>
      </x:c>
      <x:c r="D466" t="str">
        <x:f>IF(AND(WEEKDAY(A466,2)&lt;=5,C466="NO"),"SÍ","NO")</x:f>
        <x:v>SÍ</x:v>
      </x:c>
      <x:c r="E466" s="2" t="n">
        <x:f>WORKDAY.INTL(A466-1,1,1,FERIADOS!$A$2:$A$250)</x:f>
        <x:v>46122</x:v>
      </x:c>
      <x:c r="F466" t="str">
        <x:f>IF(E466&gt;=WORKDAY.INTL(EOMONTH(E466,0)+1,-2,1,FERIADOS!$A$2:$A$250),"SÍ","NO")</x:f>
        <x:v>NO</x:v>
      </x:c>
      <x:c r="G466" s="10" t="n">
        <x:f>IF(F466="SÍ",EOMONTH(E466,0)+1,DATE(YEAR(E466),MONTH(E466),1))</x:f>
        <x:v>46113</x:v>
      </x:c>
      <x:c r="H466" t="str">
        <x:f>IF(D466="NO",IF(C466="SÍ","FERIADO","FIN DE SEMANA"),"LABORABLE")&amp;IF(F466="SÍ"," + CIERRE","")</x:f>
        <x:v>LABORABLE</x:v>
      </x:c>
      <x:c r="I466" t="str">
        <x:f>TEXT(G466,"yyyy-mm")</x:f>
        <x:v>2026-04</x:v>
      </x:c>
    </x:row>
    <x:row r="467" ht="19" customHeight="1">
      <x:c r="A467" s="2" t="n">
        <x:v>46123</x:v>
      </x:c>
      <x:c r="B467" t="str">
        <x:f>CHOOSE(WEEKDAY(A467,2),"Lunes","Martes","Miércoles","Jueves","Viernes","Sábado","Domingo")</x:f>
        <x:v>Sábado</x:v>
      </x:c>
      <x:c r="C467" t="str">
        <x:f>IF(COUNTIF(FERIADOS!$A$2:$A$250,A467)&gt;0,"SÍ","NO")</x:f>
        <x:v>NO</x:v>
      </x:c>
      <x:c r="D467" t="str">
        <x:f>IF(AND(WEEKDAY(A467,2)&lt;=5,C467="NO"),"SÍ","NO")</x:f>
        <x:v>NO</x:v>
      </x:c>
      <x:c r="E467" s="2" t="n">
        <x:f>WORKDAY.INTL(A467-1,1,1,FERIADOS!$A$2:$A$250)</x:f>
        <x:v>46125</x:v>
      </x:c>
      <x:c r="F467" t="str">
        <x:f>IF(E467&gt;=WORKDAY.INTL(EOMONTH(E467,0)+1,-2,1,FERIADOS!$A$2:$A$250),"SÍ","NO")</x:f>
        <x:v>NO</x:v>
      </x:c>
      <x:c r="G467" s="10" t="n">
        <x:f>IF(F467="SÍ",EOMONTH(E467,0)+1,DATE(YEAR(E467),MONTH(E467),1))</x:f>
        <x:v>46113</x:v>
      </x:c>
      <x:c r="H467" t="str">
        <x:f>IF(D467="NO",IF(C467="SÍ","FERIADO","FIN DE SEMANA"),"LABORABLE")&amp;IF(F467="SÍ"," + CIERRE","")</x:f>
        <x:v>FIN DE SEMANA</x:v>
      </x:c>
      <x:c r="I467" t="str">
        <x:f>TEXT(G467,"yyyy-mm")</x:f>
        <x:v>2026-04</x:v>
      </x:c>
    </x:row>
    <x:row r="468" ht="19" customHeight="1">
      <x:c r="A468" s="2" t="n">
        <x:v>46124</x:v>
      </x:c>
      <x:c r="B468" t="str">
        <x:f>CHOOSE(WEEKDAY(A468,2),"Lunes","Martes","Miércoles","Jueves","Viernes","Sábado","Domingo")</x:f>
        <x:v>Domingo</x:v>
      </x:c>
      <x:c r="C468" t="str">
        <x:f>IF(COUNTIF(FERIADOS!$A$2:$A$250,A468)&gt;0,"SÍ","NO")</x:f>
        <x:v>NO</x:v>
      </x:c>
      <x:c r="D468" t="str">
        <x:f>IF(AND(WEEKDAY(A468,2)&lt;=5,C468="NO"),"SÍ","NO")</x:f>
        <x:v>NO</x:v>
      </x:c>
      <x:c r="E468" s="2" t="n">
        <x:f>WORKDAY.INTL(A468-1,1,1,FERIADOS!$A$2:$A$250)</x:f>
        <x:v>46125</x:v>
      </x:c>
      <x:c r="F468" t="str">
        <x:f>IF(E468&gt;=WORKDAY.INTL(EOMONTH(E468,0)+1,-2,1,FERIADOS!$A$2:$A$250),"SÍ","NO")</x:f>
        <x:v>NO</x:v>
      </x:c>
      <x:c r="G468" s="10" t="n">
        <x:f>IF(F468="SÍ",EOMONTH(E468,0)+1,DATE(YEAR(E468),MONTH(E468),1))</x:f>
        <x:v>46113</x:v>
      </x:c>
      <x:c r="H468" t="str">
        <x:f>IF(D468="NO",IF(C468="SÍ","FERIADO","FIN DE SEMANA"),"LABORABLE")&amp;IF(F468="SÍ"," + CIERRE","")</x:f>
        <x:v>FIN DE SEMANA</x:v>
      </x:c>
      <x:c r="I468" t="str">
        <x:f>TEXT(G468,"yyyy-mm")</x:f>
        <x:v>2026-04</x:v>
      </x:c>
    </x:row>
    <x:row r="469" ht="19" customHeight="1">
      <x:c r="A469" s="2" t="n">
        <x:v>46125</x:v>
      </x:c>
      <x:c r="B469" t="str">
        <x:f>CHOOSE(WEEKDAY(A469,2),"Lunes","Martes","Miércoles","Jueves","Viernes","Sábado","Domingo")</x:f>
        <x:v>Lunes</x:v>
      </x:c>
      <x:c r="C469" t="str">
        <x:f>IF(COUNTIF(FERIADOS!$A$2:$A$250,A469)&gt;0,"SÍ","NO")</x:f>
        <x:v>NO</x:v>
      </x:c>
      <x:c r="D469" t="str">
        <x:f>IF(AND(WEEKDAY(A469,2)&lt;=5,C469="NO"),"SÍ","NO")</x:f>
        <x:v>SÍ</x:v>
      </x:c>
      <x:c r="E469" s="2" t="n">
        <x:f>WORKDAY.INTL(A469-1,1,1,FERIADOS!$A$2:$A$250)</x:f>
        <x:v>46125</x:v>
      </x:c>
      <x:c r="F469" t="str">
        <x:f>IF(E469&gt;=WORKDAY.INTL(EOMONTH(E469,0)+1,-2,1,FERIADOS!$A$2:$A$250),"SÍ","NO")</x:f>
        <x:v>NO</x:v>
      </x:c>
      <x:c r="G469" s="10" t="n">
        <x:f>IF(F469="SÍ",EOMONTH(E469,0)+1,DATE(YEAR(E469),MONTH(E469),1))</x:f>
        <x:v>46113</x:v>
      </x:c>
      <x:c r="H469" t="str">
        <x:f>IF(D469="NO",IF(C469="SÍ","FERIADO","FIN DE SEMANA"),"LABORABLE")&amp;IF(F469="SÍ"," + CIERRE","")</x:f>
        <x:v>LABORABLE</x:v>
      </x:c>
      <x:c r="I469" t="str">
        <x:f>TEXT(G469,"yyyy-mm")</x:f>
        <x:v>2026-04</x:v>
      </x:c>
    </x:row>
    <x:row r="470" ht="19" customHeight="1">
      <x:c r="A470" s="2" t="n">
        <x:v>46126</x:v>
      </x:c>
      <x:c r="B470" t="str">
        <x:f>CHOOSE(WEEKDAY(A470,2),"Lunes","Martes","Miércoles","Jueves","Viernes","Sábado","Domingo")</x:f>
        <x:v>Martes</x:v>
      </x:c>
      <x:c r="C470" t="str">
        <x:f>IF(COUNTIF(FERIADOS!$A$2:$A$250,A470)&gt;0,"SÍ","NO")</x:f>
        <x:v>NO</x:v>
      </x:c>
      <x:c r="D470" t="str">
        <x:f>IF(AND(WEEKDAY(A470,2)&lt;=5,C470="NO"),"SÍ","NO")</x:f>
        <x:v>SÍ</x:v>
      </x:c>
      <x:c r="E470" s="2" t="n">
        <x:f>WORKDAY.INTL(A470-1,1,1,FERIADOS!$A$2:$A$250)</x:f>
        <x:v>46126</x:v>
      </x:c>
      <x:c r="F470" t="str">
        <x:f>IF(E470&gt;=WORKDAY.INTL(EOMONTH(E470,0)+1,-2,1,FERIADOS!$A$2:$A$250),"SÍ","NO")</x:f>
        <x:v>NO</x:v>
      </x:c>
      <x:c r="G470" s="10" t="n">
        <x:f>IF(F470="SÍ",EOMONTH(E470,0)+1,DATE(YEAR(E470),MONTH(E470),1))</x:f>
        <x:v>46113</x:v>
      </x:c>
      <x:c r="H470" t="str">
        <x:f>IF(D470="NO",IF(C470="SÍ","FERIADO","FIN DE SEMANA"),"LABORABLE")&amp;IF(F470="SÍ"," + CIERRE","")</x:f>
        <x:v>LABORABLE</x:v>
      </x:c>
      <x:c r="I470" t="str">
        <x:f>TEXT(G470,"yyyy-mm")</x:f>
        <x:v>2026-04</x:v>
      </x:c>
    </x:row>
    <x:row r="471" ht="19" customHeight="1">
      <x:c r="A471" s="2" t="n">
        <x:v>46127</x:v>
      </x:c>
      <x:c r="B471" t="str">
        <x:f>CHOOSE(WEEKDAY(A471,2),"Lunes","Martes","Miércoles","Jueves","Viernes","Sábado","Domingo")</x:f>
        <x:v>Miércoles</x:v>
      </x:c>
      <x:c r="C471" t="str">
        <x:f>IF(COUNTIF(FERIADOS!$A$2:$A$250,A471)&gt;0,"SÍ","NO")</x:f>
        <x:v>NO</x:v>
      </x:c>
      <x:c r="D471" t="str">
        <x:f>IF(AND(WEEKDAY(A471,2)&lt;=5,C471="NO"),"SÍ","NO")</x:f>
        <x:v>SÍ</x:v>
      </x:c>
      <x:c r="E471" s="2" t="n">
        <x:f>WORKDAY.INTL(A471-1,1,1,FERIADOS!$A$2:$A$250)</x:f>
        <x:v>46127</x:v>
      </x:c>
      <x:c r="F471" t="str">
        <x:f>IF(E471&gt;=WORKDAY.INTL(EOMONTH(E471,0)+1,-2,1,FERIADOS!$A$2:$A$250),"SÍ","NO")</x:f>
        <x:v>NO</x:v>
      </x:c>
      <x:c r="G471" s="10" t="n">
        <x:f>IF(F471="SÍ",EOMONTH(E471,0)+1,DATE(YEAR(E471),MONTH(E471),1))</x:f>
        <x:v>46113</x:v>
      </x:c>
      <x:c r="H471" t="str">
        <x:f>IF(D471="NO",IF(C471="SÍ","FERIADO","FIN DE SEMANA"),"LABORABLE")&amp;IF(F471="SÍ"," + CIERRE","")</x:f>
        <x:v>LABORABLE</x:v>
      </x:c>
      <x:c r="I471" t="str">
        <x:f>TEXT(G471,"yyyy-mm")</x:f>
        <x:v>2026-04</x:v>
      </x:c>
    </x:row>
    <x:row r="472" ht="19" customHeight="1">
      <x:c r="A472" s="2" t="n">
        <x:v>46128</x:v>
      </x:c>
      <x:c r="B472" t="str">
        <x:f>CHOOSE(WEEKDAY(A472,2),"Lunes","Martes","Miércoles","Jueves","Viernes","Sábado","Domingo")</x:f>
        <x:v>Jueves</x:v>
      </x:c>
      <x:c r="C472" t="str">
        <x:f>IF(COUNTIF(FERIADOS!$A$2:$A$250,A472)&gt;0,"SÍ","NO")</x:f>
        <x:v>NO</x:v>
      </x:c>
      <x:c r="D472" t="str">
        <x:f>IF(AND(WEEKDAY(A472,2)&lt;=5,C472="NO"),"SÍ","NO")</x:f>
        <x:v>SÍ</x:v>
      </x:c>
      <x:c r="E472" s="2" t="n">
        <x:f>WORKDAY.INTL(A472-1,1,1,FERIADOS!$A$2:$A$250)</x:f>
        <x:v>46128</x:v>
      </x:c>
      <x:c r="F472" t="str">
        <x:f>IF(E472&gt;=WORKDAY.INTL(EOMONTH(E472,0)+1,-2,1,FERIADOS!$A$2:$A$250),"SÍ","NO")</x:f>
        <x:v>NO</x:v>
      </x:c>
      <x:c r="G472" s="10" t="n">
        <x:f>IF(F472="SÍ",EOMONTH(E472,0)+1,DATE(YEAR(E472),MONTH(E472),1))</x:f>
        <x:v>46113</x:v>
      </x:c>
      <x:c r="H472" t="str">
        <x:f>IF(D472="NO",IF(C472="SÍ","FERIADO","FIN DE SEMANA"),"LABORABLE")&amp;IF(F472="SÍ"," + CIERRE","")</x:f>
        <x:v>LABORABLE</x:v>
      </x:c>
      <x:c r="I472" t="str">
        <x:f>TEXT(G472,"yyyy-mm")</x:f>
        <x:v>2026-04</x:v>
      </x:c>
    </x:row>
    <x:row r="473" ht="19" customHeight="1">
      <x:c r="A473" s="2" t="n">
        <x:v>46129</x:v>
      </x:c>
      <x:c r="B473" t="str">
        <x:f>CHOOSE(WEEKDAY(A473,2),"Lunes","Martes","Miércoles","Jueves","Viernes","Sábado","Domingo")</x:f>
        <x:v>Viernes</x:v>
      </x:c>
      <x:c r="C473" t="str">
        <x:f>IF(COUNTIF(FERIADOS!$A$2:$A$250,A473)&gt;0,"SÍ","NO")</x:f>
        <x:v>NO</x:v>
      </x:c>
      <x:c r="D473" t="str">
        <x:f>IF(AND(WEEKDAY(A473,2)&lt;=5,C473="NO"),"SÍ","NO")</x:f>
        <x:v>SÍ</x:v>
      </x:c>
      <x:c r="E473" s="2" t="n">
        <x:f>WORKDAY.INTL(A473-1,1,1,FERIADOS!$A$2:$A$250)</x:f>
        <x:v>46129</x:v>
      </x:c>
      <x:c r="F473" t="str">
        <x:f>IF(E473&gt;=WORKDAY.INTL(EOMONTH(E473,0)+1,-2,1,FERIADOS!$A$2:$A$250),"SÍ","NO")</x:f>
        <x:v>NO</x:v>
      </x:c>
      <x:c r="G473" s="10" t="n">
        <x:f>IF(F473="SÍ",EOMONTH(E473,0)+1,DATE(YEAR(E473),MONTH(E473),1))</x:f>
        <x:v>46113</x:v>
      </x:c>
      <x:c r="H473" t="str">
        <x:f>IF(D473="NO",IF(C473="SÍ","FERIADO","FIN DE SEMANA"),"LABORABLE")&amp;IF(F473="SÍ"," + CIERRE","")</x:f>
        <x:v>LABORABLE</x:v>
      </x:c>
      <x:c r="I473" t="str">
        <x:f>TEXT(G473,"yyyy-mm")</x:f>
        <x:v>2026-04</x:v>
      </x:c>
    </x:row>
    <x:row r="474" ht="19" customHeight="1">
      <x:c r="A474" s="2" t="n">
        <x:v>46130</x:v>
      </x:c>
      <x:c r="B474" t="str">
        <x:f>CHOOSE(WEEKDAY(A474,2),"Lunes","Martes","Miércoles","Jueves","Viernes","Sábado","Domingo")</x:f>
        <x:v>Sábado</x:v>
      </x:c>
      <x:c r="C474" t="str">
        <x:f>IF(COUNTIF(FERIADOS!$A$2:$A$250,A474)&gt;0,"SÍ","NO")</x:f>
        <x:v>NO</x:v>
      </x:c>
      <x:c r="D474" t="str">
        <x:f>IF(AND(WEEKDAY(A474,2)&lt;=5,C474="NO"),"SÍ","NO")</x:f>
        <x:v>NO</x:v>
      </x:c>
      <x:c r="E474" s="2" t="n">
        <x:f>WORKDAY.INTL(A474-1,1,1,FERIADOS!$A$2:$A$250)</x:f>
        <x:v>46132</x:v>
      </x:c>
      <x:c r="F474" t="str">
        <x:f>IF(E474&gt;=WORKDAY.INTL(EOMONTH(E474,0)+1,-2,1,FERIADOS!$A$2:$A$250),"SÍ","NO")</x:f>
        <x:v>NO</x:v>
      </x:c>
      <x:c r="G474" s="10" t="n">
        <x:f>IF(F474="SÍ",EOMONTH(E474,0)+1,DATE(YEAR(E474),MONTH(E474),1))</x:f>
        <x:v>46113</x:v>
      </x:c>
      <x:c r="H474" t="str">
        <x:f>IF(D474="NO",IF(C474="SÍ","FERIADO","FIN DE SEMANA"),"LABORABLE")&amp;IF(F474="SÍ"," + CIERRE","")</x:f>
        <x:v>FIN DE SEMANA</x:v>
      </x:c>
      <x:c r="I474" t="str">
        <x:f>TEXT(G474,"yyyy-mm")</x:f>
        <x:v>2026-04</x:v>
      </x:c>
    </x:row>
    <x:row r="475" ht="19" customHeight="1">
      <x:c r="A475" s="2" t="n">
        <x:v>46131</x:v>
      </x:c>
      <x:c r="B475" t="str">
        <x:f>CHOOSE(WEEKDAY(A475,2),"Lunes","Martes","Miércoles","Jueves","Viernes","Sábado","Domingo")</x:f>
        <x:v>Domingo</x:v>
      </x:c>
      <x:c r="C475" t="str">
        <x:f>IF(COUNTIF(FERIADOS!$A$2:$A$250,A475)&gt;0,"SÍ","NO")</x:f>
        <x:v>NO</x:v>
      </x:c>
      <x:c r="D475" t="str">
        <x:f>IF(AND(WEEKDAY(A475,2)&lt;=5,C475="NO"),"SÍ","NO")</x:f>
        <x:v>NO</x:v>
      </x:c>
      <x:c r="E475" s="2" t="n">
        <x:f>WORKDAY.INTL(A475-1,1,1,FERIADOS!$A$2:$A$250)</x:f>
        <x:v>46132</x:v>
      </x:c>
      <x:c r="F475" t="str">
        <x:f>IF(E475&gt;=WORKDAY.INTL(EOMONTH(E475,0)+1,-2,1,FERIADOS!$A$2:$A$250),"SÍ","NO")</x:f>
        <x:v>NO</x:v>
      </x:c>
      <x:c r="G475" s="10" t="n">
        <x:f>IF(F475="SÍ",EOMONTH(E475,0)+1,DATE(YEAR(E475),MONTH(E475),1))</x:f>
        <x:v>46113</x:v>
      </x:c>
      <x:c r="H475" t="str">
        <x:f>IF(D475="NO",IF(C475="SÍ","FERIADO","FIN DE SEMANA"),"LABORABLE")&amp;IF(F475="SÍ"," + CIERRE","")</x:f>
        <x:v>FIN DE SEMANA</x:v>
      </x:c>
      <x:c r="I475" t="str">
        <x:f>TEXT(G475,"yyyy-mm")</x:f>
        <x:v>2026-04</x:v>
      </x:c>
    </x:row>
    <x:row r="476" ht="19" customHeight="1">
      <x:c r="A476" s="2" t="n">
        <x:v>46132</x:v>
      </x:c>
      <x:c r="B476" t="str">
        <x:f>CHOOSE(WEEKDAY(A476,2),"Lunes","Martes","Miércoles","Jueves","Viernes","Sábado","Domingo")</x:f>
        <x:v>Lunes</x:v>
      </x:c>
      <x:c r="C476" t="str">
        <x:f>IF(COUNTIF(FERIADOS!$A$2:$A$250,A476)&gt;0,"SÍ","NO")</x:f>
        <x:v>NO</x:v>
      </x:c>
      <x:c r="D476" t="str">
        <x:f>IF(AND(WEEKDAY(A476,2)&lt;=5,C476="NO"),"SÍ","NO")</x:f>
        <x:v>SÍ</x:v>
      </x:c>
      <x:c r="E476" s="2" t="n">
        <x:f>WORKDAY.INTL(A476-1,1,1,FERIADOS!$A$2:$A$250)</x:f>
        <x:v>46132</x:v>
      </x:c>
      <x:c r="F476" t="str">
        <x:f>IF(E476&gt;=WORKDAY.INTL(EOMONTH(E476,0)+1,-2,1,FERIADOS!$A$2:$A$250),"SÍ","NO")</x:f>
        <x:v>NO</x:v>
      </x:c>
      <x:c r="G476" s="10" t="n">
        <x:f>IF(F476="SÍ",EOMONTH(E476,0)+1,DATE(YEAR(E476),MONTH(E476),1))</x:f>
        <x:v>46113</x:v>
      </x:c>
      <x:c r="H476" t="str">
        <x:f>IF(D476="NO",IF(C476="SÍ","FERIADO","FIN DE SEMANA"),"LABORABLE")&amp;IF(F476="SÍ"," + CIERRE","")</x:f>
        <x:v>LABORABLE</x:v>
      </x:c>
      <x:c r="I476" t="str">
        <x:f>TEXT(G476,"yyyy-mm")</x:f>
        <x:v>2026-04</x:v>
      </x:c>
    </x:row>
    <x:row r="477" ht="19" customHeight="1">
      <x:c r="A477" s="2" t="n">
        <x:v>46133</x:v>
      </x:c>
      <x:c r="B477" t="str">
        <x:f>CHOOSE(WEEKDAY(A477,2),"Lunes","Martes","Miércoles","Jueves","Viernes","Sábado","Domingo")</x:f>
        <x:v>Martes</x:v>
      </x:c>
      <x:c r="C477" t="str">
        <x:f>IF(COUNTIF(FERIADOS!$A$2:$A$250,A477)&gt;0,"SÍ","NO")</x:f>
        <x:v>NO</x:v>
      </x:c>
      <x:c r="D477" t="str">
        <x:f>IF(AND(WEEKDAY(A477,2)&lt;=5,C477="NO"),"SÍ","NO")</x:f>
        <x:v>SÍ</x:v>
      </x:c>
      <x:c r="E477" s="2" t="n">
        <x:f>WORKDAY.INTL(A477-1,1,1,FERIADOS!$A$2:$A$250)</x:f>
        <x:v>46133</x:v>
      </x:c>
      <x:c r="F477" t="str">
        <x:f>IF(E477&gt;=WORKDAY.INTL(EOMONTH(E477,0)+1,-2,1,FERIADOS!$A$2:$A$250),"SÍ","NO")</x:f>
        <x:v>NO</x:v>
      </x:c>
      <x:c r="G477" s="10" t="n">
        <x:f>IF(F477="SÍ",EOMONTH(E477,0)+1,DATE(YEAR(E477),MONTH(E477),1))</x:f>
        <x:v>46113</x:v>
      </x:c>
      <x:c r="H477" t="str">
        <x:f>IF(D477="NO",IF(C477="SÍ","FERIADO","FIN DE SEMANA"),"LABORABLE")&amp;IF(F477="SÍ"," + CIERRE","")</x:f>
        <x:v>LABORABLE</x:v>
      </x:c>
      <x:c r="I477" t="str">
        <x:f>TEXT(G477,"yyyy-mm")</x:f>
        <x:v>2026-04</x:v>
      </x:c>
    </x:row>
    <x:row r="478" ht="19" customHeight="1">
      <x:c r="A478" s="2" t="n">
        <x:v>46134</x:v>
      </x:c>
      <x:c r="B478" t="str">
        <x:f>CHOOSE(WEEKDAY(A478,2),"Lunes","Martes","Miércoles","Jueves","Viernes","Sábado","Domingo")</x:f>
        <x:v>Miércoles</x:v>
      </x:c>
      <x:c r="C478" t="str">
        <x:f>IF(COUNTIF(FERIADOS!$A$2:$A$250,A478)&gt;0,"SÍ","NO")</x:f>
        <x:v>NO</x:v>
      </x:c>
      <x:c r="D478" t="str">
        <x:f>IF(AND(WEEKDAY(A478,2)&lt;=5,C478="NO"),"SÍ","NO")</x:f>
        <x:v>SÍ</x:v>
      </x:c>
      <x:c r="E478" s="2" t="n">
        <x:f>WORKDAY.INTL(A478-1,1,1,FERIADOS!$A$2:$A$250)</x:f>
        <x:v>46134</x:v>
      </x:c>
      <x:c r="F478" t="str">
        <x:f>IF(E478&gt;=WORKDAY.INTL(EOMONTH(E478,0)+1,-2,1,FERIADOS!$A$2:$A$250),"SÍ","NO")</x:f>
        <x:v>NO</x:v>
      </x:c>
      <x:c r="G478" s="10" t="n">
        <x:f>IF(F478="SÍ",EOMONTH(E478,0)+1,DATE(YEAR(E478),MONTH(E478),1))</x:f>
        <x:v>46113</x:v>
      </x:c>
      <x:c r="H478" t="str">
        <x:f>IF(D478="NO",IF(C478="SÍ","FERIADO","FIN DE SEMANA"),"LABORABLE")&amp;IF(F478="SÍ"," + CIERRE","")</x:f>
        <x:v>LABORABLE</x:v>
      </x:c>
      <x:c r="I478" t="str">
        <x:f>TEXT(G478,"yyyy-mm")</x:f>
        <x:v>2026-04</x:v>
      </x:c>
    </x:row>
    <x:row r="479" ht="19" customHeight="1">
      <x:c r="A479" s="2" t="n">
        <x:v>46135</x:v>
      </x:c>
      <x:c r="B479" t="str">
        <x:f>CHOOSE(WEEKDAY(A479,2),"Lunes","Martes","Miércoles","Jueves","Viernes","Sábado","Domingo")</x:f>
        <x:v>Jueves</x:v>
      </x:c>
      <x:c r="C479" t="str">
        <x:f>IF(COUNTIF(FERIADOS!$A$2:$A$250,A479)&gt;0,"SÍ","NO")</x:f>
        <x:v>NO</x:v>
      </x:c>
      <x:c r="D479" t="str">
        <x:f>IF(AND(WEEKDAY(A479,2)&lt;=5,C479="NO"),"SÍ","NO")</x:f>
        <x:v>SÍ</x:v>
      </x:c>
      <x:c r="E479" s="2" t="n">
        <x:f>WORKDAY.INTL(A479-1,1,1,FERIADOS!$A$2:$A$250)</x:f>
        <x:v>46135</x:v>
      </x:c>
      <x:c r="F479" t="str">
        <x:f>IF(E479&gt;=WORKDAY.INTL(EOMONTH(E479,0)+1,-2,1,FERIADOS!$A$2:$A$250),"SÍ","NO")</x:f>
        <x:v>NO</x:v>
      </x:c>
      <x:c r="G479" s="10" t="n">
        <x:f>IF(F479="SÍ",EOMONTH(E479,0)+1,DATE(YEAR(E479),MONTH(E479),1))</x:f>
        <x:v>46113</x:v>
      </x:c>
      <x:c r="H479" t="str">
        <x:f>IF(D479="NO",IF(C479="SÍ","FERIADO","FIN DE SEMANA"),"LABORABLE")&amp;IF(F479="SÍ"," + CIERRE","")</x:f>
        <x:v>LABORABLE</x:v>
      </x:c>
      <x:c r="I479" t="str">
        <x:f>TEXT(G479,"yyyy-mm")</x:f>
        <x:v>2026-04</x:v>
      </x:c>
    </x:row>
    <x:row r="480" ht="19" customHeight="1">
      <x:c r="A480" s="2" t="n">
        <x:v>46136</x:v>
      </x:c>
      <x:c r="B480" t="str">
        <x:f>CHOOSE(WEEKDAY(A480,2),"Lunes","Martes","Miércoles","Jueves","Viernes","Sábado","Domingo")</x:f>
        <x:v>Viernes</x:v>
      </x:c>
      <x:c r="C480" t="str">
        <x:f>IF(COUNTIF(FERIADOS!$A$2:$A$250,A480)&gt;0,"SÍ","NO")</x:f>
        <x:v>NO</x:v>
      </x:c>
      <x:c r="D480" t="str">
        <x:f>IF(AND(WEEKDAY(A480,2)&lt;=5,C480="NO"),"SÍ","NO")</x:f>
        <x:v>SÍ</x:v>
      </x:c>
      <x:c r="E480" s="2" t="n">
        <x:f>WORKDAY.INTL(A480-1,1,1,FERIADOS!$A$2:$A$250)</x:f>
        <x:v>46136</x:v>
      </x:c>
      <x:c r="F480" t="str">
        <x:f>IF(E480&gt;=WORKDAY.INTL(EOMONTH(E480,0)+1,-2,1,FERIADOS!$A$2:$A$250),"SÍ","NO")</x:f>
        <x:v>NO</x:v>
      </x:c>
      <x:c r="G480" s="10" t="n">
        <x:f>IF(F480="SÍ",EOMONTH(E480,0)+1,DATE(YEAR(E480),MONTH(E480),1))</x:f>
        <x:v>46113</x:v>
      </x:c>
      <x:c r="H480" t="str">
        <x:f>IF(D480="NO",IF(C480="SÍ","FERIADO","FIN DE SEMANA"),"LABORABLE")&amp;IF(F480="SÍ"," + CIERRE","")</x:f>
        <x:v>LABORABLE</x:v>
      </x:c>
      <x:c r="I480" t="str">
        <x:f>TEXT(G480,"yyyy-mm")</x:f>
        <x:v>2026-04</x:v>
      </x:c>
    </x:row>
    <x:row r="481" ht="19" customHeight="1">
      <x:c r="A481" s="2" t="n">
        <x:v>46137</x:v>
      </x:c>
      <x:c r="B481" t="str">
        <x:f>CHOOSE(WEEKDAY(A481,2),"Lunes","Martes","Miércoles","Jueves","Viernes","Sábado","Domingo")</x:f>
        <x:v>Sábado</x:v>
      </x:c>
      <x:c r="C481" t="str">
        <x:f>IF(COUNTIF(FERIADOS!$A$2:$A$250,A481)&gt;0,"SÍ","NO")</x:f>
        <x:v>NO</x:v>
      </x:c>
      <x:c r="D481" t="str">
        <x:f>IF(AND(WEEKDAY(A481,2)&lt;=5,C481="NO"),"SÍ","NO")</x:f>
        <x:v>NO</x:v>
      </x:c>
      <x:c r="E481" s="2" t="n">
        <x:f>WORKDAY.INTL(A481-1,1,1,FERIADOS!$A$2:$A$250)</x:f>
        <x:v>46139</x:v>
      </x:c>
      <x:c r="F481" t="str">
        <x:f>IF(E481&gt;=WORKDAY.INTL(EOMONTH(E481,0)+1,-2,1,FERIADOS!$A$2:$A$250),"SÍ","NO")</x:f>
        <x:v>NO</x:v>
      </x:c>
      <x:c r="G481" s="10" t="n">
        <x:f>IF(F481="SÍ",EOMONTH(E481,0)+1,DATE(YEAR(E481),MONTH(E481),1))</x:f>
        <x:v>46113</x:v>
      </x:c>
      <x:c r="H481" t="str">
        <x:f>IF(D481="NO",IF(C481="SÍ","FERIADO","FIN DE SEMANA"),"LABORABLE")&amp;IF(F481="SÍ"," + CIERRE","")</x:f>
        <x:v>FIN DE SEMANA</x:v>
      </x:c>
      <x:c r="I481" t="str">
        <x:f>TEXT(G481,"yyyy-mm")</x:f>
        <x:v>2026-04</x:v>
      </x:c>
    </x:row>
    <x:row r="482" ht="19" customHeight="1">
      <x:c r="A482" s="2" t="n">
        <x:v>46138</x:v>
      </x:c>
      <x:c r="B482" t="str">
        <x:f>CHOOSE(WEEKDAY(A482,2),"Lunes","Martes","Miércoles","Jueves","Viernes","Sábado","Domingo")</x:f>
        <x:v>Domingo</x:v>
      </x:c>
      <x:c r="C482" t="str">
        <x:f>IF(COUNTIF(FERIADOS!$A$2:$A$250,A482)&gt;0,"SÍ","NO")</x:f>
        <x:v>NO</x:v>
      </x:c>
      <x:c r="D482" t="str">
        <x:f>IF(AND(WEEKDAY(A482,2)&lt;=5,C482="NO"),"SÍ","NO")</x:f>
        <x:v>NO</x:v>
      </x:c>
      <x:c r="E482" s="2" t="n">
        <x:f>WORKDAY.INTL(A482-1,1,1,FERIADOS!$A$2:$A$250)</x:f>
        <x:v>46139</x:v>
      </x:c>
      <x:c r="F482" t="str">
        <x:f>IF(E482&gt;=WORKDAY.INTL(EOMONTH(E482,0)+1,-2,1,FERIADOS!$A$2:$A$250),"SÍ","NO")</x:f>
        <x:v>NO</x:v>
      </x:c>
      <x:c r="G482" s="10" t="n">
        <x:f>IF(F482="SÍ",EOMONTH(E482,0)+1,DATE(YEAR(E482),MONTH(E482),1))</x:f>
        <x:v>46113</x:v>
      </x:c>
      <x:c r="H482" t="str">
        <x:f>IF(D482="NO",IF(C482="SÍ","FERIADO","FIN DE SEMANA"),"LABORABLE")&amp;IF(F482="SÍ"," + CIERRE","")</x:f>
        <x:v>FIN DE SEMANA</x:v>
      </x:c>
      <x:c r="I482" t="str">
        <x:f>TEXT(G482,"yyyy-mm")</x:f>
        <x:v>2026-04</x:v>
      </x:c>
    </x:row>
    <x:row r="483" ht="19" customHeight="1">
      <x:c r="A483" s="2" t="n">
        <x:v>46139</x:v>
      </x:c>
      <x:c r="B483" t="str">
        <x:f>CHOOSE(WEEKDAY(A483,2),"Lunes","Martes","Miércoles","Jueves","Viernes","Sábado","Domingo")</x:f>
        <x:v>Lunes</x:v>
      </x:c>
      <x:c r="C483" t="str">
        <x:f>IF(COUNTIF(FERIADOS!$A$2:$A$250,A483)&gt;0,"SÍ","NO")</x:f>
        <x:v>NO</x:v>
      </x:c>
      <x:c r="D483" t="str">
        <x:f>IF(AND(WEEKDAY(A483,2)&lt;=5,C483="NO"),"SÍ","NO")</x:f>
        <x:v>SÍ</x:v>
      </x:c>
      <x:c r="E483" s="2" t="n">
        <x:f>WORKDAY.INTL(A483-1,1,1,FERIADOS!$A$2:$A$250)</x:f>
        <x:v>46139</x:v>
      </x:c>
      <x:c r="F483" t="str">
        <x:f>IF(E483&gt;=WORKDAY.INTL(EOMONTH(E483,0)+1,-2,1,FERIADOS!$A$2:$A$250),"SÍ","NO")</x:f>
        <x:v>NO</x:v>
      </x:c>
      <x:c r="G483" s="10" t="n">
        <x:f>IF(F483="SÍ",EOMONTH(E483,0)+1,DATE(YEAR(E483),MONTH(E483),1))</x:f>
        <x:v>46113</x:v>
      </x:c>
      <x:c r="H483" t="str">
        <x:f>IF(D483="NO",IF(C483="SÍ","FERIADO","FIN DE SEMANA"),"LABORABLE")&amp;IF(F483="SÍ"," + CIERRE","")</x:f>
        <x:v>LABORABLE</x:v>
      </x:c>
      <x:c r="I483" t="str">
        <x:f>TEXT(G483,"yyyy-mm")</x:f>
        <x:v>2026-04</x:v>
      </x:c>
    </x:row>
    <x:row r="484" ht="19" customHeight="1">
      <x:c r="A484" s="2" t="n">
        <x:v>46140</x:v>
      </x:c>
      <x:c r="B484" t="str">
        <x:f>CHOOSE(WEEKDAY(A484,2),"Lunes","Martes","Miércoles","Jueves","Viernes","Sábado","Domingo")</x:f>
        <x:v>Martes</x:v>
      </x:c>
      <x:c r="C484" t="str">
        <x:f>IF(COUNTIF(FERIADOS!$A$2:$A$250,A484)&gt;0,"SÍ","NO")</x:f>
        <x:v>NO</x:v>
      </x:c>
      <x:c r="D484" t="str">
        <x:f>IF(AND(WEEKDAY(A484,2)&lt;=5,C484="NO"),"SÍ","NO")</x:f>
        <x:v>SÍ</x:v>
      </x:c>
      <x:c r="E484" s="2" t="n">
        <x:f>WORKDAY.INTL(A484-1,1,1,FERIADOS!$A$2:$A$250)</x:f>
        <x:v>46140</x:v>
      </x:c>
      <x:c r="F484" t="str">
        <x:f>IF(E484&gt;=WORKDAY.INTL(EOMONTH(E484,0)+1,-2,1,FERIADOS!$A$2:$A$250),"SÍ","NO")</x:f>
        <x:v>NO</x:v>
      </x:c>
      <x:c r="G484" s="10" t="n">
        <x:f>IF(F484="SÍ",EOMONTH(E484,0)+1,DATE(YEAR(E484),MONTH(E484),1))</x:f>
        <x:v>46113</x:v>
      </x:c>
      <x:c r="H484" t="str">
        <x:f>IF(D484="NO",IF(C484="SÍ","FERIADO","FIN DE SEMANA"),"LABORABLE")&amp;IF(F484="SÍ"," + CIERRE","")</x:f>
        <x:v>LABORABLE</x:v>
      </x:c>
      <x:c r="I484" t="str">
        <x:f>TEXT(G484,"yyyy-mm")</x:f>
        <x:v>2026-04</x:v>
      </x:c>
    </x:row>
    <x:row r="485" ht="19" customHeight="1">
      <x:c r="A485" s="2" t="n">
        <x:v>46141</x:v>
      </x:c>
      <x:c r="B485" t="str">
        <x:f>CHOOSE(WEEKDAY(A485,2),"Lunes","Martes","Miércoles","Jueves","Viernes","Sábado","Domingo")</x:f>
        <x:v>Miércoles</x:v>
      </x:c>
      <x:c r="C485" t="str">
        <x:f>IF(COUNTIF(FERIADOS!$A$2:$A$250,A485)&gt;0,"SÍ","NO")</x:f>
        <x:v>NO</x:v>
      </x:c>
      <x:c r="D485" t="str">
        <x:f>IF(AND(WEEKDAY(A485,2)&lt;=5,C485="NO"),"SÍ","NO")</x:f>
        <x:v>SÍ</x:v>
      </x:c>
      <x:c r="E485" s="2" t="n">
        <x:f>WORKDAY.INTL(A485-1,1,1,FERIADOS!$A$2:$A$250)</x:f>
        <x:v>46141</x:v>
      </x:c>
      <x:c r="F485" t="str">
        <x:f>IF(E485&gt;=WORKDAY.INTL(EOMONTH(E485,0)+1,-2,1,FERIADOS!$A$2:$A$250),"SÍ","NO")</x:f>
        <x:v>SÍ</x:v>
      </x:c>
      <x:c r="G485" s="10" t="n">
        <x:f>IF(F485="SÍ",EOMONTH(E485,0)+1,DATE(YEAR(E485),MONTH(E485),1))</x:f>
        <x:v>46143</x:v>
      </x:c>
      <x:c r="H485" t="str">
        <x:f>IF(D485="NO",IF(C485="SÍ","FERIADO","FIN DE SEMANA"),"LABORABLE")&amp;IF(F485="SÍ"," + CIERRE","")</x:f>
        <x:v>LABORABLE + CIERRE</x:v>
      </x:c>
      <x:c r="I485" t="str">
        <x:f>TEXT(G485,"yyyy-mm")</x:f>
        <x:v>2026-05</x:v>
      </x:c>
    </x:row>
    <x:row r="486" ht="19" customHeight="1">
      <x:c r="A486" s="2" t="n">
        <x:v>46142</x:v>
      </x:c>
      <x:c r="B486" t="str">
        <x:f>CHOOSE(WEEKDAY(A486,2),"Lunes","Martes","Miércoles","Jueves","Viernes","Sábado","Domingo")</x:f>
        <x:v>Jueves</x:v>
      </x:c>
      <x:c r="C486" t="str">
        <x:f>IF(COUNTIF(FERIADOS!$A$2:$A$250,A486)&gt;0,"SÍ","NO")</x:f>
        <x:v>NO</x:v>
      </x:c>
      <x:c r="D486" t="str">
        <x:f>IF(AND(WEEKDAY(A486,2)&lt;=5,C486="NO"),"SÍ","NO")</x:f>
        <x:v>SÍ</x:v>
      </x:c>
      <x:c r="E486" s="2" t="n">
        <x:f>WORKDAY.INTL(A486-1,1,1,FERIADOS!$A$2:$A$250)</x:f>
        <x:v>46142</x:v>
      </x:c>
      <x:c r="F486" t="str">
        <x:f>IF(E486&gt;=WORKDAY.INTL(EOMONTH(E486,0)+1,-2,1,FERIADOS!$A$2:$A$250),"SÍ","NO")</x:f>
        <x:v>SÍ</x:v>
      </x:c>
      <x:c r="G486" s="10" t="n">
        <x:f>IF(F486="SÍ",EOMONTH(E486,0)+1,DATE(YEAR(E486),MONTH(E486),1))</x:f>
        <x:v>46143</x:v>
      </x:c>
      <x:c r="H486" t="str">
        <x:f>IF(D486="NO",IF(C486="SÍ","FERIADO","FIN DE SEMANA"),"LABORABLE")&amp;IF(F486="SÍ"," + CIERRE","")</x:f>
        <x:v>LABORABLE + CIERRE</x:v>
      </x:c>
      <x:c r="I486" t="str">
        <x:f>TEXT(G486,"yyyy-mm")</x:f>
        <x:v>2026-05</x:v>
      </x:c>
    </x:row>
    <x:row r="487" ht="19" customHeight="1">
      <x:c r="A487" s="2" t="n">
        <x:v>46143</x:v>
      </x:c>
      <x:c r="B487" t="str">
        <x:f>CHOOSE(WEEKDAY(A487,2),"Lunes","Martes","Miércoles","Jueves","Viernes","Sábado","Domingo")</x:f>
        <x:v>Viernes</x:v>
      </x:c>
      <x:c r="C487" t="str">
        <x:f>IF(COUNTIF(FERIADOS!$A$2:$A$250,A487)&gt;0,"SÍ","NO")</x:f>
        <x:v>SÍ</x:v>
      </x:c>
      <x:c r="D487" t="str">
        <x:f>IF(AND(WEEKDAY(A487,2)&lt;=5,C487="NO"),"SÍ","NO")</x:f>
        <x:v>NO</x:v>
      </x:c>
      <x:c r="E487" s="2" t="n">
        <x:f>WORKDAY.INTL(A487-1,1,1,FERIADOS!$A$2:$A$250)</x:f>
        <x:v>46146</x:v>
      </x:c>
      <x:c r="F487" t="str">
        <x:f>IF(E487&gt;=WORKDAY.INTL(EOMONTH(E487,0)+1,-2,1,FERIADOS!$A$2:$A$250),"SÍ","NO")</x:f>
        <x:v>NO</x:v>
      </x:c>
      <x:c r="G487" s="10" t="n">
        <x:f>IF(F487="SÍ",EOMONTH(E487,0)+1,DATE(YEAR(E487),MONTH(E487),1))</x:f>
        <x:v>46143</x:v>
      </x:c>
      <x:c r="H487" t="str">
        <x:f>IF(D487="NO",IF(C487="SÍ","FERIADO","FIN DE SEMANA"),"LABORABLE")&amp;IF(F487="SÍ"," + CIERRE","")</x:f>
        <x:v>FERIADO</x:v>
      </x:c>
      <x:c r="I487" t="str">
        <x:f>TEXT(G487,"yyyy-mm")</x:f>
        <x:v>2026-05</x:v>
      </x:c>
    </x:row>
    <x:row r="488" ht="19" customHeight="1">
      <x:c r="A488" s="2" t="n">
        <x:v>46144</x:v>
      </x:c>
      <x:c r="B488" t="str">
        <x:f>CHOOSE(WEEKDAY(A488,2),"Lunes","Martes","Miércoles","Jueves","Viernes","Sábado","Domingo")</x:f>
        <x:v>Sábado</x:v>
      </x:c>
      <x:c r="C488" t="str">
        <x:f>IF(COUNTIF(FERIADOS!$A$2:$A$250,A488)&gt;0,"SÍ","NO")</x:f>
        <x:v>NO</x:v>
      </x:c>
      <x:c r="D488" t="str">
        <x:f>IF(AND(WEEKDAY(A488,2)&lt;=5,C488="NO"),"SÍ","NO")</x:f>
        <x:v>NO</x:v>
      </x:c>
      <x:c r="E488" s="2" t="n">
        <x:f>WORKDAY.INTL(A488-1,1,1,FERIADOS!$A$2:$A$250)</x:f>
        <x:v>46146</x:v>
      </x:c>
      <x:c r="F488" t="str">
        <x:f>IF(E488&gt;=WORKDAY.INTL(EOMONTH(E488,0)+1,-2,1,FERIADOS!$A$2:$A$250),"SÍ","NO")</x:f>
        <x:v>NO</x:v>
      </x:c>
      <x:c r="G488" s="10" t="n">
        <x:f>IF(F488="SÍ",EOMONTH(E488,0)+1,DATE(YEAR(E488),MONTH(E488),1))</x:f>
        <x:v>46143</x:v>
      </x:c>
      <x:c r="H488" t="str">
        <x:f>IF(D488="NO",IF(C488="SÍ","FERIADO","FIN DE SEMANA"),"LABORABLE")&amp;IF(F488="SÍ"," + CIERRE","")</x:f>
        <x:v>FIN DE SEMANA</x:v>
      </x:c>
      <x:c r="I488" t="str">
        <x:f>TEXT(G488,"yyyy-mm")</x:f>
        <x:v>2026-05</x:v>
      </x:c>
    </x:row>
    <x:row r="489" ht="19" customHeight="1">
      <x:c r="A489" s="2" t="n">
        <x:v>46145</x:v>
      </x:c>
      <x:c r="B489" t="str">
        <x:f>CHOOSE(WEEKDAY(A489,2),"Lunes","Martes","Miércoles","Jueves","Viernes","Sábado","Domingo")</x:f>
        <x:v>Domingo</x:v>
      </x:c>
      <x:c r="C489" t="str">
        <x:f>IF(COUNTIF(FERIADOS!$A$2:$A$250,A489)&gt;0,"SÍ","NO")</x:f>
        <x:v>NO</x:v>
      </x:c>
      <x:c r="D489" t="str">
        <x:f>IF(AND(WEEKDAY(A489,2)&lt;=5,C489="NO"),"SÍ","NO")</x:f>
        <x:v>NO</x:v>
      </x:c>
      <x:c r="E489" s="2" t="n">
        <x:f>WORKDAY.INTL(A489-1,1,1,FERIADOS!$A$2:$A$250)</x:f>
        <x:v>46146</x:v>
      </x:c>
      <x:c r="F489" t="str">
        <x:f>IF(E489&gt;=WORKDAY.INTL(EOMONTH(E489,0)+1,-2,1,FERIADOS!$A$2:$A$250),"SÍ","NO")</x:f>
        <x:v>NO</x:v>
      </x:c>
      <x:c r="G489" s="10" t="n">
        <x:f>IF(F489="SÍ",EOMONTH(E489,0)+1,DATE(YEAR(E489),MONTH(E489),1))</x:f>
        <x:v>46143</x:v>
      </x:c>
      <x:c r="H489" t="str">
        <x:f>IF(D489="NO",IF(C489="SÍ","FERIADO","FIN DE SEMANA"),"LABORABLE")&amp;IF(F489="SÍ"," + CIERRE","")</x:f>
        <x:v>FIN DE SEMANA</x:v>
      </x:c>
      <x:c r="I489" t="str">
        <x:f>TEXT(G489,"yyyy-mm")</x:f>
        <x:v>2026-05</x:v>
      </x:c>
    </x:row>
    <x:row r="490" ht="19" customHeight="1">
      <x:c r="A490" s="2" t="n">
        <x:v>46146</x:v>
      </x:c>
      <x:c r="B490" t="str">
        <x:f>CHOOSE(WEEKDAY(A490,2),"Lunes","Martes","Miércoles","Jueves","Viernes","Sábado","Domingo")</x:f>
        <x:v>Lunes</x:v>
      </x:c>
      <x:c r="C490" t="str">
        <x:f>IF(COUNTIF(FERIADOS!$A$2:$A$250,A490)&gt;0,"SÍ","NO")</x:f>
        <x:v>NO</x:v>
      </x:c>
      <x:c r="D490" t="str">
        <x:f>IF(AND(WEEKDAY(A490,2)&lt;=5,C490="NO"),"SÍ","NO")</x:f>
        <x:v>SÍ</x:v>
      </x:c>
      <x:c r="E490" s="2" t="n">
        <x:f>WORKDAY.INTL(A490-1,1,1,FERIADOS!$A$2:$A$250)</x:f>
        <x:v>46146</x:v>
      </x:c>
      <x:c r="F490" t="str">
        <x:f>IF(E490&gt;=WORKDAY.INTL(EOMONTH(E490,0)+1,-2,1,FERIADOS!$A$2:$A$250),"SÍ","NO")</x:f>
        <x:v>NO</x:v>
      </x:c>
      <x:c r="G490" s="10" t="n">
        <x:f>IF(F490="SÍ",EOMONTH(E490,0)+1,DATE(YEAR(E490),MONTH(E490),1))</x:f>
        <x:v>46143</x:v>
      </x:c>
      <x:c r="H490" t="str">
        <x:f>IF(D490="NO",IF(C490="SÍ","FERIADO","FIN DE SEMANA"),"LABORABLE")&amp;IF(F490="SÍ"," + CIERRE","")</x:f>
        <x:v>LABORABLE</x:v>
      </x:c>
      <x:c r="I490" t="str">
        <x:f>TEXT(G490,"yyyy-mm")</x:f>
        <x:v>2026-05</x:v>
      </x:c>
    </x:row>
    <x:row r="491" ht="19" customHeight="1">
      <x:c r="A491" s="2" t="n">
        <x:v>46147</x:v>
      </x:c>
      <x:c r="B491" t="str">
        <x:f>CHOOSE(WEEKDAY(A491,2),"Lunes","Martes","Miércoles","Jueves","Viernes","Sábado","Domingo")</x:f>
        <x:v>Martes</x:v>
      </x:c>
      <x:c r="C491" t="str">
        <x:f>IF(COUNTIF(FERIADOS!$A$2:$A$250,A491)&gt;0,"SÍ","NO")</x:f>
        <x:v>NO</x:v>
      </x:c>
      <x:c r="D491" t="str">
        <x:f>IF(AND(WEEKDAY(A491,2)&lt;=5,C491="NO"),"SÍ","NO")</x:f>
        <x:v>SÍ</x:v>
      </x:c>
      <x:c r="E491" s="2" t="n">
        <x:f>WORKDAY.INTL(A491-1,1,1,FERIADOS!$A$2:$A$250)</x:f>
        <x:v>46147</x:v>
      </x:c>
      <x:c r="F491" t="str">
        <x:f>IF(E491&gt;=WORKDAY.INTL(EOMONTH(E491,0)+1,-2,1,FERIADOS!$A$2:$A$250),"SÍ","NO")</x:f>
        <x:v>NO</x:v>
      </x:c>
      <x:c r="G491" s="10" t="n">
        <x:f>IF(F491="SÍ",EOMONTH(E491,0)+1,DATE(YEAR(E491),MONTH(E491),1))</x:f>
        <x:v>46143</x:v>
      </x:c>
      <x:c r="H491" t="str">
        <x:f>IF(D491="NO",IF(C491="SÍ","FERIADO","FIN DE SEMANA"),"LABORABLE")&amp;IF(F491="SÍ"," + CIERRE","")</x:f>
        <x:v>LABORABLE</x:v>
      </x:c>
      <x:c r="I491" t="str">
        <x:f>TEXT(G491,"yyyy-mm")</x:f>
        <x:v>2026-05</x:v>
      </x:c>
    </x:row>
    <x:row r="492" ht="19" customHeight="1">
      <x:c r="A492" s="2" t="n">
        <x:v>46148</x:v>
      </x:c>
      <x:c r="B492" t="str">
        <x:f>CHOOSE(WEEKDAY(A492,2),"Lunes","Martes","Miércoles","Jueves","Viernes","Sábado","Domingo")</x:f>
        <x:v>Miércoles</x:v>
      </x:c>
      <x:c r="C492" t="str">
        <x:f>IF(COUNTIF(FERIADOS!$A$2:$A$250,A492)&gt;0,"SÍ","NO")</x:f>
        <x:v>NO</x:v>
      </x:c>
      <x:c r="D492" t="str">
        <x:f>IF(AND(WEEKDAY(A492,2)&lt;=5,C492="NO"),"SÍ","NO")</x:f>
        <x:v>SÍ</x:v>
      </x:c>
      <x:c r="E492" s="2" t="n">
        <x:f>WORKDAY.INTL(A492-1,1,1,FERIADOS!$A$2:$A$250)</x:f>
        <x:v>46148</x:v>
      </x:c>
      <x:c r="F492" t="str">
        <x:f>IF(E492&gt;=WORKDAY.INTL(EOMONTH(E492,0)+1,-2,1,FERIADOS!$A$2:$A$250),"SÍ","NO")</x:f>
        <x:v>NO</x:v>
      </x:c>
      <x:c r="G492" s="10" t="n">
        <x:f>IF(F492="SÍ",EOMONTH(E492,0)+1,DATE(YEAR(E492),MONTH(E492),1))</x:f>
        <x:v>46143</x:v>
      </x:c>
      <x:c r="H492" t="str">
        <x:f>IF(D492="NO",IF(C492="SÍ","FERIADO","FIN DE SEMANA"),"LABORABLE")&amp;IF(F492="SÍ"," + CIERRE","")</x:f>
        <x:v>LABORABLE</x:v>
      </x:c>
      <x:c r="I492" t="str">
        <x:f>TEXT(G492,"yyyy-mm")</x:f>
        <x:v>2026-05</x:v>
      </x:c>
    </x:row>
    <x:row r="493" ht="19" customHeight="1">
      <x:c r="A493" s="2" t="n">
        <x:v>46149</x:v>
      </x:c>
      <x:c r="B493" t="str">
        <x:f>CHOOSE(WEEKDAY(A493,2),"Lunes","Martes","Miércoles","Jueves","Viernes","Sábado","Domingo")</x:f>
        <x:v>Jueves</x:v>
      </x:c>
      <x:c r="C493" t="str">
        <x:f>IF(COUNTIF(FERIADOS!$A$2:$A$250,A493)&gt;0,"SÍ","NO")</x:f>
        <x:v>NO</x:v>
      </x:c>
      <x:c r="D493" t="str">
        <x:f>IF(AND(WEEKDAY(A493,2)&lt;=5,C493="NO"),"SÍ","NO")</x:f>
        <x:v>SÍ</x:v>
      </x:c>
      <x:c r="E493" s="2" t="n">
        <x:f>WORKDAY.INTL(A493-1,1,1,FERIADOS!$A$2:$A$250)</x:f>
        <x:v>46149</x:v>
      </x:c>
      <x:c r="F493" t="str">
        <x:f>IF(E493&gt;=WORKDAY.INTL(EOMONTH(E493,0)+1,-2,1,FERIADOS!$A$2:$A$250),"SÍ","NO")</x:f>
        <x:v>NO</x:v>
      </x:c>
      <x:c r="G493" s="10" t="n">
        <x:f>IF(F493="SÍ",EOMONTH(E493,0)+1,DATE(YEAR(E493),MONTH(E493),1))</x:f>
        <x:v>46143</x:v>
      </x:c>
      <x:c r="H493" t="str">
        <x:f>IF(D493="NO",IF(C493="SÍ","FERIADO","FIN DE SEMANA"),"LABORABLE")&amp;IF(F493="SÍ"," + CIERRE","")</x:f>
        <x:v>LABORABLE</x:v>
      </x:c>
      <x:c r="I493" t="str">
        <x:f>TEXT(G493,"yyyy-mm")</x:f>
        <x:v>2026-05</x:v>
      </x:c>
    </x:row>
    <x:row r="494" ht="19" customHeight="1">
      <x:c r="A494" s="2" t="n">
        <x:v>46150</x:v>
      </x:c>
      <x:c r="B494" t="str">
        <x:f>CHOOSE(WEEKDAY(A494,2),"Lunes","Martes","Miércoles","Jueves","Viernes","Sábado","Domingo")</x:f>
        <x:v>Viernes</x:v>
      </x:c>
      <x:c r="C494" t="str">
        <x:f>IF(COUNTIF(FERIADOS!$A$2:$A$250,A494)&gt;0,"SÍ","NO")</x:f>
        <x:v>NO</x:v>
      </x:c>
      <x:c r="D494" t="str">
        <x:f>IF(AND(WEEKDAY(A494,2)&lt;=5,C494="NO"),"SÍ","NO")</x:f>
        <x:v>SÍ</x:v>
      </x:c>
      <x:c r="E494" s="2" t="n">
        <x:f>WORKDAY.INTL(A494-1,1,1,FERIADOS!$A$2:$A$250)</x:f>
        <x:v>46150</x:v>
      </x:c>
      <x:c r="F494" t="str">
        <x:f>IF(E494&gt;=WORKDAY.INTL(EOMONTH(E494,0)+1,-2,1,FERIADOS!$A$2:$A$250),"SÍ","NO")</x:f>
        <x:v>NO</x:v>
      </x:c>
      <x:c r="G494" s="10" t="n">
        <x:f>IF(F494="SÍ",EOMONTH(E494,0)+1,DATE(YEAR(E494),MONTH(E494),1))</x:f>
        <x:v>46143</x:v>
      </x:c>
      <x:c r="H494" t="str">
        <x:f>IF(D494="NO",IF(C494="SÍ","FERIADO","FIN DE SEMANA"),"LABORABLE")&amp;IF(F494="SÍ"," + CIERRE","")</x:f>
        <x:v>LABORABLE</x:v>
      </x:c>
      <x:c r="I494" t="str">
        <x:f>TEXT(G494,"yyyy-mm")</x:f>
        <x:v>2026-05</x:v>
      </x:c>
    </x:row>
    <x:row r="495" ht="19" customHeight="1">
      <x:c r="A495" s="2" t="n">
        <x:v>46151</x:v>
      </x:c>
      <x:c r="B495" t="str">
        <x:f>CHOOSE(WEEKDAY(A495,2),"Lunes","Martes","Miércoles","Jueves","Viernes","Sábado","Domingo")</x:f>
        <x:v>Sábado</x:v>
      </x:c>
      <x:c r="C495" t="str">
        <x:f>IF(COUNTIF(FERIADOS!$A$2:$A$250,A495)&gt;0,"SÍ","NO")</x:f>
        <x:v>NO</x:v>
      </x:c>
      <x:c r="D495" t="str">
        <x:f>IF(AND(WEEKDAY(A495,2)&lt;=5,C495="NO"),"SÍ","NO")</x:f>
        <x:v>NO</x:v>
      </x:c>
      <x:c r="E495" s="2" t="n">
        <x:f>WORKDAY.INTL(A495-1,1,1,FERIADOS!$A$2:$A$250)</x:f>
        <x:v>46153</x:v>
      </x:c>
      <x:c r="F495" t="str">
        <x:f>IF(E495&gt;=WORKDAY.INTL(EOMONTH(E495,0)+1,-2,1,FERIADOS!$A$2:$A$250),"SÍ","NO")</x:f>
        <x:v>NO</x:v>
      </x:c>
      <x:c r="G495" s="10" t="n">
        <x:f>IF(F495="SÍ",EOMONTH(E495,0)+1,DATE(YEAR(E495),MONTH(E495),1))</x:f>
        <x:v>46143</x:v>
      </x:c>
      <x:c r="H495" t="str">
        <x:f>IF(D495="NO",IF(C495="SÍ","FERIADO","FIN DE SEMANA"),"LABORABLE")&amp;IF(F495="SÍ"," + CIERRE","")</x:f>
        <x:v>FIN DE SEMANA</x:v>
      </x:c>
      <x:c r="I495" t="str">
        <x:f>TEXT(G495,"yyyy-mm")</x:f>
        <x:v>2026-05</x:v>
      </x:c>
    </x:row>
    <x:row r="496" ht="19" customHeight="1">
      <x:c r="A496" s="2" t="n">
        <x:v>46152</x:v>
      </x:c>
      <x:c r="B496" t="str">
        <x:f>CHOOSE(WEEKDAY(A496,2),"Lunes","Martes","Miércoles","Jueves","Viernes","Sábado","Domingo")</x:f>
        <x:v>Domingo</x:v>
      </x:c>
      <x:c r="C496" t="str">
        <x:f>IF(COUNTIF(FERIADOS!$A$2:$A$250,A496)&gt;0,"SÍ","NO")</x:f>
        <x:v>NO</x:v>
      </x:c>
      <x:c r="D496" t="str">
        <x:f>IF(AND(WEEKDAY(A496,2)&lt;=5,C496="NO"),"SÍ","NO")</x:f>
        <x:v>NO</x:v>
      </x:c>
      <x:c r="E496" s="2" t="n">
        <x:f>WORKDAY.INTL(A496-1,1,1,FERIADOS!$A$2:$A$250)</x:f>
        <x:v>46153</x:v>
      </x:c>
      <x:c r="F496" t="str">
        <x:f>IF(E496&gt;=WORKDAY.INTL(EOMONTH(E496,0)+1,-2,1,FERIADOS!$A$2:$A$250),"SÍ","NO")</x:f>
        <x:v>NO</x:v>
      </x:c>
      <x:c r="G496" s="10" t="n">
        <x:f>IF(F496="SÍ",EOMONTH(E496,0)+1,DATE(YEAR(E496),MONTH(E496),1))</x:f>
        <x:v>46143</x:v>
      </x:c>
      <x:c r="H496" t="str">
        <x:f>IF(D496="NO",IF(C496="SÍ","FERIADO","FIN DE SEMANA"),"LABORABLE")&amp;IF(F496="SÍ"," + CIERRE","")</x:f>
        <x:v>FIN DE SEMANA</x:v>
      </x:c>
      <x:c r="I496" t="str">
        <x:f>TEXT(G496,"yyyy-mm")</x:f>
        <x:v>2026-05</x:v>
      </x:c>
    </x:row>
    <x:row r="497" ht="19" customHeight="1">
      <x:c r="A497" s="2" t="n">
        <x:v>46153</x:v>
      </x:c>
      <x:c r="B497" t="str">
        <x:f>CHOOSE(WEEKDAY(A497,2),"Lunes","Martes","Miércoles","Jueves","Viernes","Sábado","Domingo")</x:f>
        <x:v>Lunes</x:v>
      </x:c>
      <x:c r="C497" t="str">
        <x:f>IF(COUNTIF(FERIADOS!$A$2:$A$250,A497)&gt;0,"SÍ","NO")</x:f>
        <x:v>NO</x:v>
      </x:c>
      <x:c r="D497" t="str">
        <x:f>IF(AND(WEEKDAY(A497,2)&lt;=5,C497="NO"),"SÍ","NO")</x:f>
        <x:v>SÍ</x:v>
      </x:c>
      <x:c r="E497" s="2" t="n">
        <x:f>WORKDAY.INTL(A497-1,1,1,FERIADOS!$A$2:$A$250)</x:f>
        <x:v>46153</x:v>
      </x:c>
      <x:c r="F497" t="str">
        <x:f>IF(E497&gt;=WORKDAY.INTL(EOMONTH(E497,0)+1,-2,1,FERIADOS!$A$2:$A$250),"SÍ","NO")</x:f>
        <x:v>NO</x:v>
      </x:c>
      <x:c r="G497" s="10" t="n">
        <x:f>IF(F497="SÍ",EOMONTH(E497,0)+1,DATE(YEAR(E497),MONTH(E497),1))</x:f>
        <x:v>46143</x:v>
      </x:c>
      <x:c r="H497" t="str">
        <x:f>IF(D497="NO",IF(C497="SÍ","FERIADO","FIN DE SEMANA"),"LABORABLE")&amp;IF(F497="SÍ"," + CIERRE","")</x:f>
        <x:v>LABORABLE</x:v>
      </x:c>
      <x:c r="I497" t="str">
        <x:f>TEXT(G497,"yyyy-mm")</x:f>
        <x:v>2026-05</x:v>
      </x:c>
    </x:row>
    <x:row r="498" ht="19" customHeight="1">
      <x:c r="A498" s="2" t="n">
        <x:v>46154</x:v>
      </x:c>
      <x:c r="B498" t="str">
        <x:f>CHOOSE(WEEKDAY(A498,2),"Lunes","Martes","Miércoles","Jueves","Viernes","Sábado","Domingo")</x:f>
        <x:v>Martes</x:v>
      </x:c>
      <x:c r="C498" t="str">
        <x:f>IF(COUNTIF(FERIADOS!$A$2:$A$250,A498)&gt;0,"SÍ","NO")</x:f>
        <x:v>NO</x:v>
      </x:c>
      <x:c r="D498" t="str">
        <x:f>IF(AND(WEEKDAY(A498,2)&lt;=5,C498="NO"),"SÍ","NO")</x:f>
        <x:v>SÍ</x:v>
      </x:c>
      <x:c r="E498" s="2" t="n">
        <x:f>WORKDAY.INTL(A498-1,1,1,FERIADOS!$A$2:$A$250)</x:f>
        <x:v>46154</x:v>
      </x:c>
      <x:c r="F498" t="str">
        <x:f>IF(E498&gt;=WORKDAY.INTL(EOMONTH(E498,0)+1,-2,1,FERIADOS!$A$2:$A$250),"SÍ","NO")</x:f>
        <x:v>NO</x:v>
      </x:c>
      <x:c r="G498" s="10" t="n">
        <x:f>IF(F498="SÍ",EOMONTH(E498,0)+1,DATE(YEAR(E498),MONTH(E498),1))</x:f>
        <x:v>46143</x:v>
      </x:c>
      <x:c r="H498" t="str">
        <x:f>IF(D498="NO",IF(C498="SÍ","FERIADO","FIN DE SEMANA"),"LABORABLE")&amp;IF(F498="SÍ"," + CIERRE","")</x:f>
        <x:v>LABORABLE</x:v>
      </x:c>
      <x:c r="I498" t="str">
        <x:f>TEXT(G498,"yyyy-mm")</x:f>
        <x:v>2026-05</x:v>
      </x:c>
    </x:row>
    <x:row r="499" ht="19" customHeight="1">
      <x:c r="A499" s="2" t="n">
        <x:v>46155</x:v>
      </x:c>
      <x:c r="B499" t="str">
        <x:f>CHOOSE(WEEKDAY(A499,2),"Lunes","Martes","Miércoles","Jueves","Viernes","Sábado","Domingo")</x:f>
        <x:v>Miércoles</x:v>
      </x:c>
      <x:c r="C499" t="str">
        <x:f>IF(COUNTIF(FERIADOS!$A$2:$A$250,A499)&gt;0,"SÍ","NO")</x:f>
        <x:v>NO</x:v>
      </x:c>
      <x:c r="D499" t="str">
        <x:f>IF(AND(WEEKDAY(A499,2)&lt;=5,C499="NO"),"SÍ","NO")</x:f>
        <x:v>SÍ</x:v>
      </x:c>
      <x:c r="E499" s="2" t="n">
        <x:f>WORKDAY.INTL(A499-1,1,1,FERIADOS!$A$2:$A$250)</x:f>
        <x:v>46155</x:v>
      </x:c>
      <x:c r="F499" t="str">
        <x:f>IF(E499&gt;=WORKDAY.INTL(EOMONTH(E499,0)+1,-2,1,FERIADOS!$A$2:$A$250),"SÍ","NO")</x:f>
        <x:v>NO</x:v>
      </x:c>
      <x:c r="G499" s="10" t="n">
        <x:f>IF(F499="SÍ",EOMONTH(E499,0)+1,DATE(YEAR(E499),MONTH(E499),1))</x:f>
        <x:v>46143</x:v>
      </x:c>
      <x:c r="H499" t="str">
        <x:f>IF(D499="NO",IF(C499="SÍ","FERIADO","FIN DE SEMANA"),"LABORABLE")&amp;IF(F499="SÍ"," + CIERRE","")</x:f>
        <x:v>LABORABLE</x:v>
      </x:c>
      <x:c r="I499" t="str">
        <x:f>TEXT(G499,"yyyy-mm")</x:f>
        <x:v>2026-05</x:v>
      </x:c>
    </x:row>
    <x:row r="500" ht="19" customHeight="1">
      <x:c r="A500" s="2" t="n">
        <x:v>46156</x:v>
      </x:c>
      <x:c r="B500" t="str">
        <x:f>CHOOSE(WEEKDAY(A500,2),"Lunes","Martes","Miércoles","Jueves","Viernes","Sábado","Domingo")</x:f>
        <x:v>Jueves</x:v>
      </x:c>
      <x:c r="C500" t="str">
        <x:f>IF(COUNTIF(FERIADOS!$A$2:$A$250,A500)&gt;0,"SÍ","NO")</x:f>
        <x:v>NO</x:v>
      </x:c>
      <x:c r="D500" t="str">
        <x:f>IF(AND(WEEKDAY(A500,2)&lt;=5,C500="NO"),"SÍ","NO")</x:f>
        <x:v>SÍ</x:v>
      </x:c>
      <x:c r="E500" s="2" t="n">
        <x:f>WORKDAY.INTL(A500-1,1,1,FERIADOS!$A$2:$A$250)</x:f>
        <x:v>46156</x:v>
      </x:c>
      <x:c r="F500" t="str">
        <x:f>IF(E500&gt;=WORKDAY.INTL(EOMONTH(E500,0)+1,-2,1,FERIADOS!$A$2:$A$250),"SÍ","NO")</x:f>
        <x:v>NO</x:v>
      </x:c>
      <x:c r="G500" s="10" t="n">
        <x:f>IF(F500="SÍ",EOMONTH(E500,0)+1,DATE(YEAR(E500),MONTH(E500),1))</x:f>
        <x:v>46143</x:v>
      </x:c>
      <x:c r="H500" t="str">
        <x:f>IF(D500="NO",IF(C500="SÍ","FERIADO","FIN DE SEMANA"),"LABORABLE")&amp;IF(F500="SÍ"," + CIERRE","")</x:f>
        <x:v>LABORABLE</x:v>
      </x:c>
      <x:c r="I500" t="str">
        <x:f>TEXT(G500,"yyyy-mm")</x:f>
        <x:v>2026-05</x:v>
      </x:c>
    </x:row>
    <x:row r="501" ht="19" customHeight="1">
      <x:c r="A501" s="2" t="n">
        <x:v>46157</x:v>
      </x:c>
      <x:c r="B501" t="str">
        <x:f>CHOOSE(WEEKDAY(A501,2),"Lunes","Martes","Miércoles","Jueves","Viernes","Sábado","Domingo")</x:f>
        <x:v>Viernes</x:v>
      </x:c>
      <x:c r="C501" t="str">
        <x:f>IF(COUNTIF(FERIADOS!$A$2:$A$250,A501)&gt;0,"SÍ","NO")</x:f>
        <x:v>NO</x:v>
      </x:c>
      <x:c r="D501" t="str">
        <x:f>IF(AND(WEEKDAY(A501,2)&lt;=5,C501="NO"),"SÍ","NO")</x:f>
        <x:v>SÍ</x:v>
      </x:c>
      <x:c r="E501" s="2" t="n">
        <x:f>WORKDAY.INTL(A501-1,1,1,FERIADOS!$A$2:$A$250)</x:f>
        <x:v>46157</x:v>
      </x:c>
      <x:c r="F501" t="str">
        <x:f>IF(E501&gt;=WORKDAY.INTL(EOMONTH(E501,0)+1,-2,1,FERIADOS!$A$2:$A$250),"SÍ","NO")</x:f>
        <x:v>NO</x:v>
      </x:c>
      <x:c r="G501" s="10" t="n">
        <x:f>IF(F501="SÍ",EOMONTH(E501,0)+1,DATE(YEAR(E501),MONTH(E501),1))</x:f>
        <x:v>46143</x:v>
      </x:c>
      <x:c r="H501" t="str">
        <x:f>IF(D501="NO",IF(C501="SÍ","FERIADO","FIN DE SEMANA"),"LABORABLE")&amp;IF(F501="SÍ"," + CIERRE","")</x:f>
        <x:v>LABORABLE</x:v>
      </x:c>
      <x:c r="I501" t="str">
        <x:f>TEXT(G501,"yyyy-mm")</x:f>
        <x:v>2026-05</x:v>
      </x:c>
    </x:row>
    <x:row r="502" ht="19" customHeight="1">
      <x:c r="A502" s="2" t="n">
        <x:v>46158</x:v>
      </x:c>
      <x:c r="B502" t="str">
        <x:f>CHOOSE(WEEKDAY(A502,2),"Lunes","Martes","Miércoles","Jueves","Viernes","Sábado","Domingo")</x:f>
        <x:v>Sábado</x:v>
      </x:c>
      <x:c r="C502" t="str">
        <x:f>IF(COUNTIF(FERIADOS!$A$2:$A$250,A502)&gt;0,"SÍ","NO")</x:f>
        <x:v>NO</x:v>
      </x:c>
      <x:c r="D502" t="str">
        <x:f>IF(AND(WEEKDAY(A502,2)&lt;=5,C502="NO"),"SÍ","NO")</x:f>
        <x:v>NO</x:v>
      </x:c>
      <x:c r="E502" s="2" t="n">
        <x:f>WORKDAY.INTL(A502-1,1,1,FERIADOS!$A$2:$A$250)</x:f>
        <x:v>46160</x:v>
      </x:c>
      <x:c r="F502" t="str">
        <x:f>IF(E502&gt;=WORKDAY.INTL(EOMONTH(E502,0)+1,-2,1,FERIADOS!$A$2:$A$250),"SÍ","NO")</x:f>
        <x:v>NO</x:v>
      </x:c>
      <x:c r="G502" s="10" t="n">
        <x:f>IF(F502="SÍ",EOMONTH(E502,0)+1,DATE(YEAR(E502),MONTH(E502),1))</x:f>
        <x:v>46143</x:v>
      </x:c>
      <x:c r="H502" t="str">
        <x:f>IF(D502="NO",IF(C502="SÍ","FERIADO","FIN DE SEMANA"),"LABORABLE")&amp;IF(F502="SÍ"," + CIERRE","")</x:f>
        <x:v>FIN DE SEMANA</x:v>
      </x:c>
      <x:c r="I502" t="str">
        <x:f>TEXT(G502,"yyyy-mm")</x:f>
        <x:v>2026-05</x:v>
      </x:c>
    </x:row>
    <x:row r="503" ht="19" customHeight="1">
      <x:c r="A503" s="2" t="n">
        <x:v>46159</x:v>
      </x:c>
      <x:c r="B503" t="str">
        <x:f>CHOOSE(WEEKDAY(A503,2),"Lunes","Martes","Miércoles","Jueves","Viernes","Sábado","Domingo")</x:f>
        <x:v>Domingo</x:v>
      </x:c>
      <x:c r="C503" t="str">
        <x:f>IF(COUNTIF(FERIADOS!$A$2:$A$250,A503)&gt;0,"SÍ","NO")</x:f>
        <x:v>NO</x:v>
      </x:c>
      <x:c r="D503" t="str">
        <x:f>IF(AND(WEEKDAY(A503,2)&lt;=5,C503="NO"),"SÍ","NO")</x:f>
        <x:v>NO</x:v>
      </x:c>
      <x:c r="E503" s="2" t="n">
        <x:f>WORKDAY.INTL(A503-1,1,1,FERIADOS!$A$2:$A$250)</x:f>
        <x:v>46160</x:v>
      </x:c>
      <x:c r="F503" t="str">
        <x:f>IF(E503&gt;=WORKDAY.INTL(EOMONTH(E503,0)+1,-2,1,FERIADOS!$A$2:$A$250),"SÍ","NO")</x:f>
        <x:v>NO</x:v>
      </x:c>
      <x:c r="G503" s="10" t="n">
        <x:f>IF(F503="SÍ",EOMONTH(E503,0)+1,DATE(YEAR(E503),MONTH(E503),1))</x:f>
        <x:v>46143</x:v>
      </x:c>
      <x:c r="H503" t="str">
        <x:f>IF(D503="NO",IF(C503="SÍ","FERIADO","FIN DE SEMANA"),"LABORABLE")&amp;IF(F503="SÍ"," + CIERRE","")</x:f>
        <x:v>FIN DE SEMANA</x:v>
      </x:c>
      <x:c r="I503" t="str">
        <x:f>TEXT(G503,"yyyy-mm")</x:f>
        <x:v>2026-05</x:v>
      </x:c>
    </x:row>
    <x:row r="504" ht="19" customHeight="1">
      <x:c r="A504" s="2" t="n">
        <x:v>46160</x:v>
      </x:c>
      <x:c r="B504" t="str">
        <x:f>CHOOSE(WEEKDAY(A504,2),"Lunes","Martes","Miércoles","Jueves","Viernes","Sábado","Domingo")</x:f>
        <x:v>Lunes</x:v>
      </x:c>
      <x:c r="C504" t="str">
        <x:f>IF(COUNTIF(FERIADOS!$A$2:$A$250,A504)&gt;0,"SÍ","NO")</x:f>
        <x:v>NO</x:v>
      </x:c>
      <x:c r="D504" t="str">
        <x:f>IF(AND(WEEKDAY(A504,2)&lt;=5,C504="NO"),"SÍ","NO")</x:f>
        <x:v>SÍ</x:v>
      </x:c>
      <x:c r="E504" s="2" t="n">
        <x:f>WORKDAY.INTL(A504-1,1,1,FERIADOS!$A$2:$A$250)</x:f>
        <x:v>46160</x:v>
      </x:c>
      <x:c r="F504" t="str">
        <x:f>IF(E504&gt;=WORKDAY.INTL(EOMONTH(E504,0)+1,-2,1,FERIADOS!$A$2:$A$250),"SÍ","NO")</x:f>
        <x:v>NO</x:v>
      </x:c>
      <x:c r="G504" s="10" t="n">
        <x:f>IF(F504="SÍ",EOMONTH(E504,0)+1,DATE(YEAR(E504),MONTH(E504),1))</x:f>
        <x:v>46143</x:v>
      </x:c>
      <x:c r="H504" t="str">
        <x:f>IF(D504="NO",IF(C504="SÍ","FERIADO","FIN DE SEMANA"),"LABORABLE")&amp;IF(F504="SÍ"," + CIERRE","")</x:f>
        <x:v>LABORABLE</x:v>
      </x:c>
      <x:c r="I504" t="str">
        <x:f>TEXT(G504,"yyyy-mm")</x:f>
        <x:v>2026-05</x:v>
      </x:c>
    </x:row>
    <x:row r="505" ht="19" customHeight="1">
      <x:c r="A505" s="2" t="n">
        <x:v>46161</x:v>
      </x:c>
      <x:c r="B505" t="str">
        <x:f>CHOOSE(WEEKDAY(A505,2),"Lunes","Martes","Miércoles","Jueves","Viernes","Sábado","Domingo")</x:f>
        <x:v>Martes</x:v>
      </x:c>
      <x:c r="C505" t="str">
        <x:f>IF(COUNTIF(FERIADOS!$A$2:$A$250,A505)&gt;0,"SÍ","NO")</x:f>
        <x:v>NO</x:v>
      </x:c>
      <x:c r="D505" t="str">
        <x:f>IF(AND(WEEKDAY(A505,2)&lt;=5,C505="NO"),"SÍ","NO")</x:f>
        <x:v>SÍ</x:v>
      </x:c>
      <x:c r="E505" s="2" t="n">
        <x:f>WORKDAY.INTL(A505-1,1,1,FERIADOS!$A$2:$A$250)</x:f>
        <x:v>46161</x:v>
      </x:c>
      <x:c r="F505" t="str">
        <x:f>IF(E505&gt;=WORKDAY.INTL(EOMONTH(E505,0)+1,-2,1,FERIADOS!$A$2:$A$250),"SÍ","NO")</x:f>
        <x:v>NO</x:v>
      </x:c>
      <x:c r="G505" s="10" t="n">
        <x:f>IF(F505="SÍ",EOMONTH(E505,0)+1,DATE(YEAR(E505),MONTH(E505),1))</x:f>
        <x:v>46143</x:v>
      </x:c>
      <x:c r="H505" t="str">
        <x:f>IF(D505="NO",IF(C505="SÍ","FERIADO","FIN DE SEMANA"),"LABORABLE")&amp;IF(F505="SÍ"," + CIERRE","")</x:f>
        <x:v>LABORABLE</x:v>
      </x:c>
      <x:c r="I505" t="str">
        <x:f>TEXT(G505,"yyyy-mm")</x:f>
        <x:v>2026-05</x:v>
      </x:c>
    </x:row>
    <x:row r="506" ht="19" customHeight="1">
      <x:c r="A506" s="2" t="n">
        <x:v>46162</x:v>
      </x:c>
      <x:c r="B506" t="str">
        <x:f>CHOOSE(WEEKDAY(A506,2),"Lunes","Martes","Miércoles","Jueves","Viernes","Sábado","Domingo")</x:f>
        <x:v>Miércoles</x:v>
      </x:c>
      <x:c r="C506" t="str">
        <x:f>IF(COUNTIF(FERIADOS!$A$2:$A$250,A506)&gt;0,"SÍ","NO")</x:f>
        <x:v>NO</x:v>
      </x:c>
      <x:c r="D506" t="str">
        <x:f>IF(AND(WEEKDAY(A506,2)&lt;=5,C506="NO"),"SÍ","NO")</x:f>
        <x:v>SÍ</x:v>
      </x:c>
      <x:c r="E506" s="2" t="n">
        <x:f>WORKDAY.INTL(A506-1,1,1,FERIADOS!$A$2:$A$250)</x:f>
        <x:v>46162</x:v>
      </x:c>
      <x:c r="F506" t="str">
        <x:f>IF(E506&gt;=WORKDAY.INTL(EOMONTH(E506,0)+1,-2,1,FERIADOS!$A$2:$A$250),"SÍ","NO")</x:f>
        <x:v>NO</x:v>
      </x:c>
      <x:c r="G506" s="10" t="n">
        <x:f>IF(F506="SÍ",EOMONTH(E506,0)+1,DATE(YEAR(E506),MONTH(E506),1))</x:f>
        <x:v>46143</x:v>
      </x:c>
      <x:c r="H506" t="str">
        <x:f>IF(D506="NO",IF(C506="SÍ","FERIADO","FIN DE SEMANA"),"LABORABLE")&amp;IF(F506="SÍ"," + CIERRE","")</x:f>
        <x:v>LABORABLE</x:v>
      </x:c>
      <x:c r="I506" t="str">
        <x:f>TEXT(G506,"yyyy-mm")</x:f>
        <x:v>2026-05</x:v>
      </x:c>
    </x:row>
    <x:row r="507" ht="19" customHeight="1">
      <x:c r="A507" s="2" t="n">
        <x:v>46163</x:v>
      </x:c>
      <x:c r="B507" t="str">
        <x:f>CHOOSE(WEEKDAY(A507,2),"Lunes","Martes","Miércoles","Jueves","Viernes","Sábado","Domingo")</x:f>
        <x:v>Jueves</x:v>
      </x:c>
      <x:c r="C507" t="str">
        <x:f>IF(COUNTIF(FERIADOS!$A$2:$A$250,A507)&gt;0,"SÍ","NO")</x:f>
        <x:v>NO</x:v>
      </x:c>
      <x:c r="D507" t="str">
        <x:f>IF(AND(WEEKDAY(A507,2)&lt;=5,C507="NO"),"SÍ","NO")</x:f>
        <x:v>SÍ</x:v>
      </x:c>
      <x:c r="E507" s="2" t="n">
        <x:f>WORKDAY.INTL(A507-1,1,1,FERIADOS!$A$2:$A$250)</x:f>
        <x:v>46163</x:v>
      </x:c>
      <x:c r="F507" t="str">
        <x:f>IF(E507&gt;=WORKDAY.INTL(EOMONTH(E507,0)+1,-2,1,FERIADOS!$A$2:$A$250),"SÍ","NO")</x:f>
        <x:v>NO</x:v>
      </x:c>
      <x:c r="G507" s="10" t="n">
        <x:f>IF(F507="SÍ",EOMONTH(E507,0)+1,DATE(YEAR(E507),MONTH(E507),1))</x:f>
        <x:v>46143</x:v>
      </x:c>
      <x:c r="H507" t="str">
        <x:f>IF(D507="NO",IF(C507="SÍ","FERIADO","FIN DE SEMANA"),"LABORABLE")&amp;IF(F507="SÍ"," + CIERRE","")</x:f>
        <x:v>LABORABLE</x:v>
      </x:c>
      <x:c r="I507" t="str">
        <x:f>TEXT(G507,"yyyy-mm")</x:f>
        <x:v>2026-05</x:v>
      </x:c>
    </x:row>
    <x:row r="508" ht="19" customHeight="1">
      <x:c r="A508" s="2" t="n">
        <x:v>46164</x:v>
      </x:c>
      <x:c r="B508" t="str">
        <x:f>CHOOSE(WEEKDAY(A508,2),"Lunes","Martes","Miércoles","Jueves","Viernes","Sábado","Domingo")</x:f>
        <x:v>Viernes</x:v>
      </x:c>
      <x:c r="C508" t="str">
        <x:f>IF(COUNTIF(FERIADOS!$A$2:$A$250,A508)&gt;0,"SÍ","NO")</x:f>
        <x:v>NO</x:v>
      </x:c>
      <x:c r="D508" t="str">
        <x:f>IF(AND(WEEKDAY(A508,2)&lt;=5,C508="NO"),"SÍ","NO")</x:f>
        <x:v>SÍ</x:v>
      </x:c>
      <x:c r="E508" s="2" t="n">
        <x:f>WORKDAY.INTL(A508-1,1,1,FERIADOS!$A$2:$A$250)</x:f>
        <x:v>46164</x:v>
      </x:c>
      <x:c r="F508" t="str">
        <x:f>IF(E508&gt;=WORKDAY.INTL(EOMONTH(E508,0)+1,-2,1,FERIADOS!$A$2:$A$250),"SÍ","NO")</x:f>
        <x:v>NO</x:v>
      </x:c>
      <x:c r="G508" s="10" t="n">
        <x:f>IF(F508="SÍ",EOMONTH(E508,0)+1,DATE(YEAR(E508),MONTH(E508),1))</x:f>
        <x:v>46143</x:v>
      </x:c>
      <x:c r="H508" t="str">
        <x:f>IF(D508="NO",IF(C508="SÍ","FERIADO","FIN DE SEMANA"),"LABORABLE")&amp;IF(F508="SÍ"," + CIERRE","")</x:f>
        <x:v>LABORABLE</x:v>
      </x:c>
      <x:c r="I508" t="str">
        <x:f>TEXT(G508,"yyyy-mm")</x:f>
        <x:v>2026-05</x:v>
      </x:c>
    </x:row>
    <x:row r="509" ht="19" customHeight="1">
      <x:c r="A509" s="2" t="n">
        <x:v>46165</x:v>
      </x:c>
      <x:c r="B509" t="str">
        <x:f>CHOOSE(WEEKDAY(A509,2),"Lunes","Martes","Miércoles","Jueves","Viernes","Sábado","Domingo")</x:f>
        <x:v>Sábado</x:v>
      </x:c>
      <x:c r="C509" t="str">
        <x:f>IF(COUNTIF(FERIADOS!$A$2:$A$250,A509)&gt;0,"SÍ","NO")</x:f>
        <x:v>NO</x:v>
      </x:c>
      <x:c r="D509" t="str">
        <x:f>IF(AND(WEEKDAY(A509,2)&lt;=5,C509="NO"),"SÍ","NO")</x:f>
        <x:v>NO</x:v>
      </x:c>
      <x:c r="E509" s="2" t="n">
        <x:f>WORKDAY.INTL(A509-1,1,1,FERIADOS!$A$2:$A$250)</x:f>
        <x:v>46168</x:v>
      </x:c>
      <x:c r="F509" t="str">
        <x:f>IF(E509&gt;=WORKDAY.INTL(EOMONTH(E509,0)+1,-2,1,FERIADOS!$A$2:$A$250),"SÍ","NO")</x:f>
        <x:v>NO</x:v>
      </x:c>
      <x:c r="G509" s="10" t="n">
        <x:f>IF(F509="SÍ",EOMONTH(E509,0)+1,DATE(YEAR(E509),MONTH(E509),1))</x:f>
        <x:v>46143</x:v>
      </x:c>
      <x:c r="H509" t="str">
        <x:f>IF(D509="NO",IF(C509="SÍ","FERIADO","FIN DE SEMANA"),"LABORABLE")&amp;IF(F509="SÍ"," + CIERRE","")</x:f>
        <x:v>FIN DE SEMANA</x:v>
      </x:c>
      <x:c r="I509" t="str">
        <x:f>TEXT(G509,"yyyy-mm")</x:f>
        <x:v>2026-05</x:v>
      </x:c>
    </x:row>
    <x:row r="510" ht="19" customHeight="1">
      <x:c r="A510" s="2" t="n">
        <x:v>46166</x:v>
      </x:c>
      <x:c r="B510" t="str">
        <x:f>CHOOSE(WEEKDAY(A510,2),"Lunes","Martes","Miércoles","Jueves","Viernes","Sábado","Domingo")</x:f>
        <x:v>Domingo</x:v>
      </x:c>
      <x:c r="C510" t="str">
        <x:f>IF(COUNTIF(FERIADOS!$A$2:$A$250,A510)&gt;0,"SÍ","NO")</x:f>
        <x:v>NO</x:v>
      </x:c>
      <x:c r="D510" t="str">
        <x:f>IF(AND(WEEKDAY(A510,2)&lt;=5,C510="NO"),"SÍ","NO")</x:f>
        <x:v>NO</x:v>
      </x:c>
      <x:c r="E510" s="2" t="n">
        <x:f>WORKDAY.INTL(A510-1,1,1,FERIADOS!$A$2:$A$250)</x:f>
        <x:v>46168</x:v>
      </x:c>
      <x:c r="F510" t="str">
        <x:f>IF(E510&gt;=WORKDAY.INTL(EOMONTH(E510,0)+1,-2,1,FERIADOS!$A$2:$A$250),"SÍ","NO")</x:f>
        <x:v>NO</x:v>
      </x:c>
      <x:c r="G510" s="10" t="n">
        <x:f>IF(F510="SÍ",EOMONTH(E510,0)+1,DATE(YEAR(E510),MONTH(E510),1))</x:f>
        <x:v>46143</x:v>
      </x:c>
      <x:c r="H510" t="str">
        <x:f>IF(D510="NO",IF(C510="SÍ","FERIADO","FIN DE SEMANA"),"LABORABLE")&amp;IF(F510="SÍ"," + CIERRE","")</x:f>
        <x:v>FIN DE SEMANA</x:v>
      </x:c>
      <x:c r="I510" t="str">
        <x:f>TEXT(G510,"yyyy-mm")</x:f>
        <x:v>2026-05</x:v>
      </x:c>
    </x:row>
    <x:row r="511" ht="19" customHeight="1">
      <x:c r="A511" s="2" t="n">
        <x:v>46167</x:v>
      </x:c>
      <x:c r="B511" t="str">
        <x:f>CHOOSE(WEEKDAY(A511,2),"Lunes","Martes","Miércoles","Jueves","Viernes","Sábado","Domingo")</x:f>
        <x:v>Lunes</x:v>
      </x:c>
      <x:c r="C511" t="str">
        <x:f>IF(COUNTIF(FERIADOS!$A$2:$A$250,A511)&gt;0,"SÍ","NO")</x:f>
        <x:v>SÍ</x:v>
      </x:c>
      <x:c r="D511" t="str">
        <x:f>IF(AND(WEEKDAY(A511,2)&lt;=5,C511="NO"),"SÍ","NO")</x:f>
        <x:v>NO</x:v>
      </x:c>
      <x:c r="E511" s="2" t="n">
        <x:f>WORKDAY.INTL(A511-1,1,1,FERIADOS!$A$2:$A$250)</x:f>
        <x:v>46168</x:v>
      </x:c>
      <x:c r="F511" t="str">
        <x:f>IF(E511&gt;=WORKDAY.INTL(EOMONTH(E511,0)+1,-2,1,FERIADOS!$A$2:$A$250),"SÍ","NO")</x:f>
        <x:v>NO</x:v>
      </x:c>
      <x:c r="G511" s="10" t="n">
        <x:f>IF(F511="SÍ",EOMONTH(E511,0)+1,DATE(YEAR(E511),MONTH(E511),1))</x:f>
        <x:v>46143</x:v>
      </x:c>
      <x:c r="H511" t="str">
        <x:f>IF(D511="NO",IF(C511="SÍ","FERIADO","FIN DE SEMANA"),"LABORABLE")&amp;IF(F511="SÍ"," + CIERRE","")</x:f>
        <x:v>FERIADO</x:v>
      </x:c>
      <x:c r="I511" t="str">
        <x:f>TEXT(G511,"yyyy-mm")</x:f>
        <x:v>2026-05</x:v>
      </x:c>
    </x:row>
    <x:row r="512" ht="19" customHeight="1">
      <x:c r="A512" s="2" t="n">
        <x:v>46168</x:v>
      </x:c>
      <x:c r="B512" t="str">
        <x:f>CHOOSE(WEEKDAY(A512,2),"Lunes","Martes","Miércoles","Jueves","Viernes","Sábado","Domingo")</x:f>
        <x:v>Martes</x:v>
      </x:c>
      <x:c r="C512" t="str">
        <x:f>IF(COUNTIF(FERIADOS!$A$2:$A$250,A512)&gt;0,"SÍ","NO")</x:f>
        <x:v>NO</x:v>
      </x:c>
      <x:c r="D512" t="str">
        <x:f>IF(AND(WEEKDAY(A512,2)&lt;=5,C512="NO"),"SÍ","NO")</x:f>
        <x:v>SÍ</x:v>
      </x:c>
      <x:c r="E512" s="2" t="n">
        <x:f>WORKDAY.INTL(A512-1,1,1,FERIADOS!$A$2:$A$250)</x:f>
        <x:v>46168</x:v>
      </x:c>
      <x:c r="F512" t="str">
        <x:f>IF(E512&gt;=WORKDAY.INTL(EOMONTH(E512,0)+1,-2,1,FERIADOS!$A$2:$A$250),"SÍ","NO")</x:f>
        <x:v>NO</x:v>
      </x:c>
      <x:c r="G512" s="10" t="n">
        <x:f>IF(F512="SÍ",EOMONTH(E512,0)+1,DATE(YEAR(E512),MONTH(E512),1))</x:f>
        <x:v>46143</x:v>
      </x:c>
      <x:c r="H512" t="str">
        <x:f>IF(D512="NO",IF(C512="SÍ","FERIADO","FIN DE SEMANA"),"LABORABLE")&amp;IF(F512="SÍ"," + CIERRE","")</x:f>
        <x:v>LABORABLE</x:v>
      </x:c>
      <x:c r="I512" t="str">
        <x:f>TEXT(G512,"yyyy-mm")</x:f>
        <x:v>2026-05</x:v>
      </x:c>
    </x:row>
    <x:row r="513" ht="19" customHeight="1">
      <x:c r="A513" s="2" t="n">
        <x:v>46169</x:v>
      </x:c>
      <x:c r="B513" t="str">
        <x:f>CHOOSE(WEEKDAY(A513,2),"Lunes","Martes","Miércoles","Jueves","Viernes","Sábado","Domingo")</x:f>
        <x:v>Miércoles</x:v>
      </x:c>
      <x:c r="C513" t="str">
        <x:f>IF(COUNTIF(FERIADOS!$A$2:$A$250,A513)&gt;0,"SÍ","NO")</x:f>
        <x:v>NO</x:v>
      </x:c>
      <x:c r="D513" t="str">
        <x:f>IF(AND(WEEKDAY(A513,2)&lt;=5,C513="NO"),"SÍ","NO")</x:f>
        <x:v>SÍ</x:v>
      </x:c>
      <x:c r="E513" s="2" t="n">
        <x:f>WORKDAY.INTL(A513-1,1,1,FERIADOS!$A$2:$A$250)</x:f>
        <x:v>46169</x:v>
      </x:c>
      <x:c r="F513" t="str">
        <x:f>IF(E513&gt;=WORKDAY.INTL(EOMONTH(E513,0)+1,-2,1,FERIADOS!$A$2:$A$250),"SÍ","NO")</x:f>
        <x:v>NO</x:v>
      </x:c>
      <x:c r="G513" s="10" t="n">
        <x:f>IF(F513="SÍ",EOMONTH(E513,0)+1,DATE(YEAR(E513),MONTH(E513),1))</x:f>
        <x:v>46143</x:v>
      </x:c>
      <x:c r="H513" t="str">
        <x:f>IF(D513="NO",IF(C513="SÍ","FERIADO","FIN DE SEMANA"),"LABORABLE")&amp;IF(F513="SÍ"," + CIERRE","")</x:f>
        <x:v>LABORABLE</x:v>
      </x:c>
      <x:c r="I513" t="str">
        <x:f>TEXT(G513,"yyyy-mm")</x:f>
        <x:v>2026-05</x:v>
      </x:c>
    </x:row>
    <x:row r="514" ht="19" customHeight="1">
      <x:c r="A514" s="2" t="n">
        <x:v>46170</x:v>
      </x:c>
      <x:c r="B514" t="str">
        <x:f>CHOOSE(WEEKDAY(A514,2),"Lunes","Martes","Miércoles","Jueves","Viernes","Sábado","Domingo")</x:f>
        <x:v>Jueves</x:v>
      </x:c>
      <x:c r="C514" t="str">
        <x:f>IF(COUNTIF(FERIADOS!$A$2:$A$250,A514)&gt;0,"SÍ","NO")</x:f>
        <x:v>NO</x:v>
      </x:c>
      <x:c r="D514" t="str">
        <x:f>IF(AND(WEEKDAY(A514,2)&lt;=5,C514="NO"),"SÍ","NO")</x:f>
        <x:v>SÍ</x:v>
      </x:c>
      <x:c r="E514" s="2" t="n">
        <x:f>WORKDAY.INTL(A514-1,1,1,FERIADOS!$A$2:$A$250)</x:f>
        <x:v>46170</x:v>
      </x:c>
      <x:c r="F514" t="str">
        <x:f>IF(E514&gt;=WORKDAY.INTL(EOMONTH(E514,0)+1,-2,1,FERIADOS!$A$2:$A$250),"SÍ","NO")</x:f>
        <x:v>SÍ</x:v>
      </x:c>
      <x:c r="G514" s="10" t="n">
        <x:f>IF(F514="SÍ",EOMONTH(E514,0)+1,DATE(YEAR(E514),MONTH(E514),1))</x:f>
        <x:v>46174</x:v>
      </x:c>
      <x:c r="H514" t="str">
        <x:f>IF(D514="NO",IF(C514="SÍ","FERIADO","FIN DE SEMANA"),"LABORABLE")&amp;IF(F514="SÍ"," + CIERRE","")</x:f>
        <x:v>LABORABLE + CIERRE</x:v>
      </x:c>
      <x:c r="I514" t="str">
        <x:f>TEXT(G514,"yyyy-mm")</x:f>
        <x:v>2026-06</x:v>
      </x:c>
    </x:row>
    <x:row r="515" ht="19" customHeight="1">
      <x:c r="A515" s="2" t="n">
        <x:v>46171</x:v>
      </x:c>
      <x:c r="B515" t="str">
        <x:f>CHOOSE(WEEKDAY(A515,2),"Lunes","Martes","Miércoles","Jueves","Viernes","Sábado","Domingo")</x:f>
        <x:v>Viernes</x:v>
      </x:c>
      <x:c r="C515" t="str">
        <x:f>IF(COUNTIF(FERIADOS!$A$2:$A$250,A515)&gt;0,"SÍ","NO")</x:f>
        <x:v>NO</x:v>
      </x:c>
      <x:c r="D515" t="str">
        <x:f>IF(AND(WEEKDAY(A515,2)&lt;=5,C515="NO"),"SÍ","NO")</x:f>
        <x:v>SÍ</x:v>
      </x:c>
      <x:c r="E515" s="2" t="n">
        <x:f>WORKDAY.INTL(A515-1,1,1,FERIADOS!$A$2:$A$250)</x:f>
        <x:v>46171</x:v>
      </x:c>
      <x:c r="F515" t="str">
        <x:f>IF(E515&gt;=WORKDAY.INTL(EOMONTH(E515,0)+1,-2,1,FERIADOS!$A$2:$A$250),"SÍ","NO")</x:f>
        <x:v>SÍ</x:v>
      </x:c>
      <x:c r="G515" s="10" t="n">
        <x:f>IF(F515="SÍ",EOMONTH(E515,0)+1,DATE(YEAR(E515),MONTH(E515),1))</x:f>
        <x:v>46174</x:v>
      </x:c>
      <x:c r="H515" t="str">
        <x:f>IF(D515="NO",IF(C515="SÍ","FERIADO","FIN DE SEMANA"),"LABORABLE")&amp;IF(F515="SÍ"," + CIERRE","")</x:f>
        <x:v>LABORABLE + CIERRE</x:v>
      </x:c>
      <x:c r="I515" t="str">
        <x:f>TEXT(G515,"yyyy-mm")</x:f>
        <x:v>2026-06</x:v>
      </x:c>
    </x:row>
    <x:row r="516" ht="19" customHeight="1">
      <x:c r="A516" s="2" t="n">
        <x:v>46172</x:v>
      </x:c>
      <x:c r="B516" t="str">
        <x:f>CHOOSE(WEEKDAY(A516,2),"Lunes","Martes","Miércoles","Jueves","Viernes","Sábado","Domingo")</x:f>
        <x:v>Sábado</x:v>
      </x:c>
      <x:c r="C516" t="str">
        <x:f>IF(COUNTIF(FERIADOS!$A$2:$A$250,A516)&gt;0,"SÍ","NO")</x:f>
        <x:v>NO</x:v>
      </x:c>
      <x:c r="D516" t="str">
        <x:f>IF(AND(WEEKDAY(A516,2)&lt;=5,C516="NO"),"SÍ","NO")</x:f>
        <x:v>NO</x:v>
      </x:c>
      <x:c r="E516" s="2" t="n">
        <x:f>WORKDAY.INTL(A516-1,1,1,FERIADOS!$A$2:$A$250)</x:f>
        <x:v>46174</x:v>
      </x:c>
      <x:c r="F516" t="str">
        <x:f>IF(E516&gt;=WORKDAY.INTL(EOMONTH(E516,0)+1,-2,1,FERIADOS!$A$2:$A$250),"SÍ","NO")</x:f>
        <x:v>NO</x:v>
      </x:c>
      <x:c r="G516" s="10" t="n">
        <x:f>IF(F516="SÍ",EOMONTH(E516,0)+1,DATE(YEAR(E516),MONTH(E516),1))</x:f>
        <x:v>46174</x:v>
      </x:c>
      <x:c r="H516" t="str">
        <x:f>IF(D516="NO",IF(C516="SÍ","FERIADO","FIN DE SEMANA"),"LABORABLE")&amp;IF(F516="SÍ"," + CIERRE","")</x:f>
        <x:v>FIN DE SEMANA</x:v>
      </x:c>
      <x:c r="I516" t="str">
        <x:f>TEXT(G516,"yyyy-mm")</x:f>
        <x:v>2026-06</x:v>
      </x:c>
    </x:row>
    <x:row r="517" ht="19" customHeight="1">
      <x:c r="A517" s="2" t="n">
        <x:v>46173</x:v>
      </x:c>
      <x:c r="B517" t="str">
        <x:f>CHOOSE(WEEKDAY(A517,2),"Lunes","Martes","Miércoles","Jueves","Viernes","Sábado","Domingo")</x:f>
        <x:v>Domingo</x:v>
      </x:c>
      <x:c r="C517" t="str">
        <x:f>IF(COUNTIF(FERIADOS!$A$2:$A$250,A517)&gt;0,"SÍ","NO")</x:f>
        <x:v>NO</x:v>
      </x:c>
      <x:c r="D517" t="str">
        <x:f>IF(AND(WEEKDAY(A517,2)&lt;=5,C517="NO"),"SÍ","NO")</x:f>
        <x:v>NO</x:v>
      </x:c>
      <x:c r="E517" s="2" t="n">
        <x:f>WORKDAY.INTL(A517-1,1,1,FERIADOS!$A$2:$A$250)</x:f>
        <x:v>46174</x:v>
      </x:c>
      <x:c r="F517" t="str">
        <x:f>IF(E517&gt;=WORKDAY.INTL(EOMONTH(E517,0)+1,-2,1,FERIADOS!$A$2:$A$250),"SÍ","NO")</x:f>
        <x:v>NO</x:v>
      </x:c>
      <x:c r="G517" s="10" t="n">
        <x:f>IF(F517="SÍ",EOMONTH(E517,0)+1,DATE(YEAR(E517),MONTH(E517),1))</x:f>
        <x:v>46174</x:v>
      </x:c>
      <x:c r="H517" t="str">
        <x:f>IF(D517="NO",IF(C517="SÍ","FERIADO","FIN DE SEMANA"),"LABORABLE")&amp;IF(F517="SÍ"," + CIERRE","")</x:f>
        <x:v>FIN DE SEMANA</x:v>
      </x:c>
      <x:c r="I517" t="str">
        <x:f>TEXT(G517,"yyyy-mm")</x:f>
        <x:v>2026-06</x:v>
      </x:c>
    </x:row>
    <x:row r="518" ht="19" customHeight="1">
      <x:c r="A518" s="2" t="n">
        <x:v>46174</x:v>
      </x:c>
      <x:c r="B518" t="str">
        <x:f>CHOOSE(WEEKDAY(A518,2),"Lunes","Martes","Miércoles","Jueves","Viernes","Sábado","Domingo")</x:f>
        <x:v>Lunes</x:v>
      </x:c>
      <x:c r="C518" t="str">
        <x:f>IF(COUNTIF(FERIADOS!$A$2:$A$250,A518)&gt;0,"SÍ","NO")</x:f>
        <x:v>NO</x:v>
      </x:c>
      <x:c r="D518" t="str">
        <x:f>IF(AND(WEEKDAY(A518,2)&lt;=5,C518="NO"),"SÍ","NO")</x:f>
        <x:v>SÍ</x:v>
      </x:c>
      <x:c r="E518" s="2" t="n">
        <x:f>WORKDAY.INTL(A518-1,1,1,FERIADOS!$A$2:$A$250)</x:f>
        <x:v>46174</x:v>
      </x:c>
      <x:c r="F518" t="str">
        <x:f>IF(E518&gt;=WORKDAY.INTL(EOMONTH(E518,0)+1,-2,1,FERIADOS!$A$2:$A$250),"SÍ","NO")</x:f>
        <x:v>NO</x:v>
      </x:c>
      <x:c r="G518" s="10" t="n">
        <x:f>IF(F518="SÍ",EOMONTH(E518,0)+1,DATE(YEAR(E518),MONTH(E518),1))</x:f>
        <x:v>46174</x:v>
      </x:c>
      <x:c r="H518" t="str">
        <x:f>IF(D518="NO",IF(C518="SÍ","FERIADO","FIN DE SEMANA"),"LABORABLE")&amp;IF(F518="SÍ"," + CIERRE","")</x:f>
        <x:v>LABORABLE</x:v>
      </x:c>
      <x:c r="I518" t="str">
        <x:f>TEXT(G518,"yyyy-mm")</x:f>
        <x:v>2026-06</x:v>
      </x:c>
    </x:row>
    <x:row r="519" ht="19" customHeight="1">
      <x:c r="A519" s="2" t="n">
        <x:v>46175</x:v>
      </x:c>
      <x:c r="B519" t="str">
        <x:f>CHOOSE(WEEKDAY(A519,2),"Lunes","Martes","Miércoles","Jueves","Viernes","Sábado","Domingo")</x:f>
        <x:v>Martes</x:v>
      </x:c>
      <x:c r="C519" t="str">
        <x:f>IF(COUNTIF(FERIADOS!$A$2:$A$250,A519)&gt;0,"SÍ","NO")</x:f>
        <x:v>NO</x:v>
      </x:c>
      <x:c r="D519" t="str">
        <x:f>IF(AND(WEEKDAY(A519,2)&lt;=5,C519="NO"),"SÍ","NO")</x:f>
        <x:v>SÍ</x:v>
      </x:c>
      <x:c r="E519" s="2" t="n">
        <x:f>WORKDAY.INTL(A519-1,1,1,FERIADOS!$A$2:$A$250)</x:f>
        <x:v>46175</x:v>
      </x:c>
      <x:c r="F519" t="str">
        <x:f>IF(E519&gt;=WORKDAY.INTL(EOMONTH(E519,0)+1,-2,1,FERIADOS!$A$2:$A$250),"SÍ","NO")</x:f>
        <x:v>NO</x:v>
      </x:c>
      <x:c r="G519" s="10" t="n">
        <x:f>IF(F519="SÍ",EOMONTH(E519,0)+1,DATE(YEAR(E519),MONTH(E519),1))</x:f>
        <x:v>46174</x:v>
      </x:c>
      <x:c r="H519" t="str">
        <x:f>IF(D519="NO",IF(C519="SÍ","FERIADO","FIN DE SEMANA"),"LABORABLE")&amp;IF(F519="SÍ"," + CIERRE","")</x:f>
        <x:v>LABORABLE</x:v>
      </x:c>
      <x:c r="I519" t="str">
        <x:f>TEXT(G519,"yyyy-mm")</x:f>
        <x:v>2026-06</x:v>
      </x:c>
    </x:row>
    <x:row r="520" ht="19" customHeight="1">
      <x:c r="A520" s="2" t="n">
        <x:v>46176</x:v>
      </x:c>
      <x:c r="B520" t="str">
        <x:f>CHOOSE(WEEKDAY(A520,2),"Lunes","Martes","Miércoles","Jueves","Viernes","Sábado","Domingo")</x:f>
        <x:v>Miércoles</x:v>
      </x:c>
      <x:c r="C520" t="str">
        <x:f>IF(COUNTIF(FERIADOS!$A$2:$A$250,A520)&gt;0,"SÍ","NO")</x:f>
        <x:v>NO</x:v>
      </x:c>
      <x:c r="D520" t="str">
        <x:f>IF(AND(WEEKDAY(A520,2)&lt;=5,C520="NO"),"SÍ","NO")</x:f>
        <x:v>SÍ</x:v>
      </x:c>
      <x:c r="E520" s="2" t="n">
        <x:f>WORKDAY.INTL(A520-1,1,1,FERIADOS!$A$2:$A$250)</x:f>
        <x:v>46176</x:v>
      </x:c>
      <x:c r="F520" t="str">
        <x:f>IF(E520&gt;=WORKDAY.INTL(EOMONTH(E520,0)+1,-2,1,FERIADOS!$A$2:$A$250),"SÍ","NO")</x:f>
        <x:v>NO</x:v>
      </x:c>
      <x:c r="G520" s="10" t="n">
        <x:f>IF(F520="SÍ",EOMONTH(E520,0)+1,DATE(YEAR(E520),MONTH(E520),1))</x:f>
        <x:v>46174</x:v>
      </x:c>
      <x:c r="H520" t="str">
        <x:f>IF(D520="NO",IF(C520="SÍ","FERIADO","FIN DE SEMANA"),"LABORABLE")&amp;IF(F520="SÍ"," + CIERRE","")</x:f>
        <x:v>LABORABLE</x:v>
      </x:c>
      <x:c r="I520" t="str">
        <x:f>TEXT(G520,"yyyy-mm")</x:f>
        <x:v>2026-06</x:v>
      </x:c>
    </x:row>
    <x:row r="521" ht="19" customHeight="1">
      <x:c r="A521" s="2" t="n">
        <x:v>46177</x:v>
      </x:c>
      <x:c r="B521" t="str">
        <x:f>CHOOSE(WEEKDAY(A521,2),"Lunes","Martes","Miércoles","Jueves","Viernes","Sábado","Domingo")</x:f>
        <x:v>Jueves</x:v>
      </x:c>
      <x:c r="C521" t="str">
        <x:f>IF(COUNTIF(FERIADOS!$A$2:$A$250,A521)&gt;0,"SÍ","NO")</x:f>
        <x:v>NO</x:v>
      </x:c>
      <x:c r="D521" t="str">
        <x:f>IF(AND(WEEKDAY(A521,2)&lt;=5,C521="NO"),"SÍ","NO")</x:f>
        <x:v>SÍ</x:v>
      </x:c>
      <x:c r="E521" s="2" t="n">
        <x:f>WORKDAY.INTL(A521-1,1,1,FERIADOS!$A$2:$A$250)</x:f>
        <x:v>46177</x:v>
      </x:c>
      <x:c r="F521" t="str">
        <x:f>IF(E521&gt;=WORKDAY.INTL(EOMONTH(E521,0)+1,-2,1,FERIADOS!$A$2:$A$250),"SÍ","NO")</x:f>
        <x:v>NO</x:v>
      </x:c>
      <x:c r="G521" s="10" t="n">
        <x:f>IF(F521="SÍ",EOMONTH(E521,0)+1,DATE(YEAR(E521),MONTH(E521),1))</x:f>
        <x:v>46174</x:v>
      </x:c>
      <x:c r="H521" t="str">
        <x:f>IF(D521="NO",IF(C521="SÍ","FERIADO","FIN DE SEMANA"),"LABORABLE")&amp;IF(F521="SÍ"," + CIERRE","")</x:f>
        <x:v>LABORABLE</x:v>
      </x:c>
      <x:c r="I521" t="str">
        <x:f>TEXT(G521,"yyyy-mm")</x:f>
        <x:v>2026-06</x:v>
      </x:c>
    </x:row>
    <x:row r="522" ht="19" customHeight="1">
      <x:c r="A522" s="2" t="n">
        <x:v>46178</x:v>
      </x:c>
      <x:c r="B522" t="str">
        <x:f>CHOOSE(WEEKDAY(A522,2),"Lunes","Martes","Miércoles","Jueves","Viernes","Sábado","Domingo")</x:f>
        <x:v>Viernes</x:v>
      </x:c>
      <x:c r="C522" t="str">
        <x:f>IF(COUNTIF(FERIADOS!$A$2:$A$250,A522)&gt;0,"SÍ","NO")</x:f>
        <x:v>NO</x:v>
      </x:c>
      <x:c r="D522" t="str">
        <x:f>IF(AND(WEEKDAY(A522,2)&lt;=5,C522="NO"),"SÍ","NO")</x:f>
        <x:v>SÍ</x:v>
      </x:c>
      <x:c r="E522" s="2" t="n">
        <x:f>WORKDAY.INTL(A522-1,1,1,FERIADOS!$A$2:$A$250)</x:f>
        <x:v>46178</x:v>
      </x:c>
      <x:c r="F522" t="str">
        <x:f>IF(E522&gt;=WORKDAY.INTL(EOMONTH(E522,0)+1,-2,1,FERIADOS!$A$2:$A$250),"SÍ","NO")</x:f>
        <x:v>NO</x:v>
      </x:c>
      <x:c r="G522" s="10" t="n">
        <x:f>IF(F522="SÍ",EOMONTH(E522,0)+1,DATE(YEAR(E522),MONTH(E522),1))</x:f>
        <x:v>46174</x:v>
      </x:c>
      <x:c r="H522" t="str">
        <x:f>IF(D522="NO",IF(C522="SÍ","FERIADO","FIN DE SEMANA"),"LABORABLE")&amp;IF(F522="SÍ"," + CIERRE","")</x:f>
        <x:v>LABORABLE</x:v>
      </x:c>
      <x:c r="I522" t="str">
        <x:f>TEXT(G522,"yyyy-mm")</x:f>
        <x:v>2026-06</x:v>
      </x:c>
    </x:row>
    <x:row r="523" ht="19" customHeight="1">
      <x:c r="A523" s="2" t="n">
        <x:v>46179</x:v>
      </x:c>
      <x:c r="B523" t="str">
        <x:f>CHOOSE(WEEKDAY(A523,2),"Lunes","Martes","Miércoles","Jueves","Viernes","Sábado","Domingo")</x:f>
        <x:v>Sábado</x:v>
      </x:c>
      <x:c r="C523" t="str">
        <x:f>IF(COUNTIF(FERIADOS!$A$2:$A$250,A523)&gt;0,"SÍ","NO")</x:f>
        <x:v>NO</x:v>
      </x:c>
      <x:c r="D523" t="str">
        <x:f>IF(AND(WEEKDAY(A523,2)&lt;=5,C523="NO"),"SÍ","NO")</x:f>
        <x:v>NO</x:v>
      </x:c>
      <x:c r="E523" s="2" t="n">
        <x:f>WORKDAY.INTL(A523-1,1,1,FERIADOS!$A$2:$A$250)</x:f>
        <x:v>46181</x:v>
      </x:c>
      <x:c r="F523" t="str">
        <x:f>IF(E523&gt;=WORKDAY.INTL(EOMONTH(E523,0)+1,-2,1,FERIADOS!$A$2:$A$250),"SÍ","NO")</x:f>
        <x:v>NO</x:v>
      </x:c>
      <x:c r="G523" s="10" t="n">
        <x:f>IF(F523="SÍ",EOMONTH(E523,0)+1,DATE(YEAR(E523),MONTH(E523),1))</x:f>
        <x:v>46174</x:v>
      </x:c>
      <x:c r="H523" t="str">
        <x:f>IF(D523="NO",IF(C523="SÍ","FERIADO","FIN DE SEMANA"),"LABORABLE")&amp;IF(F523="SÍ"," + CIERRE","")</x:f>
        <x:v>FIN DE SEMANA</x:v>
      </x:c>
      <x:c r="I523" t="str">
        <x:f>TEXT(G523,"yyyy-mm")</x:f>
        <x:v>2026-06</x:v>
      </x:c>
    </x:row>
    <x:row r="524" ht="19" customHeight="1">
      <x:c r="A524" s="2" t="n">
        <x:v>46180</x:v>
      </x:c>
      <x:c r="B524" t="str">
        <x:f>CHOOSE(WEEKDAY(A524,2),"Lunes","Martes","Miércoles","Jueves","Viernes","Sábado","Domingo")</x:f>
        <x:v>Domingo</x:v>
      </x:c>
      <x:c r="C524" t="str">
        <x:f>IF(COUNTIF(FERIADOS!$A$2:$A$250,A524)&gt;0,"SÍ","NO")</x:f>
        <x:v>NO</x:v>
      </x:c>
      <x:c r="D524" t="str">
        <x:f>IF(AND(WEEKDAY(A524,2)&lt;=5,C524="NO"),"SÍ","NO")</x:f>
        <x:v>NO</x:v>
      </x:c>
      <x:c r="E524" s="2" t="n">
        <x:f>WORKDAY.INTL(A524-1,1,1,FERIADOS!$A$2:$A$250)</x:f>
        <x:v>46181</x:v>
      </x:c>
      <x:c r="F524" t="str">
        <x:f>IF(E524&gt;=WORKDAY.INTL(EOMONTH(E524,0)+1,-2,1,FERIADOS!$A$2:$A$250),"SÍ","NO")</x:f>
        <x:v>NO</x:v>
      </x:c>
      <x:c r="G524" s="10" t="n">
        <x:f>IF(F524="SÍ",EOMONTH(E524,0)+1,DATE(YEAR(E524),MONTH(E524),1))</x:f>
        <x:v>46174</x:v>
      </x:c>
      <x:c r="H524" t="str">
        <x:f>IF(D524="NO",IF(C524="SÍ","FERIADO","FIN DE SEMANA"),"LABORABLE")&amp;IF(F524="SÍ"," + CIERRE","")</x:f>
        <x:v>FIN DE SEMANA</x:v>
      </x:c>
      <x:c r="I524" t="str">
        <x:f>TEXT(G524,"yyyy-mm")</x:f>
        <x:v>2026-06</x:v>
      </x:c>
    </x:row>
    <x:row r="525" ht="19" customHeight="1">
      <x:c r="A525" s="2" t="n">
        <x:v>46181</x:v>
      </x:c>
      <x:c r="B525" t="str">
        <x:f>CHOOSE(WEEKDAY(A525,2),"Lunes","Martes","Miércoles","Jueves","Viernes","Sábado","Domingo")</x:f>
        <x:v>Lunes</x:v>
      </x:c>
      <x:c r="C525" t="str">
        <x:f>IF(COUNTIF(FERIADOS!$A$2:$A$250,A525)&gt;0,"SÍ","NO")</x:f>
        <x:v>NO</x:v>
      </x:c>
      <x:c r="D525" t="str">
        <x:f>IF(AND(WEEKDAY(A525,2)&lt;=5,C525="NO"),"SÍ","NO")</x:f>
        <x:v>SÍ</x:v>
      </x:c>
      <x:c r="E525" s="2" t="n">
        <x:f>WORKDAY.INTL(A525-1,1,1,FERIADOS!$A$2:$A$250)</x:f>
        <x:v>46181</x:v>
      </x:c>
      <x:c r="F525" t="str">
        <x:f>IF(E525&gt;=WORKDAY.INTL(EOMONTH(E525,0)+1,-2,1,FERIADOS!$A$2:$A$250),"SÍ","NO")</x:f>
        <x:v>NO</x:v>
      </x:c>
      <x:c r="G525" s="10" t="n">
        <x:f>IF(F525="SÍ",EOMONTH(E525,0)+1,DATE(YEAR(E525),MONTH(E525),1))</x:f>
        <x:v>46174</x:v>
      </x:c>
      <x:c r="H525" t="str">
        <x:f>IF(D525="NO",IF(C525="SÍ","FERIADO","FIN DE SEMANA"),"LABORABLE")&amp;IF(F525="SÍ"," + CIERRE","")</x:f>
        <x:v>LABORABLE</x:v>
      </x:c>
      <x:c r="I525" t="str">
        <x:f>TEXT(G525,"yyyy-mm")</x:f>
        <x:v>2026-06</x:v>
      </x:c>
    </x:row>
    <x:row r="526" ht="19" customHeight="1">
      <x:c r="A526" s="2" t="n">
        <x:v>46182</x:v>
      </x:c>
      <x:c r="B526" t="str">
        <x:f>CHOOSE(WEEKDAY(A526,2),"Lunes","Martes","Miércoles","Jueves","Viernes","Sábado","Domingo")</x:f>
        <x:v>Martes</x:v>
      </x:c>
      <x:c r="C526" t="str">
        <x:f>IF(COUNTIF(FERIADOS!$A$2:$A$250,A526)&gt;0,"SÍ","NO")</x:f>
        <x:v>NO</x:v>
      </x:c>
      <x:c r="D526" t="str">
        <x:f>IF(AND(WEEKDAY(A526,2)&lt;=5,C526="NO"),"SÍ","NO")</x:f>
        <x:v>SÍ</x:v>
      </x:c>
      <x:c r="E526" s="2" t="n">
        <x:f>WORKDAY.INTL(A526-1,1,1,FERIADOS!$A$2:$A$250)</x:f>
        <x:v>46182</x:v>
      </x:c>
      <x:c r="F526" t="str">
        <x:f>IF(E526&gt;=WORKDAY.INTL(EOMONTH(E526,0)+1,-2,1,FERIADOS!$A$2:$A$250),"SÍ","NO")</x:f>
        <x:v>NO</x:v>
      </x:c>
      <x:c r="G526" s="10" t="n">
        <x:f>IF(F526="SÍ",EOMONTH(E526,0)+1,DATE(YEAR(E526),MONTH(E526),1))</x:f>
        <x:v>46174</x:v>
      </x:c>
      <x:c r="H526" t="str">
        <x:f>IF(D526="NO",IF(C526="SÍ","FERIADO","FIN DE SEMANA"),"LABORABLE")&amp;IF(F526="SÍ"," + CIERRE","")</x:f>
        <x:v>LABORABLE</x:v>
      </x:c>
      <x:c r="I526" t="str">
        <x:f>TEXT(G526,"yyyy-mm")</x:f>
        <x:v>2026-06</x:v>
      </x:c>
    </x:row>
    <x:row r="527" ht="19" customHeight="1">
      <x:c r="A527" s="2" t="n">
        <x:v>46183</x:v>
      </x:c>
      <x:c r="B527" t="str">
        <x:f>CHOOSE(WEEKDAY(A527,2),"Lunes","Martes","Miércoles","Jueves","Viernes","Sábado","Domingo")</x:f>
        <x:v>Miércoles</x:v>
      </x:c>
      <x:c r="C527" t="str">
        <x:f>IF(COUNTIF(FERIADOS!$A$2:$A$250,A527)&gt;0,"SÍ","NO")</x:f>
        <x:v>NO</x:v>
      </x:c>
      <x:c r="D527" t="str">
        <x:f>IF(AND(WEEKDAY(A527,2)&lt;=5,C527="NO"),"SÍ","NO")</x:f>
        <x:v>SÍ</x:v>
      </x:c>
      <x:c r="E527" s="2" t="n">
        <x:f>WORKDAY.INTL(A527-1,1,1,FERIADOS!$A$2:$A$250)</x:f>
        <x:v>46183</x:v>
      </x:c>
      <x:c r="F527" t="str">
        <x:f>IF(E527&gt;=WORKDAY.INTL(EOMONTH(E527,0)+1,-2,1,FERIADOS!$A$2:$A$250),"SÍ","NO")</x:f>
        <x:v>NO</x:v>
      </x:c>
      <x:c r="G527" s="10" t="n">
        <x:f>IF(F527="SÍ",EOMONTH(E527,0)+1,DATE(YEAR(E527),MONTH(E527),1))</x:f>
        <x:v>46174</x:v>
      </x:c>
      <x:c r="H527" t="str">
        <x:f>IF(D527="NO",IF(C527="SÍ","FERIADO","FIN DE SEMANA"),"LABORABLE")&amp;IF(F527="SÍ"," + CIERRE","")</x:f>
        <x:v>LABORABLE</x:v>
      </x:c>
      <x:c r="I527" t="str">
        <x:f>TEXT(G527,"yyyy-mm")</x:f>
        <x:v>2026-06</x:v>
      </x:c>
    </x:row>
    <x:row r="528" ht="19" customHeight="1">
      <x:c r="A528" s="2" t="n">
        <x:v>46184</x:v>
      </x:c>
      <x:c r="B528" t="str">
        <x:f>CHOOSE(WEEKDAY(A528,2),"Lunes","Martes","Miércoles","Jueves","Viernes","Sábado","Domingo")</x:f>
        <x:v>Jueves</x:v>
      </x:c>
      <x:c r="C528" t="str">
        <x:f>IF(COUNTIF(FERIADOS!$A$2:$A$250,A528)&gt;0,"SÍ","NO")</x:f>
        <x:v>NO</x:v>
      </x:c>
      <x:c r="D528" t="str">
        <x:f>IF(AND(WEEKDAY(A528,2)&lt;=5,C528="NO"),"SÍ","NO")</x:f>
        <x:v>SÍ</x:v>
      </x:c>
      <x:c r="E528" s="2" t="n">
        <x:f>WORKDAY.INTL(A528-1,1,1,FERIADOS!$A$2:$A$250)</x:f>
        <x:v>46184</x:v>
      </x:c>
      <x:c r="F528" t="str">
        <x:f>IF(E528&gt;=WORKDAY.INTL(EOMONTH(E528,0)+1,-2,1,FERIADOS!$A$2:$A$250),"SÍ","NO")</x:f>
        <x:v>NO</x:v>
      </x:c>
      <x:c r="G528" s="10" t="n">
        <x:f>IF(F528="SÍ",EOMONTH(E528,0)+1,DATE(YEAR(E528),MONTH(E528),1))</x:f>
        <x:v>46174</x:v>
      </x:c>
      <x:c r="H528" t="str">
        <x:f>IF(D528="NO",IF(C528="SÍ","FERIADO","FIN DE SEMANA"),"LABORABLE")&amp;IF(F528="SÍ"," + CIERRE","")</x:f>
        <x:v>LABORABLE</x:v>
      </x:c>
      <x:c r="I528" t="str">
        <x:f>TEXT(G528,"yyyy-mm")</x:f>
        <x:v>2026-06</x:v>
      </x:c>
    </x:row>
    <x:row r="529" ht="19" customHeight="1">
      <x:c r="A529" s="2" t="n">
        <x:v>46185</x:v>
      </x:c>
      <x:c r="B529" t="str">
        <x:f>CHOOSE(WEEKDAY(A529,2),"Lunes","Martes","Miércoles","Jueves","Viernes","Sábado","Domingo")</x:f>
        <x:v>Viernes</x:v>
      </x:c>
      <x:c r="C529" t="str">
        <x:f>IF(COUNTIF(FERIADOS!$A$2:$A$250,A529)&gt;0,"SÍ","NO")</x:f>
        <x:v>NO</x:v>
      </x:c>
      <x:c r="D529" t="str">
        <x:f>IF(AND(WEEKDAY(A529,2)&lt;=5,C529="NO"),"SÍ","NO")</x:f>
        <x:v>SÍ</x:v>
      </x:c>
      <x:c r="E529" s="2" t="n">
        <x:f>WORKDAY.INTL(A529-1,1,1,FERIADOS!$A$2:$A$250)</x:f>
        <x:v>46185</x:v>
      </x:c>
      <x:c r="F529" t="str">
        <x:f>IF(E529&gt;=WORKDAY.INTL(EOMONTH(E529,0)+1,-2,1,FERIADOS!$A$2:$A$250),"SÍ","NO")</x:f>
        <x:v>NO</x:v>
      </x:c>
      <x:c r="G529" s="10" t="n">
        <x:f>IF(F529="SÍ",EOMONTH(E529,0)+1,DATE(YEAR(E529),MONTH(E529),1))</x:f>
        <x:v>46174</x:v>
      </x:c>
      <x:c r="H529" t="str">
        <x:f>IF(D529="NO",IF(C529="SÍ","FERIADO","FIN DE SEMANA"),"LABORABLE")&amp;IF(F529="SÍ"," + CIERRE","")</x:f>
        <x:v>LABORABLE</x:v>
      </x:c>
      <x:c r="I529" t="str">
        <x:f>TEXT(G529,"yyyy-mm")</x:f>
        <x:v>2026-06</x:v>
      </x:c>
    </x:row>
    <x:row r="530" ht="19" customHeight="1">
      <x:c r="A530" s="2" t="n">
        <x:v>46186</x:v>
      </x:c>
      <x:c r="B530" t="str">
        <x:f>CHOOSE(WEEKDAY(A530,2),"Lunes","Martes","Miércoles","Jueves","Viernes","Sábado","Domingo")</x:f>
        <x:v>Sábado</x:v>
      </x:c>
      <x:c r="C530" t="str">
        <x:f>IF(COUNTIF(FERIADOS!$A$2:$A$250,A530)&gt;0,"SÍ","NO")</x:f>
        <x:v>NO</x:v>
      </x:c>
      <x:c r="D530" t="str">
        <x:f>IF(AND(WEEKDAY(A530,2)&lt;=5,C530="NO"),"SÍ","NO")</x:f>
        <x:v>NO</x:v>
      </x:c>
      <x:c r="E530" s="2" t="n">
        <x:f>WORKDAY.INTL(A530-1,1,1,FERIADOS!$A$2:$A$250)</x:f>
        <x:v>46188</x:v>
      </x:c>
      <x:c r="F530" t="str">
        <x:f>IF(E530&gt;=WORKDAY.INTL(EOMONTH(E530,0)+1,-2,1,FERIADOS!$A$2:$A$250),"SÍ","NO")</x:f>
        <x:v>NO</x:v>
      </x:c>
      <x:c r="G530" s="10" t="n">
        <x:f>IF(F530="SÍ",EOMONTH(E530,0)+1,DATE(YEAR(E530),MONTH(E530),1))</x:f>
        <x:v>46174</x:v>
      </x:c>
      <x:c r="H530" t="str">
        <x:f>IF(D530="NO",IF(C530="SÍ","FERIADO","FIN DE SEMANA"),"LABORABLE")&amp;IF(F530="SÍ"," + CIERRE","")</x:f>
        <x:v>FIN DE SEMANA</x:v>
      </x:c>
      <x:c r="I530" t="str">
        <x:f>TEXT(G530,"yyyy-mm")</x:f>
        <x:v>2026-06</x:v>
      </x:c>
    </x:row>
    <x:row r="531" ht="19" customHeight="1">
      <x:c r="A531" s="2" t="n">
        <x:v>46187</x:v>
      </x:c>
      <x:c r="B531" t="str">
        <x:f>CHOOSE(WEEKDAY(A531,2),"Lunes","Martes","Miércoles","Jueves","Viernes","Sábado","Domingo")</x:f>
        <x:v>Domingo</x:v>
      </x:c>
      <x:c r="C531" t="str">
        <x:f>IF(COUNTIF(FERIADOS!$A$2:$A$250,A531)&gt;0,"SÍ","NO")</x:f>
        <x:v>NO</x:v>
      </x:c>
      <x:c r="D531" t="str">
        <x:f>IF(AND(WEEKDAY(A531,2)&lt;=5,C531="NO"),"SÍ","NO")</x:f>
        <x:v>NO</x:v>
      </x:c>
      <x:c r="E531" s="2" t="n">
        <x:f>WORKDAY.INTL(A531-1,1,1,FERIADOS!$A$2:$A$250)</x:f>
        <x:v>46188</x:v>
      </x:c>
      <x:c r="F531" t="str">
        <x:f>IF(E531&gt;=WORKDAY.INTL(EOMONTH(E531,0)+1,-2,1,FERIADOS!$A$2:$A$250),"SÍ","NO")</x:f>
        <x:v>NO</x:v>
      </x:c>
      <x:c r="G531" s="10" t="n">
        <x:f>IF(F531="SÍ",EOMONTH(E531,0)+1,DATE(YEAR(E531),MONTH(E531),1))</x:f>
        <x:v>46174</x:v>
      </x:c>
      <x:c r="H531" t="str">
        <x:f>IF(D531="NO",IF(C531="SÍ","FERIADO","FIN DE SEMANA"),"LABORABLE")&amp;IF(F531="SÍ"," + CIERRE","")</x:f>
        <x:v>FIN DE SEMANA</x:v>
      </x:c>
      <x:c r="I531" t="str">
        <x:f>TEXT(G531,"yyyy-mm")</x:f>
        <x:v>2026-06</x:v>
      </x:c>
    </x:row>
    <x:row r="532" ht="19" customHeight="1">
      <x:c r="A532" s="2" t="n">
        <x:v>46188</x:v>
      </x:c>
      <x:c r="B532" t="str">
        <x:f>CHOOSE(WEEKDAY(A532,2),"Lunes","Martes","Miércoles","Jueves","Viernes","Sábado","Domingo")</x:f>
        <x:v>Lunes</x:v>
      </x:c>
      <x:c r="C532" t="str">
        <x:f>IF(COUNTIF(FERIADOS!$A$2:$A$250,A532)&gt;0,"SÍ","NO")</x:f>
        <x:v>NO</x:v>
      </x:c>
      <x:c r="D532" t="str">
        <x:f>IF(AND(WEEKDAY(A532,2)&lt;=5,C532="NO"),"SÍ","NO")</x:f>
        <x:v>SÍ</x:v>
      </x:c>
      <x:c r="E532" s="2" t="n">
        <x:f>WORKDAY.INTL(A532-1,1,1,FERIADOS!$A$2:$A$250)</x:f>
        <x:v>46188</x:v>
      </x:c>
      <x:c r="F532" t="str">
        <x:f>IF(E532&gt;=WORKDAY.INTL(EOMONTH(E532,0)+1,-2,1,FERIADOS!$A$2:$A$250),"SÍ","NO")</x:f>
        <x:v>NO</x:v>
      </x:c>
      <x:c r="G532" s="10" t="n">
        <x:f>IF(F532="SÍ",EOMONTH(E532,0)+1,DATE(YEAR(E532),MONTH(E532),1))</x:f>
        <x:v>46174</x:v>
      </x:c>
      <x:c r="H532" t="str">
        <x:f>IF(D532="NO",IF(C532="SÍ","FERIADO","FIN DE SEMANA"),"LABORABLE")&amp;IF(F532="SÍ"," + CIERRE","")</x:f>
        <x:v>LABORABLE</x:v>
      </x:c>
      <x:c r="I532" t="str">
        <x:f>TEXT(G532,"yyyy-mm")</x:f>
        <x:v>2026-06</x:v>
      </x:c>
    </x:row>
    <x:row r="533" ht="19" customHeight="1">
      <x:c r="A533" s="2" t="n">
        <x:v>46189</x:v>
      </x:c>
      <x:c r="B533" t="str">
        <x:f>CHOOSE(WEEKDAY(A533,2),"Lunes","Martes","Miércoles","Jueves","Viernes","Sábado","Domingo")</x:f>
        <x:v>Martes</x:v>
      </x:c>
      <x:c r="C533" t="str">
        <x:f>IF(COUNTIF(FERIADOS!$A$2:$A$250,A533)&gt;0,"SÍ","NO")</x:f>
        <x:v>NO</x:v>
      </x:c>
      <x:c r="D533" t="str">
        <x:f>IF(AND(WEEKDAY(A533,2)&lt;=5,C533="NO"),"SÍ","NO")</x:f>
        <x:v>SÍ</x:v>
      </x:c>
      <x:c r="E533" s="2" t="n">
        <x:f>WORKDAY.INTL(A533-1,1,1,FERIADOS!$A$2:$A$250)</x:f>
        <x:v>46189</x:v>
      </x:c>
      <x:c r="F533" t="str">
        <x:f>IF(E533&gt;=WORKDAY.INTL(EOMONTH(E533,0)+1,-2,1,FERIADOS!$A$2:$A$250),"SÍ","NO")</x:f>
        <x:v>NO</x:v>
      </x:c>
      <x:c r="G533" s="10" t="n">
        <x:f>IF(F533="SÍ",EOMONTH(E533,0)+1,DATE(YEAR(E533),MONTH(E533),1))</x:f>
        <x:v>46174</x:v>
      </x:c>
      <x:c r="H533" t="str">
        <x:f>IF(D533="NO",IF(C533="SÍ","FERIADO","FIN DE SEMANA"),"LABORABLE")&amp;IF(F533="SÍ"," + CIERRE","")</x:f>
        <x:v>LABORABLE</x:v>
      </x:c>
      <x:c r="I533" t="str">
        <x:f>TEXT(G533,"yyyy-mm")</x:f>
        <x:v>2026-06</x:v>
      </x:c>
    </x:row>
    <x:row r="534" ht="19" customHeight="1">
      <x:c r="A534" s="2" t="n">
        <x:v>46190</x:v>
      </x:c>
      <x:c r="B534" t="str">
        <x:f>CHOOSE(WEEKDAY(A534,2),"Lunes","Martes","Miércoles","Jueves","Viernes","Sábado","Domingo")</x:f>
        <x:v>Miércoles</x:v>
      </x:c>
      <x:c r="C534" t="str">
        <x:f>IF(COUNTIF(FERIADOS!$A$2:$A$250,A534)&gt;0,"SÍ","NO")</x:f>
        <x:v>NO</x:v>
      </x:c>
      <x:c r="D534" t="str">
        <x:f>IF(AND(WEEKDAY(A534,2)&lt;=5,C534="NO"),"SÍ","NO")</x:f>
        <x:v>SÍ</x:v>
      </x:c>
      <x:c r="E534" s="2" t="n">
        <x:f>WORKDAY.INTL(A534-1,1,1,FERIADOS!$A$2:$A$250)</x:f>
        <x:v>46190</x:v>
      </x:c>
      <x:c r="F534" t="str">
        <x:f>IF(E534&gt;=WORKDAY.INTL(EOMONTH(E534,0)+1,-2,1,FERIADOS!$A$2:$A$250),"SÍ","NO")</x:f>
        <x:v>NO</x:v>
      </x:c>
      <x:c r="G534" s="10" t="n">
        <x:f>IF(F534="SÍ",EOMONTH(E534,0)+1,DATE(YEAR(E534),MONTH(E534),1))</x:f>
        <x:v>46174</x:v>
      </x:c>
      <x:c r="H534" t="str">
        <x:f>IF(D534="NO",IF(C534="SÍ","FERIADO","FIN DE SEMANA"),"LABORABLE")&amp;IF(F534="SÍ"," + CIERRE","")</x:f>
        <x:v>LABORABLE</x:v>
      </x:c>
      <x:c r="I534" t="str">
        <x:f>TEXT(G534,"yyyy-mm")</x:f>
        <x:v>2026-06</x:v>
      </x:c>
    </x:row>
    <x:row r="535" ht="19" customHeight="1">
      <x:c r="A535" s="2" t="n">
        <x:v>46191</x:v>
      </x:c>
      <x:c r="B535" t="str">
        <x:f>CHOOSE(WEEKDAY(A535,2),"Lunes","Martes","Miércoles","Jueves","Viernes","Sábado","Domingo")</x:f>
        <x:v>Jueves</x:v>
      </x:c>
      <x:c r="C535" t="str">
        <x:f>IF(COUNTIF(FERIADOS!$A$2:$A$250,A535)&gt;0,"SÍ","NO")</x:f>
        <x:v>NO</x:v>
      </x:c>
      <x:c r="D535" t="str">
        <x:f>IF(AND(WEEKDAY(A535,2)&lt;=5,C535="NO"),"SÍ","NO")</x:f>
        <x:v>SÍ</x:v>
      </x:c>
      <x:c r="E535" s="2" t="n">
        <x:f>WORKDAY.INTL(A535-1,1,1,FERIADOS!$A$2:$A$250)</x:f>
        <x:v>46191</x:v>
      </x:c>
      <x:c r="F535" t="str">
        <x:f>IF(E535&gt;=WORKDAY.INTL(EOMONTH(E535,0)+1,-2,1,FERIADOS!$A$2:$A$250),"SÍ","NO")</x:f>
        <x:v>NO</x:v>
      </x:c>
      <x:c r="G535" s="10" t="n">
        <x:f>IF(F535="SÍ",EOMONTH(E535,0)+1,DATE(YEAR(E535),MONTH(E535),1))</x:f>
        <x:v>46174</x:v>
      </x:c>
      <x:c r="H535" t="str">
        <x:f>IF(D535="NO",IF(C535="SÍ","FERIADO","FIN DE SEMANA"),"LABORABLE")&amp;IF(F535="SÍ"," + CIERRE","")</x:f>
        <x:v>LABORABLE</x:v>
      </x:c>
      <x:c r="I535" t="str">
        <x:f>TEXT(G535,"yyyy-mm")</x:f>
        <x:v>2026-06</x:v>
      </x:c>
    </x:row>
    <x:row r="536" ht="19" customHeight="1">
      <x:c r="A536" s="2" t="n">
        <x:v>46192</x:v>
      </x:c>
      <x:c r="B536" t="str">
        <x:f>CHOOSE(WEEKDAY(A536,2),"Lunes","Martes","Miércoles","Jueves","Viernes","Sábado","Domingo")</x:f>
        <x:v>Viernes</x:v>
      </x:c>
      <x:c r="C536" t="str">
        <x:f>IF(COUNTIF(FERIADOS!$A$2:$A$250,A536)&gt;0,"SÍ","NO")</x:f>
        <x:v>NO</x:v>
      </x:c>
      <x:c r="D536" t="str">
        <x:f>IF(AND(WEEKDAY(A536,2)&lt;=5,C536="NO"),"SÍ","NO")</x:f>
        <x:v>SÍ</x:v>
      </x:c>
      <x:c r="E536" s="2" t="n">
        <x:f>WORKDAY.INTL(A536-1,1,1,FERIADOS!$A$2:$A$250)</x:f>
        <x:v>46192</x:v>
      </x:c>
      <x:c r="F536" t="str">
        <x:f>IF(E536&gt;=WORKDAY.INTL(EOMONTH(E536,0)+1,-2,1,FERIADOS!$A$2:$A$250),"SÍ","NO")</x:f>
        <x:v>NO</x:v>
      </x:c>
      <x:c r="G536" s="10" t="n">
        <x:f>IF(F536="SÍ",EOMONTH(E536,0)+1,DATE(YEAR(E536),MONTH(E536),1))</x:f>
        <x:v>46174</x:v>
      </x:c>
      <x:c r="H536" t="str">
        <x:f>IF(D536="NO",IF(C536="SÍ","FERIADO","FIN DE SEMANA"),"LABORABLE")&amp;IF(F536="SÍ"," + CIERRE","")</x:f>
        <x:v>LABORABLE</x:v>
      </x:c>
      <x:c r="I536" t="str">
        <x:f>TEXT(G536,"yyyy-mm")</x:f>
        <x:v>2026-06</x:v>
      </x:c>
    </x:row>
    <x:row r="537" ht="19" customHeight="1">
      <x:c r="A537" s="2" t="n">
        <x:v>46193</x:v>
      </x:c>
      <x:c r="B537" t="str">
        <x:f>CHOOSE(WEEKDAY(A537,2),"Lunes","Martes","Miércoles","Jueves","Viernes","Sábado","Domingo")</x:f>
        <x:v>Sábado</x:v>
      </x:c>
      <x:c r="C537" t="str">
        <x:f>IF(COUNTIF(FERIADOS!$A$2:$A$250,A537)&gt;0,"SÍ","NO")</x:f>
        <x:v>NO</x:v>
      </x:c>
      <x:c r="D537" t="str">
        <x:f>IF(AND(WEEKDAY(A537,2)&lt;=5,C537="NO"),"SÍ","NO")</x:f>
        <x:v>NO</x:v>
      </x:c>
      <x:c r="E537" s="2" t="n">
        <x:f>WORKDAY.INTL(A537-1,1,1,FERIADOS!$A$2:$A$250)</x:f>
        <x:v>46195</x:v>
      </x:c>
      <x:c r="F537" t="str">
        <x:f>IF(E537&gt;=WORKDAY.INTL(EOMONTH(E537,0)+1,-2,1,FERIADOS!$A$2:$A$250),"SÍ","NO")</x:f>
        <x:v>NO</x:v>
      </x:c>
      <x:c r="G537" s="10" t="n">
        <x:f>IF(F537="SÍ",EOMONTH(E537,0)+1,DATE(YEAR(E537),MONTH(E537),1))</x:f>
        <x:v>46174</x:v>
      </x:c>
      <x:c r="H537" t="str">
        <x:f>IF(D537="NO",IF(C537="SÍ","FERIADO","FIN DE SEMANA"),"LABORABLE")&amp;IF(F537="SÍ"," + CIERRE","")</x:f>
        <x:v>FIN DE SEMANA</x:v>
      </x:c>
      <x:c r="I537" t="str">
        <x:f>TEXT(G537,"yyyy-mm")</x:f>
        <x:v>2026-06</x:v>
      </x:c>
    </x:row>
    <x:row r="538" ht="19" customHeight="1">
      <x:c r="A538" s="2" t="n">
        <x:v>46194</x:v>
      </x:c>
      <x:c r="B538" t="str">
        <x:f>CHOOSE(WEEKDAY(A538,2),"Lunes","Martes","Miércoles","Jueves","Viernes","Sábado","Domingo")</x:f>
        <x:v>Domingo</x:v>
      </x:c>
      <x:c r="C538" t="str">
        <x:f>IF(COUNTIF(FERIADOS!$A$2:$A$250,A538)&gt;0,"SÍ","NO")</x:f>
        <x:v>NO</x:v>
      </x:c>
      <x:c r="D538" t="str">
        <x:f>IF(AND(WEEKDAY(A538,2)&lt;=5,C538="NO"),"SÍ","NO")</x:f>
        <x:v>NO</x:v>
      </x:c>
      <x:c r="E538" s="2" t="n">
        <x:f>WORKDAY.INTL(A538-1,1,1,FERIADOS!$A$2:$A$250)</x:f>
        <x:v>46195</x:v>
      </x:c>
      <x:c r="F538" t="str">
        <x:f>IF(E538&gt;=WORKDAY.INTL(EOMONTH(E538,0)+1,-2,1,FERIADOS!$A$2:$A$250),"SÍ","NO")</x:f>
        <x:v>NO</x:v>
      </x:c>
      <x:c r="G538" s="10" t="n">
        <x:f>IF(F538="SÍ",EOMONTH(E538,0)+1,DATE(YEAR(E538),MONTH(E538),1))</x:f>
        <x:v>46174</x:v>
      </x:c>
      <x:c r="H538" t="str">
        <x:f>IF(D538="NO",IF(C538="SÍ","FERIADO","FIN DE SEMANA"),"LABORABLE")&amp;IF(F538="SÍ"," + CIERRE","")</x:f>
        <x:v>FIN DE SEMANA</x:v>
      </x:c>
      <x:c r="I538" t="str">
        <x:f>TEXT(G538,"yyyy-mm")</x:f>
        <x:v>2026-06</x:v>
      </x:c>
    </x:row>
    <x:row r="539" ht="19" customHeight="1">
      <x:c r="A539" s="2" t="n">
        <x:v>46195</x:v>
      </x:c>
      <x:c r="B539" t="str">
        <x:f>CHOOSE(WEEKDAY(A539,2),"Lunes","Martes","Miércoles","Jueves","Viernes","Sábado","Domingo")</x:f>
        <x:v>Lunes</x:v>
      </x:c>
      <x:c r="C539" t="str">
        <x:f>IF(COUNTIF(FERIADOS!$A$2:$A$250,A539)&gt;0,"SÍ","NO")</x:f>
        <x:v>NO</x:v>
      </x:c>
      <x:c r="D539" t="str">
        <x:f>IF(AND(WEEKDAY(A539,2)&lt;=5,C539="NO"),"SÍ","NO")</x:f>
        <x:v>SÍ</x:v>
      </x:c>
      <x:c r="E539" s="2" t="n">
        <x:f>WORKDAY.INTL(A539-1,1,1,FERIADOS!$A$2:$A$250)</x:f>
        <x:v>46195</x:v>
      </x:c>
      <x:c r="F539" t="str">
        <x:f>IF(E539&gt;=WORKDAY.INTL(EOMONTH(E539,0)+1,-2,1,FERIADOS!$A$2:$A$250),"SÍ","NO")</x:f>
        <x:v>NO</x:v>
      </x:c>
      <x:c r="G539" s="10" t="n">
        <x:f>IF(F539="SÍ",EOMONTH(E539,0)+1,DATE(YEAR(E539),MONTH(E539),1))</x:f>
        <x:v>46174</x:v>
      </x:c>
      <x:c r="H539" t="str">
        <x:f>IF(D539="NO",IF(C539="SÍ","FERIADO","FIN DE SEMANA"),"LABORABLE")&amp;IF(F539="SÍ"," + CIERRE","")</x:f>
        <x:v>LABORABLE</x:v>
      </x:c>
      <x:c r="I539" t="str">
        <x:f>TEXT(G539,"yyyy-mm")</x:f>
        <x:v>2026-06</x:v>
      </x:c>
    </x:row>
    <x:row r="540" ht="19" customHeight="1">
      <x:c r="A540" s="2" t="n">
        <x:v>46196</x:v>
      </x:c>
      <x:c r="B540" t="str">
        <x:f>CHOOSE(WEEKDAY(A540,2),"Lunes","Martes","Miércoles","Jueves","Viernes","Sábado","Domingo")</x:f>
        <x:v>Martes</x:v>
      </x:c>
      <x:c r="C540" t="str">
        <x:f>IF(COUNTIF(FERIADOS!$A$2:$A$250,A540)&gt;0,"SÍ","NO")</x:f>
        <x:v>NO</x:v>
      </x:c>
      <x:c r="D540" t="str">
        <x:f>IF(AND(WEEKDAY(A540,2)&lt;=5,C540="NO"),"SÍ","NO")</x:f>
        <x:v>SÍ</x:v>
      </x:c>
      <x:c r="E540" s="2" t="n">
        <x:f>WORKDAY.INTL(A540-1,1,1,FERIADOS!$A$2:$A$250)</x:f>
        <x:v>46196</x:v>
      </x:c>
      <x:c r="F540" t="str">
        <x:f>IF(E540&gt;=WORKDAY.INTL(EOMONTH(E540,0)+1,-2,1,FERIADOS!$A$2:$A$250),"SÍ","NO")</x:f>
        <x:v>NO</x:v>
      </x:c>
      <x:c r="G540" s="10" t="n">
        <x:f>IF(F540="SÍ",EOMONTH(E540,0)+1,DATE(YEAR(E540),MONTH(E540),1))</x:f>
        <x:v>46174</x:v>
      </x:c>
      <x:c r="H540" t="str">
        <x:f>IF(D540="NO",IF(C540="SÍ","FERIADO","FIN DE SEMANA"),"LABORABLE")&amp;IF(F540="SÍ"," + CIERRE","")</x:f>
        <x:v>LABORABLE</x:v>
      </x:c>
      <x:c r="I540" t="str">
        <x:f>TEXT(G540,"yyyy-mm")</x:f>
        <x:v>2026-06</x:v>
      </x:c>
    </x:row>
    <x:row r="541" ht="19" customHeight="1">
      <x:c r="A541" s="2" t="n">
        <x:v>46197</x:v>
      </x:c>
      <x:c r="B541" t="str">
        <x:f>CHOOSE(WEEKDAY(A541,2),"Lunes","Martes","Miércoles","Jueves","Viernes","Sábado","Domingo")</x:f>
        <x:v>Miércoles</x:v>
      </x:c>
      <x:c r="C541" t="str">
        <x:f>IF(COUNTIF(FERIADOS!$A$2:$A$250,A541)&gt;0,"SÍ","NO")</x:f>
        <x:v>NO</x:v>
      </x:c>
      <x:c r="D541" t="str">
        <x:f>IF(AND(WEEKDAY(A541,2)&lt;=5,C541="NO"),"SÍ","NO")</x:f>
        <x:v>SÍ</x:v>
      </x:c>
      <x:c r="E541" s="2" t="n">
        <x:f>WORKDAY.INTL(A541-1,1,1,FERIADOS!$A$2:$A$250)</x:f>
        <x:v>46197</x:v>
      </x:c>
      <x:c r="F541" t="str">
        <x:f>IF(E541&gt;=WORKDAY.INTL(EOMONTH(E541,0)+1,-2,1,FERIADOS!$A$2:$A$250),"SÍ","NO")</x:f>
        <x:v>NO</x:v>
      </x:c>
      <x:c r="G541" s="10" t="n">
        <x:f>IF(F541="SÍ",EOMONTH(E541,0)+1,DATE(YEAR(E541),MONTH(E541),1))</x:f>
        <x:v>46174</x:v>
      </x:c>
      <x:c r="H541" t="str">
        <x:f>IF(D541="NO",IF(C541="SÍ","FERIADO","FIN DE SEMANA"),"LABORABLE")&amp;IF(F541="SÍ"," + CIERRE","")</x:f>
        <x:v>LABORABLE</x:v>
      </x:c>
      <x:c r="I541" t="str">
        <x:f>TEXT(G541,"yyyy-mm")</x:f>
        <x:v>2026-06</x:v>
      </x:c>
    </x:row>
    <x:row r="542" ht="19" customHeight="1">
      <x:c r="A542" s="2" t="n">
        <x:v>46198</x:v>
      </x:c>
      <x:c r="B542" t="str">
        <x:f>CHOOSE(WEEKDAY(A542,2),"Lunes","Martes","Miércoles","Jueves","Viernes","Sábado","Domingo")</x:f>
        <x:v>Jueves</x:v>
      </x:c>
      <x:c r="C542" t="str">
        <x:f>IF(COUNTIF(FERIADOS!$A$2:$A$250,A542)&gt;0,"SÍ","NO")</x:f>
        <x:v>NO</x:v>
      </x:c>
      <x:c r="D542" t="str">
        <x:f>IF(AND(WEEKDAY(A542,2)&lt;=5,C542="NO"),"SÍ","NO")</x:f>
        <x:v>SÍ</x:v>
      </x:c>
      <x:c r="E542" s="2" t="n">
        <x:f>WORKDAY.INTL(A542-1,1,1,FERIADOS!$A$2:$A$250)</x:f>
        <x:v>46198</x:v>
      </x:c>
      <x:c r="F542" t="str">
        <x:f>IF(E542&gt;=WORKDAY.INTL(EOMONTH(E542,0)+1,-2,1,FERIADOS!$A$2:$A$250),"SÍ","NO")</x:f>
        <x:v>NO</x:v>
      </x:c>
      <x:c r="G542" s="10" t="n">
        <x:f>IF(F542="SÍ",EOMONTH(E542,0)+1,DATE(YEAR(E542),MONTH(E542),1))</x:f>
        <x:v>46174</x:v>
      </x:c>
      <x:c r="H542" t="str">
        <x:f>IF(D542="NO",IF(C542="SÍ","FERIADO","FIN DE SEMANA"),"LABORABLE")&amp;IF(F542="SÍ"," + CIERRE","")</x:f>
        <x:v>LABORABLE</x:v>
      </x:c>
      <x:c r="I542" t="str">
        <x:f>TEXT(G542,"yyyy-mm")</x:f>
        <x:v>2026-06</x:v>
      </x:c>
    </x:row>
    <x:row r="543" ht="19" customHeight="1">
      <x:c r="A543" s="2" t="n">
        <x:v>46199</x:v>
      </x:c>
      <x:c r="B543" t="str">
        <x:f>CHOOSE(WEEKDAY(A543,2),"Lunes","Martes","Miércoles","Jueves","Viernes","Sábado","Domingo")</x:f>
        <x:v>Viernes</x:v>
      </x:c>
      <x:c r="C543" t="str">
        <x:f>IF(COUNTIF(FERIADOS!$A$2:$A$250,A543)&gt;0,"SÍ","NO")</x:f>
        <x:v>NO</x:v>
      </x:c>
      <x:c r="D543" t="str">
        <x:f>IF(AND(WEEKDAY(A543,2)&lt;=5,C543="NO"),"SÍ","NO")</x:f>
        <x:v>SÍ</x:v>
      </x:c>
      <x:c r="E543" s="2" t="n">
        <x:f>WORKDAY.INTL(A543-1,1,1,FERIADOS!$A$2:$A$250)</x:f>
        <x:v>46199</x:v>
      </x:c>
      <x:c r="F543" t="str">
        <x:f>IF(E543&gt;=WORKDAY.INTL(EOMONTH(E543,0)+1,-2,1,FERIADOS!$A$2:$A$250),"SÍ","NO")</x:f>
        <x:v>NO</x:v>
      </x:c>
      <x:c r="G543" s="10" t="n">
        <x:f>IF(F543="SÍ",EOMONTH(E543,0)+1,DATE(YEAR(E543),MONTH(E543),1))</x:f>
        <x:v>46174</x:v>
      </x:c>
      <x:c r="H543" t="str">
        <x:f>IF(D543="NO",IF(C543="SÍ","FERIADO","FIN DE SEMANA"),"LABORABLE")&amp;IF(F543="SÍ"," + CIERRE","")</x:f>
        <x:v>LABORABLE</x:v>
      </x:c>
      <x:c r="I543" t="str">
        <x:f>TEXT(G543,"yyyy-mm")</x:f>
        <x:v>2026-06</x:v>
      </x:c>
    </x:row>
    <x:row r="544" ht="19" customHeight="1">
      <x:c r="A544" s="2" t="n">
        <x:v>46200</x:v>
      </x:c>
      <x:c r="B544" t="str">
        <x:f>CHOOSE(WEEKDAY(A544,2),"Lunes","Martes","Miércoles","Jueves","Viernes","Sábado","Domingo")</x:f>
        <x:v>Sábado</x:v>
      </x:c>
      <x:c r="C544" t="str">
        <x:f>IF(COUNTIF(FERIADOS!$A$2:$A$250,A544)&gt;0,"SÍ","NO")</x:f>
        <x:v>NO</x:v>
      </x:c>
      <x:c r="D544" t="str">
        <x:f>IF(AND(WEEKDAY(A544,2)&lt;=5,C544="NO"),"SÍ","NO")</x:f>
        <x:v>NO</x:v>
      </x:c>
      <x:c r="E544" s="2" t="n">
        <x:f>WORKDAY.INTL(A544-1,1,1,FERIADOS!$A$2:$A$250)</x:f>
        <x:v>46202</x:v>
      </x:c>
      <x:c r="F544" t="str">
        <x:f>IF(E544&gt;=WORKDAY.INTL(EOMONTH(E544,0)+1,-2,1,FERIADOS!$A$2:$A$250),"SÍ","NO")</x:f>
        <x:v>SÍ</x:v>
      </x:c>
      <x:c r="G544" s="10" t="n">
        <x:f>IF(F544="SÍ",EOMONTH(E544,0)+1,DATE(YEAR(E544),MONTH(E544),1))</x:f>
        <x:v>46204</x:v>
      </x:c>
      <x:c r="H544" t="str">
        <x:f>IF(D544="NO",IF(C544="SÍ","FERIADO","FIN DE SEMANA"),"LABORABLE")&amp;IF(F544="SÍ"," + CIERRE","")</x:f>
        <x:v>FIN DE SEMANA + CIERRE</x:v>
      </x:c>
      <x:c r="I544" t="str">
        <x:f>TEXT(G544,"yyyy-mm")</x:f>
        <x:v>2026-07</x:v>
      </x:c>
    </x:row>
    <x:row r="545" ht="19" customHeight="1">
      <x:c r="A545" s="2" t="n">
        <x:v>46201</x:v>
      </x:c>
      <x:c r="B545" t="str">
        <x:f>CHOOSE(WEEKDAY(A545,2),"Lunes","Martes","Miércoles","Jueves","Viernes","Sábado","Domingo")</x:f>
        <x:v>Domingo</x:v>
      </x:c>
      <x:c r="C545" t="str">
        <x:f>IF(COUNTIF(FERIADOS!$A$2:$A$250,A545)&gt;0,"SÍ","NO")</x:f>
        <x:v>NO</x:v>
      </x:c>
      <x:c r="D545" t="str">
        <x:f>IF(AND(WEEKDAY(A545,2)&lt;=5,C545="NO"),"SÍ","NO")</x:f>
        <x:v>NO</x:v>
      </x:c>
      <x:c r="E545" s="2" t="n">
        <x:f>WORKDAY.INTL(A545-1,1,1,FERIADOS!$A$2:$A$250)</x:f>
        <x:v>46202</x:v>
      </x:c>
      <x:c r="F545" t="str">
        <x:f>IF(E545&gt;=WORKDAY.INTL(EOMONTH(E545,0)+1,-2,1,FERIADOS!$A$2:$A$250),"SÍ","NO")</x:f>
        <x:v>SÍ</x:v>
      </x:c>
      <x:c r="G545" s="10" t="n">
        <x:f>IF(F545="SÍ",EOMONTH(E545,0)+1,DATE(YEAR(E545),MONTH(E545),1))</x:f>
        <x:v>46204</x:v>
      </x:c>
      <x:c r="H545" t="str">
        <x:f>IF(D545="NO",IF(C545="SÍ","FERIADO","FIN DE SEMANA"),"LABORABLE")&amp;IF(F545="SÍ"," + CIERRE","")</x:f>
        <x:v>FIN DE SEMANA + CIERRE</x:v>
      </x:c>
      <x:c r="I545" t="str">
        <x:f>TEXT(G545,"yyyy-mm")</x:f>
        <x:v>2026-07</x:v>
      </x:c>
    </x:row>
    <x:row r="546" ht="19" customHeight="1">
      <x:c r="A546" s="2" t="n">
        <x:v>46202</x:v>
      </x:c>
      <x:c r="B546" t="str">
        <x:f>CHOOSE(WEEKDAY(A546,2),"Lunes","Martes","Miércoles","Jueves","Viernes","Sábado","Domingo")</x:f>
        <x:v>Lunes</x:v>
      </x:c>
      <x:c r="C546" t="str">
        <x:f>IF(COUNTIF(FERIADOS!$A$2:$A$250,A546)&gt;0,"SÍ","NO")</x:f>
        <x:v>NO</x:v>
      </x:c>
      <x:c r="D546" t="str">
        <x:f>IF(AND(WEEKDAY(A546,2)&lt;=5,C546="NO"),"SÍ","NO")</x:f>
        <x:v>SÍ</x:v>
      </x:c>
      <x:c r="E546" s="2" t="n">
        <x:f>WORKDAY.INTL(A546-1,1,1,FERIADOS!$A$2:$A$250)</x:f>
        <x:v>46202</x:v>
      </x:c>
      <x:c r="F546" t="str">
        <x:f>IF(E546&gt;=WORKDAY.INTL(EOMONTH(E546,0)+1,-2,1,FERIADOS!$A$2:$A$250),"SÍ","NO")</x:f>
        <x:v>SÍ</x:v>
      </x:c>
      <x:c r="G546" s="10" t="n">
        <x:f>IF(F546="SÍ",EOMONTH(E546,0)+1,DATE(YEAR(E546),MONTH(E546),1))</x:f>
        <x:v>46204</x:v>
      </x:c>
      <x:c r="H546" t="str">
        <x:f>IF(D546="NO",IF(C546="SÍ","FERIADO","FIN DE SEMANA"),"LABORABLE")&amp;IF(F546="SÍ"," + CIERRE","")</x:f>
        <x:v>LABORABLE + CIERRE</x:v>
      </x:c>
      <x:c r="I546" t="str">
        <x:f>TEXT(G546,"yyyy-mm")</x:f>
        <x:v>2026-07</x:v>
      </x:c>
    </x:row>
    <x:row r="547" ht="19" customHeight="1">
      <x:c r="A547" s="2" t="n">
        <x:v>46203</x:v>
      </x:c>
      <x:c r="B547" t="str">
        <x:f>CHOOSE(WEEKDAY(A547,2),"Lunes","Martes","Miércoles","Jueves","Viernes","Sábado","Domingo")</x:f>
        <x:v>Martes</x:v>
      </x:c>
      <x:c r="C547" t="str">
        <x:f>IF(COUNTIF(FERIADOS!$A$2:$A$250,A547)&gt;0,"SÍ","NO")</x:f>
        <x:v>NO</x:v>
      </x:c>
      <x:c r="D547" t="str">
        <x:f>IF(AND(WEEKDAY(A547,2)&lt;=5,C547="NO"),"SÍ","NO")</x:f>
        <x:v>SÍ</x:v>
      </x:c>
      <x:c r="E547" s="2" t="n">
        <x:f>WORKDAY.INTL(A547-1,1,1,FERIADOS!$A$2:$A$250)</x:f>
        <x:v>46203</x:v>
      </x:c>
      <x:c r="F547" t="str">
        <x:f>IF(E547&gt;=WORKDAY.INTL(EOMONTH(E547,0)+1,-2,1,FERIADOS!$A$2:$A$250),"SÍ","NO")</x:f>
        <x:v>SÍ</x:v>
      </x:c>
      <x:c r="G547" s="10" t="n">
        <x:f>IF(F547="SÍ",EOMONTH(E547,0)+1,DATE(YEAR(E547),MONTH(E547),1))</x:f>
        <x:v>46204</x:v>
      </x:c>
      <x:c r="H547" t="str">
        <x:f>IF(D547="NO",IF(C547="SÍ","FERIADO","FIN DE SEMANA"),"LABORABLE")&amp;IF(F547="SÍ"," + CIERRE","")</x:f>
        <x:v>LABORABLE + CIERRE</x:v>
      </x:c>
      <x:c r="I547" t="str">
        <x:f>TEXT(G547,"yyyy-mm")</x:f>
        <x:v>2026-07</x:v>
      </x:c>
    </x:row>
    <x:row r="548" ht="19" customHeight="1">
      <x:c r="A548" s="2" t="n">
        <x:v>46204</x:v>
      </x:c>
      <x:c r="B548" t="str">
        <x:f>CHOOSE(WEEKDAY(A548,2),"Lunes","Martes","Miércoles","Jueves","Viernes","Sábado","Domingo")</x:f>
        <x:v>Miércoles</x:v>
      </x:c>
      <x:c r="C548" t="str">
        <x:f>IF(COUNTIF(FERIADOS!$A$2:$A$250,A548)&gt;0,"SÍ","NO")</x:f>
        <x:v>NO</x:v>
      </x:c>
      <x:c r="D548" t="str">
        <x:f>IF(AND(WEEKDAY(A548,2)&lt;=5,C548="NO"),"SÍ","NO")</x:f>
        <x:v>SÍ</x:v>
      </x:c>
      <x:c r="E548" s="2" t="n">
        <x:f>WORKDAY.INTL(A548-1,1,1,FERIADOS!$A$2:$A$250)</x:f>
        <x:v>46204</x:v>
      </x:c>
      <x:c r="F548" t="str">
        <x:f>IF(E548&gt;=WORKDAY.INTL(EOMONTH(E548,0)+1,-2,1,FERIADOS!$A$2:$A$250),"SÍ","NO")</x:f>
        <x:v>NO</x:v>
      </x:c>
      <x:c r="G548" s="10" t="n">
        <x:f>IF(F548="SÍ",EOMONTH(E548,0)+1,DATE(YEAR(E548),MONTH(E548),1))</x:f>
        <x:v>46204</x:v>
      </x:c>
      <x:c r="H548" t="str">
        <x:f>IF(D548="NO",IF(C548="SÍ","FERIADO","FIN DE SEMANA"),"LABORABLE")&amp;IF(F548="SÍ"," + CIERRE","")</x:f>
        <x:v>LABORABLE</x:v>
      </x:c>
      <x:c r="I548" t="str">
        <x:f>TEXT(G548,"yyyy-mm")</x:f>
        <x:v>2026-07</x:v>
      </x:c>
    </x:row>
    <x:row r="549" ht="19" customHeight="1">
      <x:c r="A549" s="2" t="n">
        <x:v>46205</x:v>
      </x:c>
      <x:c r="B549" t="str">
        <x:f>CHOOSE(WEEKDAY(A549,2),"Lunes","Martes","Miércoles","Jueves","Viernes","Sábado","Domingo")</x:f>
        <x:v>Jueves</x:v>
      </x:c>
      <x:c r="C549" t="str">
        <x:f>IF(COUNTIF(FERIADOS!$A$2:$A$250,A549)&gt;0,"SÍ","NO")</x:f>
        <x:v>NO</x:v>
      </x:c>
      <x:c r="D549" t="str">
        <x:f>IF(AND(WEEKDAY(A549,2)&lt;=5,C549="NO"),"SÍ","NO")</x:f>
        <x:v>SÍ</x:v>
      </x:c>
      <x:c r="E549" s="2" t="n">
        <x:f>WORKDAY.INTL(A549-1,1,1,FERIADOS!$A$2:$A$250)</x:f>
        <x:v>46205</x:v>
      </x:c>
      <x:c r="F549" t="str">
        <x:f>IF(E549&gt;=WORKDAY.INTL(EOMONTH(E549,0)+1,-2,1,FERIADOS!$A$2:$A$250),"SÍ","NO")</x:f>
        <x:v>NO</x:v>
      </x:c>
      <x:c r="G549" s="10" t="n">
        <x:f>IF(F549="SÍ",EOMONTH(E549,0)+1,DATE(YEAR(E549),MONTH(E549),1))</x:f>
        <x:v>46204</x:v>
      </x:c>
      <x:c r="H549" t="str">
        <x:f>IF(D549="NO",IF(C549="SÍ","FERIADO","FIN DE SEMANA"),"LABORABLE")&amp;IF(F549="SÍ"," + CIERRE","")</x:f>
        <x:v>LABORABLE</x:v>
      </x:c>
      <x:c r="I549" t="str">
        <x:f>TEXT(G549,"yyyy-mm")</x:f>
        <x:v>2026-07</x:v>
      </x:c>
    </x:row>
    <x:row r="550" ht="19" customHeight="1">
      <x:c r="A550" s="2" t="n">
        <x:v>46206</x:v>
      </x:c>
      <x:c r="B550" t="str">
        <x:f>CHOOSE(WEEKDAY(A550,2),"Lunes","Martes","Miércoles","Jueves","Viernes","Sábado","Domingo")</x:f>
        <x:v>Viernes</x:v>
      </x:c>
      <x:c r="C550" t="str">
        <x:f>IF(COUNTIF(FERIADOS!$A$2:$A$250,A550)&gt;0,"SÍ","NO")</x:f>
        <x:v>NO</x:v>
      </x:c>
      <x:c r="D550" t="str">
        <x:f>IF(AND(WEEKDAY(A550,2)&lt;=5,C550="NO"),"SÍ","NO")</x:f>
        <x:v>SÍ</x:v>
      </x:c>
      <x:c r="E550" s="2" t="n">
        <x:f>WORKDAY.INTL(A550-1,1,1,FERIADOS!$A$2:$A$250)</x:f>
        <x:v>46206</x:v>
      </x:c>
      <x:c r="F550" t="str">
        <x:f>IF(E550&gt;=WORKDAY.INTL(EOMONTH(E550,0)+1,-2,1,FERIADOS!$A$2:$A$250),"SÍ","NO")</x:f>
        <x:v>NO</x:v>
      </x:c>
      <x:c r="G550" s="10" t="n">
        <x:f>IF(F550="SÍ",EOMONTH(E550,0)+1,DATE(YEAR(E550),MONTH(E550),1))</x:f>
        <x:v>46204</x:v>
      </x:c>
      <x:c r="H550" t="str">
        <x:f>IF(D550="NO",IF(C550="SÍ","FERIADO","FIN DE SEMANA"),"LABORABLE")&amp;IF(F550="SÍ"," + CIERRE","")</x:f>
        <x:v>LABORABLE</x:v>
      </x:c>
      <x:c r="I550" t="str">
        <x:f>TEXT(G550,"yyyy-mm")</x:f>
        <x:v>2026-07</x:v>
      </x:c>
    </x:row>
    <x:row r="551" ht="19" customHeight="1">
      <x:c r="A551" s="2" t="n">
        <x:v>46207</x:v>
      </x:c>
      <x:c r="B551" t="str">
        <x:f>CHOOSE(WEEKDAY(A551,2),"Lunes","Martes","Miércoles","Jueves","Viernes","Sábado","Domingo")</x:f>
        <x:v>Sábado</x:v>
      </x:c>
      <x:c r="C551" t="str">
        <x:f>IF(COUNTIF(FERIADOS!$A$2:$A$250,A551)&gt;0,"SÍ","NO")</x:f>
        <x:v>NO</x:v>
      </x:c>
      <x:c r="D551" t="str">
        <x:f>IF(AND(WEEKDAY(A551,2)&lt;=5,C551="NO"),"SÍ","NO")</x:f>
        <x:v>NO</x:v>
      </x:c>
      <x:c r="E551" s="2" t="n">
        <x:f>WORKDAY.INTL(A551-1,1,1,FERIADOS!$A$2:$A$250)</x:f>
        <x:v>46209</x:v>
      </x:c>
      <x:c r="F551" t="str">
        <x:f>IF(E551&gt;=WORKDAY.INTL(EOMONTH(E551,0)+1,-2,1,FERIADOS!$A$2:$A$250),"SÍ","NO")</x:f>
        <x:v>NO</x:v>
      </x:c>
      <x:c r="G551" s="10" t="n">
        <x:f>IF(F551="SÍ",EOMONTH(E551,0)+1,DATE(YEAR(E551),MONTH(E551),1))</x:f>
        <x:v>46204</x:v>
      </x:c>
      <x:c r="H551" t="str">
        <x:f>IF(D551="NO",IF(C551="SÍ","FERIADO","FIN DE SEMANA"),"LABORABLE")&amp;IF(F551="SÍ"," + CIERRE","")</x:f>
        <x:v>FIN DE SEMANA</x:v>
      </x:c>
      <x:c r="I551" t="str">
        <x:f>TEXT(G551,"yyyy-mm")</x:f>
        <x:v>2026-07</x:v>
      </x:c>
    </x:row>
    <x:row r="552" ht="19" customHeight="1">
      <x:c r="A552" s="2" t="n">
        <x:v>46208</x:v>
      </x:c>
      <x:c r="B552" t="str">
        <x:f>CHOOSE(WEEKDAY(A552,2),"Lunes","Martes","Miércoles","Jueves","Viernes","Sábado","Domingo")</x:f>
        <x:v>Domingo</x:v>
      </x:c>
      <x:c r="C552" t="str">
        <x:f>IF(COUNTIF(FERIADOS!$A$2:$A$250,A552)&gt;0,"SÍ","NO")</x:f>
        <x:v>NO</x:v>
      </x:c>
      <x:c r="D552" t="str">
        <x:f>IF(AND(WEEKDAY(A552,2)&lt;=5,C552="NO"),"SÍ","NO")</x:f>
        <x:v>NO</x:v>
      </x:c>
      <x:c r="E552" s="2" t="n">
        <x:f>WORKDAY.INTL(A552-1,1,1,FERIADOS!$A$2:$A$250)</x:f>
        <x:v>46209</x:v>
      </x:c>
      <x:c r="F552" t="str">
        <x:f>IF(E552&gt;=WORKDAY.INTL(EOMONTH(E552,0)+1,-2,1,FERIADOS!$A$2:$A$250),"SÍ","NO")</x:f>
        <x:v>NO</x:v>
      </x:c>
      <x:c r="G552" s="10" t="n">
        <x:f>IF(F552="SÍ",EOMONTH(E552,0)+1,DATE(YEAR(E552),MONTH(E552),1))</x:f>
        <x:v>46204</x:v>
      </x:c>
      <x:c r="H552" t="str">
        <x:f>IF(D552="NO",IF(C552="SÍ","FERIADO","FIN DE SEMANA"),"LABORABLE")&amp;IF(F552="SÍ"," + CIERRE","")</x:f>
        <x:v>FIN DE SEMANA</x:v>
      </x:c>
      <x:c r="I552" t="str">
        <x:f>TEXT(G552,"yyyy-mm")</x:f>
        <x:v>2026-07</x:v>
      </x:c>
    </x:row>
    <x:row r="553" ht="19" customHeight="1">
      <x:c r="A553" s="2" t="n">
        <x:v>46209</x:v>
      </x:c>
      <x:c r="B553" t="str">
        <x:f>CHOOSE(WEEKDAY(A553,2),"Lunes","Martes","Miércoles","Jueves","Viernes","Sábado","Domingo")</x:f>
        <x:v>Lunes</x:v>
      </x:c>
      <x:c r="C553" t="str">
        <x:f>IF(COUNTIF(FERIADOS!$A$2:$A$250,A553)&gt;0,"SÍ","NO")</x:f>
        <x:v>NO</x:v>
      </x:c>
      <x:c r="D553" t="str">
        <x:f>IF(AND(WEEKDAY(A553,2)&lt;=5,C553="NO"),"SÍ","NO")</x:f>
        <x:v>SÍ</x:v>
      </x:c>
      <x:c r="E553" s="2" t="n">
        <x:f>WORKDAY.INTL(A553-1,1,1,FERIADOS!$A$2:$A$250)</x:f>
        <x:v>46209</x:v>
      </x:c>
      <x:c r="F553" t="str">
        <x:f>IF(E553&gt;=WORKDAY.INTL(EOMONTH(E553,0)+1,-2,1,FERIADOS!$A$2:$A$250),"SÍ","NO")</x:f>
        <x:v>NO</x:v>
      </x:c>
      <x:c r="G553" s="10" t="n">
        <x:f>IF(F553="SÍ",EOMONTH(E553,0)+1,DATE(YEAR(E553),MONTH(E553),1))</x:f>
        <x:v>46204</x:v>
      </x:c>
      <x:c r="H553" t="str">
        <x:f>IF(D553="NO",IF(C553="SÍ","FERIADO","FIN DE SEMANA"),"LABORABLE")&amp;IF(F553="SÍ"," + CIERRE","")</x:f>
        <x:v>LABORABLE</x:v>
      </x:c>
      <x:c r="I553" t="str">
        <x:f>TEXT(G553,"yyyy-mm")</x:f>
        <x:v>2026-07</x:v>
      </x:c>
    </x:row>
    <x:row r="554" ht="19" customHeight="1">
      <x:c r="A554" s="2" t="n">
        <x:v>46210</x:v>
      </x:c>
      <x:c r="B554" t="str">
        <x:f>CHOOSE(WEEKDAY(A554,2),"Lunes","Martes","Miércoles","Jueves","Viernes","Sábado","Domingo")</x:f>
        <x:v>Martes</x:v>
      </x:c>
      <x:c r="C554" t="str">
        <x:f>IF(COUNTIF(FERIADOS!$A$2:$A$250,A554)&gt;0,"SÍ","NO")</x:f>
        <x:v>NO</x:v>
      </x:c>
      <x:c r="D554" t="str">
        <x:f>IF(AND(WEEKDAY(A554,2)&lt;=5,C554="NO"),"SÍ","NO")</x:f>
        <x:v>SÍ</x:v>
      </x:c>
      <x:c r="E554" s="2" t="n">
        <x:f>WORKDAY.INTL(A554-1,1,1,FERIADOS!$A$2:$A$250)</x:f>
        <x:v>46210</x:v>
      </x:c>
      <x:c r="F554" t="str">
        <x:f>IF(E554&gt;=WORKDAY.INTL(EOMONTH(E554,0)+1,-2,1,FERIADOS!$A$2:$A$250),"SÍ","NO")</x:f>
        <x:v>NO</x:v>
      </x:c>
      <x:c r="G554" s="10" t="n">
        <x:f>IF(F554="SÍ",EOMONTH(E554,0)+1,DATE(YEAR(E554),MONTH(E554),1))</x:f>
        <x:v>46204</x:v>
      </x:c>
      <x:c r="H554" t="str">
        <x:f>IF(D554="NO",IF(C554="SÍ","FERIADO","FIN DE SEMANA"),"LABORABLE")&amp;IF(F554="SÍ"," + CIERRE","")</x:f>
        <x:v>LABORABLE</x:v>
      </x:c>
      <x:c r="I554" t="str">
        <x:f>TEXT(G554,"yyyy-mm")</x:f>
        <x:v>2026-07</x:v>
      </x:c>
    </x:row>
    <x:row r="555" ht="19" customHeight="1">
      <x:c r="A555" s="2" t="n">
        <x:v>46211</x:v>
      </x:c>
      <x:c r="B555" t="str">
        <x:f>CHOOSE(WEEKDAY(A555,2),"Lunes","Martes","Miércoles","Jueves","Viernes","Sábado","Domingo")</x:f>
        <x:v>Miércoles</x:v>
      </x:c>
      <x:c r="C555" t="str">
        <x:f>IF(COUNTIF(FERIADOS!$A$2:$A$250,A555)&gt;0,"SÍ","NO")</x:f>
        <x:v>NO</x:v>
      </x:c>
      <x:c r="D555" t="str">
        <x:f>IF(AND(WEEKDAY(A555,2)&lt;=5,C555="NO"),"SÍ","NO")</x:f>
        <x:v>SÍ</x:v>
      </x:c>
      <x:c r="E555" s="2" t="n">
        <x:f>WORKDAY.INTL(A555-1,1,1,FERIADOS!$A$2:$A$250)</x:f>
        <x:v>46211</x:v>
      </x:c>
      <x:c r="F555" t="str">
        <x:f>IF(E555&gt;=WORKDAY.INTL(EOMONTH(E555,0)+1,-2,1,FERIADOS!$A$2:$A$250),"SÍ","NO")</x:f>
        <x:v>NO</x:v>
      </x:c>
      <x:c r="G555" s="10" t="n">
        <x:f>IF(F555="SÍ",EOMONTH(E555,0)+1,DATE(YEAR(E555),MONTH(E555),1))</x:f>
        <x:v>46204</x:v>
      </x:c>
      <x:c r="H555" t="str">
        <x:f>IF(D555="NO",IF(C555="SÍ","FERIADO","FIN DE SEMANA"),"LABORABLE")&amp;IF(F555="SÍ"," + CIERRE","")</x:f>
        <x:v>LABORABLE</x:v>
      </x:c>
      <x:c r="I555" t="str">
        <x:f>TEXT(G555,"yyyy-mm")</x:f>
        <x:v>2026-07</x:v>
      </x:c>
    </x:row>
    <x:row r="556" ht="19" customHeight="1">
      <x:c r="A556" s="2" t="n">
        <x:v>46212</x:v>
      </x:c>
      <x:c r="B556" t="str">
        <x:f>CHOOSE(WEEKDAY(A556,2),"Lunes","Martes","Miércoles","Jueves","Viernes","Sábado","Domingo")</x:f>
        <x:v>Jueves</x:v>
      </x:c>
      <x:c r="C556" t="str">
        <x:f>IF(COUNTIF(FERIADOS!$A$2:$A$250,A556)&gt;0,"SÍ","NO")</x:f>
        <x:v>NO</x:v>
      </x:c>
      <x:c r="D556" t="str">
        <x:f>IF(AND(WEEKDAY(A556,2)&lt;=5,C556="NO"),"SÍ","NO")</x:f>
        <x:v>SÍ</x:v>
      </x:c>
      <x:c r="E556" s="2" t="n">
        <x:f>WORKDAY.INTL(A556-1,1,1,FERIADOS!$A$2:$A$250)</x:f>
        <x:v>46212</x:v>
      </x:c>
      <x:c r="F556" t="str">
        <x:f>IF(E556&gt;=WORKDAY.INTL(EOMONTH(E556,0)+1,-2,1,FERIADOS!$A$2:$A$250),"SÍ","NO")</x:f>
        <x:v>NO</x:v>
      </x:c>
      <x:c r="G556" s="10" t="n">
        <x:f>IF(F556="SÍ",EOMONTH(E556,0)+1,DATE(YEAR(E556),MONTH(E556),1))</x:f>
        <x:v>46204</x:v>
      </x:c>
      <x:c r="H556" t="str">
        <x:f>IF(D556="NO",IF(C556="SÍ","FERIADO","FIN DE SEMANA"),"LABORABLE")&amp;IF(F556="SÍ"," + CIERRE","")</x:f>
        <x:v>LABORABLE</x:v>
      </x:c>
      <x:c r="I556" t="str">
        <x:f>TEXT(G556,"yyyy-mm")</x:f>
        <x:v>2026-07</x:v>
      </x:c>
    </x:row>
    <x:row r="557" ht="19" customHeight="1">
      <x:c r="A557" s="2" t="n">
        <x:v>46213</x:v>
      </x:c>
      <x:c r="B557" t="str">
        <x:f>CHOOSE(WEEKDAY(A557,2),"Lunes","Martes","Miércoles","Jueves","Viernes","Sábado","Domingo")</x:f>
        <x:v>Viernes</x:v>
      </x:c>
      <x:c r="C557" t="str">
        <x:f>IF(COUNTIF(FERIADOS!$A$2:$A$250,A557)&gt;0,"SÍ","NO")</x:f>
        <x:v>NO</x:v>
      </x:c>
      <x:c r="D557" t="str">
        <x:f>IF(AND(WEEKDAY(A557,2)&lt;=5,C557="NO"),"SÍ","NO")</x:f>
        <x:v>SÍ</x:v>
      </x:c>
      <x:c r="E557" s="2" t="n">
        <x:f>WORKDAY.INTL(A557-1,1,1,FERIADOS!$A$2:$A$250)</x:f>
        <x:v>46213</x:v>
      </x:c>
      <x:c r="F557" t="str">
        <x:f>IF(E557&gt;=WORKDAY.INTL(EOMONTH(E557,0)+1,-2,1,FERIADOS!$A$2:$A$250),"SÍ","NO")</x:f>
        <x:v>NO</x:v>
      </x:c>
      <x:c r="G557" s="10" t="n">
        <x:f>IF(F557="SÍ",EOMONTH(E557,0)+1,DATE(YEAR(E557),MONTH(E557),1))</x:f>
        <x:v>46204</x:v>
      </x:c>
      <x:c r="H557" t="str">
        <x:f>IF(D557="NO",IF(C557="SÍ","FERIADO","FIN DE SEMANA"),"LABORABLE")&amp;IF(F557="SÍ"," + CIERRE","")</x:f>
        <x:v>LABORABLE</x:v>
      </x:c>
      <x:c r="I557" t="str">
        <x:f>TEXT(G557,"yyyy-mm")</x:f>
        <x:v>2026-07</x:v>
      </x:c>
    </x:row>
    <x:row r="558" ht="19" customHeight="1">
      <x:c r="A558" s="2" t="n">
        <x:v>46214</x:v>
      </x:c>
      <x:c r="B558" t="str">
        <x:f>CHOOSE(WEEKDAY(A558,2),"Lunes","Martes","Miércoles","Jueves","Viernes","Sábado","Domingo")</x:f>
        <x:v>Sábado</x:v>
      </x:c>
      <x:c r="C558" t="str">
        <x:f>IF(COUNTIF(FERIADOS!$A$2:$A$250,A558)&gt;0,"SÍ","NO")</x:f>
        <x:v>NO</x:v>
      </x:c>
      <x:c r="D558" t="str">
        <x:f>IF(AND(WEEKDAY(A558,2)&lt;=5,C558="NO"),"SÍ","NO")</x:f>
        <x:v>NO</x:v>
      </x:c>
      <x:c r="E558" s="2" t="n">
        <x:f>WORKDAY.INTL(A558-1,1,1,FERIADOS!$A$2:$A$250)</x:f>
        <x:v>46216</x:v>
      </x:c>
      <x:c r="F558" t="str">
        <x:f>IF(E558&gt;=WORKDAY.INTL(EOMONTH(E558,0)+1,-2,1,FERIADOS!$A$2:$A$250),"SÍ","NO")</x:f>
        <x:v>NO</x:v>
      </x:c>
      <x:c r="G558" s="10" t="n">
        <x:f>IF(F558="SÍ",EOMONTH(E558,0)+1,DATE(YEAR(E558),MONTH(E558),1))</x:f>
        <x:v>46204</x:v>
      </x:c>
      <x:c r="H558" t="str">
        <x:f>IF(D558="NO",IF(C558="SÍ","FERIADO","FIN DE SEMANA"),"LABORABLE")&amp;IF(F558="SÍ"," + CIERRE","")</x:f>
        <x:v>FIN DE SEMANA</x:v>
      </x:c>
      <x:c r="I558" t="str">
        <x:f>TEXT(G558,"yyyy-mm")</x:f>
        <x:v>2026-07</x:v>
      </x:c>
    </x:row>
    <x:row r="559" ht="19" customHeight="1">
      <x:c r="A559" s="2" t="n">
        <x:v>46215</x:v>
      </x:c>
      <x:c r="B559" t="str">
        <x:f>CHOOSE(WEEKDAY(A559,2),"Lunes","Martes","Miércoles","Jueves","Viernes","Sábado","Domingo")</x:f>
        <x:v>Domingo</x:v>
      </x:c>
      <x:c r="C559" t="str">
        <x:f>IF(COUNTIF(FERIADOS!$A$2:$A$250,A559)&gt;0,"SÍ","NO")</x:f>
        <x:v>NO</x:v>
      </x:c>
      <x:c r="D559" t="str">
        <x:f>IF(AND(WEEKDAY(A559,2)&lt;=5,C559="NO"),"SÍ","NO")</x:f>
        <x:v>NO</x:v>
      </x:c>
      <x:c r="E559" s="2" t="n">
        <x:f>WORKDAY.INTL(A559-1,1,1,FERIADOS!$A$2:$A$250)</x:f>
        <x:v>46216</x:v>
      </x:c>
      <x:c r="F559" t="str">
        <x:f>IF(E559&gt;=WORKDAY.INTL(EOMONTH(E559,0)+1,-2,1,FERIADOS!$A$2:$A$250),"SÍ","NO")</x:f>
        <x:v>NO</x:v>
      </x:c>
      <x:c r="G559" s="10" t="n">
        <x:f>IF(F559="SÍ",EOMONTH(E559,0)+1,DATE(YEAR(E559),MONTH(E559),1))</x:f>
        <x:v>46204</x:v>
      </x:c>
      <x:c r="H559" t="str">
        <x:f>IF(D559="NO",IF(C559="SÍ","FERIADO","FIN DE SEMANA"),"LABORABLE")&amp;IF(F559="SÍ"," + CIERRE","")</x:f>
        <x:v>FIN DE SEMANA</x:v>
      </x:c>
      <x:c r="I559" t="str">
        <x:f>TEXT(G559,"yyyy-mm")</x:f>
        <x:v>2026-07</x:v>
      </x:c>
    </x:row>
    <x:row r="560" ht="19" customHeight="1">
      <x:c r="A560" s="2" t="n">
        <x:v>46216</x:v>
      </x:c>
      <x:c r="B560" t="str">
        <x:f>CHOOSE(WEEKDAY(A560,2),"Lunes","Martes","Miércoles","Jueves","Viernes","Sábado","Domingo")</x:f>
        <x:v>Lunes</x:v>
      </x:c>
      <x:c r="C560" t="str">
        <x:f>IF(COUNTIF(FERIADOS!$A$2:$A$250,A560)&gt;0,"SÍ","NO")</x:f>
        <x:v>NO</x:v>
      </x:c>
      <x:c r="D560" t="str">
        <x:f>IF(AND(WEEKDAY(A560,2)&lt;=5,C560="NO"),"SÍ","NO")</x:f>
        <x:v>SÍ</x:v>
      </x:c>
      <x:c r="E560" s="2" t="n">
        <x:f>WORKDAY.INTL(A560-1,1,1,FERIADOS!$A$2:$A$250)</x:f>
        <x:v>46216</x:v>
      </x:c>
      <x:c r="F560" t="str">
        <x:f>IF(E560&gt;=WORKDAY.INTL(EOMONTH(E560,0)+1,-2,1,FERIADOS!$A$2:$A$250),"SÍ","NO")</x:f>
        <x:v>NO</x:v>
      </x:c>
      <x:c r="G560" s="10" t="n">
        <x:f>IF(F560="SÍ",EOMONTH(E560,0)+1,DATE(YEAR(E560),MONTH(E560),1))</x:f>
        <x:v>46204</x:v>
      </x:c>
      <x:c r="H560" t="str">
        <x:f>IF(D560="NO",IF(C560="SÍ","FERIADO","FIN DE SEMANA"),"LABORABLE")&amp;IF(F560="SÍ"," + CIERRE","")</x:f>
        <x:v>LABORABLE</x:v>
      </x:c>
      <x:c r="I560" t="str">
        <x:f>TEXT(G560,"yyyy-mm")</x:f>
        <x:v>2026-07</x:v>
      </x:c>
    </x:row>
    <x:row r="561" ht="19" customHeight="1">
      <x:c r="A561" s="2" t="n">
        <x:v>46217</x:v>
      </x:c>
      <x:c r="B561" t="str">
        <x:f>CHOOSE(WEEKDAY(A561,2),"Lunes","Martes","Miércoles","Jueves","Viernes","Sábado","Domingo")</x:f>
        <x:v>Martes</x:v>
      </x:c>
      <x:c r="C561" t="str">
        <x:f>IF(COUNTIF(FERIADOS!$A$2:$A$250,A561)&gt;0,"SÍ","NO")</x:f>
        <x:v>NO</x:v>
      </x:c>
      <x:c r="D561" t="str">
        <x:f>IF(AND(WEEKDAY(A561,2)&lt;=5,C561="NO"),"SÍ","NO")</x:f>
        <x:v>SÍ</x:v>
      </x:c>
      <x:c r="E561" s="2" t="n">
        <x:f>WORKDAY.INTL(A561-1,1,1,FERIADOS!$A$2:$A$250)</x:f>
        <x:v>46217</x:v>
      </x:c>
      <x:c r="F561" t="str">
        <x:f>IF(E561&gt;=WORKDAY.INTL(EOMONTH(E561,0)+1,-2,1,FERIADOS!$A$2:$A$250),"SÍ","NO")</x:f>
        <x:v>NO</x:v>
      </x:c>
      <x:c r="G561" s="10" t="n">
        <x:f>IF(F561="SÍ",EOMONTH(E561,0)+1,DATE(YEAR(E561),MONTH(E561),1))</x:f>
        <x:v>46204</x:v>
      </x:c>
      <x:c r="H561" t="str">
        <x:f>IF(D561="NO",IF(C561="SÍ","FERIADO","FIN DE SEMANA"),"LABORABLE")&amp;IF(F561="SÍ"," + CIERRE","")</x:f>
        <x:v>LABORABLE</x:v>
      </x:c>
      <x:c r="I561" t="str">
        <x:f>TEXT(G561,"yyyy-mm")</x:f>
        <x:v>2026-07</x:v>
      </x:c>
    </x:row>
    <x:row r="562" ht="19" customHeight="1">
      <x:c r="A562" s="2" t="n">
        <x:v>46218</x:v>
      </x:c>
      <x:c r="B562" t="str">
        <x:f>CHOOSE(WEEKDAY(A562,2),"Lunes","Martes","Miércoles","Jueves","Viernes","Sábado","Domingo")</x:f>
        <x:v>Miércoles</x:v>
      </x:c>
      <x:c r="C562" t="str">
        <x:f>IF(COUNTIF(FERIADOS!$A$2:$A$250,A562)&gt;0,"SÍ","NO")</x:f>
        <x:v>NO</x:v>
      </x:c>
      <x:c r="D562" t="str">
        <x:f>IF(AND(WEEKDAY(A562,2)&lt;=5,C562="NO"),"SÍ","NO")</x:f>
        <x:v>SÍ</x:v>
      </x:c>
      <x:c r="E562" s="2" t="n">
        <x:f>WORKDAY.INTL(A562-1,1,1,FERIADOS!$A$2:$A$250)</x:f>
        <x:v>46218</x:v>
      </x:c>
      <x:c r="F562" t="str">
        <x:f>IF(E562&gt;=WORKDAY.INTL(EOMONTH(E562,0)+1,-2,1,FERIADOS!$A$2:$A$250),"SÍ","NO")</x:f>
        <x:v>NO</x:v>
      </x:c>
      <x:c r="G562" s="10" t="n">
        <x:f>IF(F562="SÍ",EOMONTH(E562,0)+1,DATE(YEAR(E562),MONTH(E562),1))</x:f>
        <x:v>46204</x:v>
      </x:c>
      <x:c r="H562" t="str">
        <x:f>IF(D562="NO",IF(C562="SÍ","FERIADO","FIN DE SEMANA"),"LABORABLE")&amp;IF(F562="SÍ"," + CIERRE","")</x:f>
        <x:v>LABORABLE</x:v>
      </x:c>
      <x:c r="I562" t="str">
        <x:f>TEXT(G562,"yyyy-mm")</x:f>
        <x:v>2026-07</x:v>
      </x:c>
    </x:row>
    <x:row r="563" ht="19" customHeight="1">
      <x:c r="A563" s="2" t="n">
        <x:v>46219</x:v>
      </x:c>
      <x:c r="B563" t="str">
        <x:f>CHOOSE(WEEKDAY(A563,2),"Lunes","Martes","Miércoles","Jueves","Viernes","Sábado","Domingo")</x:f>
        <x:v>Jueves</x:v>
      </x:c>
      <x:c r="C563" t="str">
        <x:f>IF(COUNTIF(FERIADOS!$A$2:$A$250,A563)&gt;0,"SÍ","NO")</x:f>
        <x:v>NO</x:v>
      </x:c>
      <x:c r="D563" t="str">
        <x:f>IF(AND(WEEKDAY(A563,2)&lt;=5,C563="NO"),"SÍ","NO")</x:f>
        <x:v>SÍ</x:v>
      </x:c>
      <x:c r="E563" s="2" t="n">
        <x:f>WORKDAY.INTL(A563-1,1,1,FERIADOS!$A$2:$A$250)</x:f>
        <x:v>46219</x:v>
      </x:c>
      <x:c r="F563" t="str">
        <x:f>IF(E563&gt;=WORKDAY.INTL(EOMONTH(E563,0)+1,-2,1,FERIADOS!$A$2:$A$250),"SÍ","NO")</x:f>
        <x:v>NO</x:v>
      </x:c>
      <x:c r="G563" s="10" t="n">
        <x:f>IF(F563="SÍ",EOMONTH(E563,0)+1,DATE(YEAR(E563),MONTH(E563),1))</x:f>
        <x:v>46204</x:v>
      </x:c>
      <x:c r="H563" t="str">
        <x:f>IF(D563="NO",IF(C563="SÍ","FERIADO","FIN DE SEMANA"),"LABORABLE")&amp;IF(F563="SÍ"," + CIERRE","")</x:f>
        <x:v>LABORABLE</x:v>
      </x:c>
      <x:c r="I563" t="str">
        <x:f>TEXT(G563,"yyyy-mm")</x:f>
        <x:v>2026-07</x:v>
      </x:c>
    </x:row>
    <x:row r="564" ht="19" customHeight="1">
      <x:c r="A564" s="2" t="n">
        <x:v>46220</x:v>
      </x:c>
      <x:c r="B564" t="str">
        <x:f>CHOOSE(WEEKDAY(A564,2),"Lunes","Martes","Miércoles","Jueves","Viernes","Sábado","Domingo")</x:f>
        <x:v>Viernes</x:v>
      </x:c>
      <x:c r="C564" t="str">
        <x:f>IF(COUNTIF(FERIADOS!$A$2:$A$250,A564)&gt;0,"SÍ","NO")</x:f>
        <x:v>NO</x:v>
      </x:c>
      <x:c r="D564" t="str">
        <x:f>IF(AND(WEEKDAY(A564,2)&lt;=5,C564="NO"),"SÍ","NO")</x:f>
        <x:v>SÍ</x:v>
      </x:c>
      <x:c r="E564" s="2" t="n">
        <x:f>WORKDAY.INTL(A564-1,1,1,FERIADOS!$A$2:$A$250)</x:f>
        <x:v>46220</x:v>
      </x:c>
      <x:c r="F564" t="str">
        <x:f>IF(E564&gt;=WORKDAY.INTL(EOMONTH(E564,0)+1,-2,1,FERIADOS!$A$2:$A$250),"SÍ","NO")</x:f>
        <x:v>NO</x:v>
      </x:c>
      <x:c r="G564" s="10" t="n">
        <x:f>IF(F564="SÍ",EOMONTH(E564,0)+1,DATE(YEAR(E564),MONTH(E564),1))</x:f>
        <x:v>46204</x:v>
      </x:c>
      <x:c r="H564" t="str">
        <x:f>IF(D564="NO",IF(C564="SÍ","FERIADO","FIN DE SEMANA"),"LABORABLE")&amp;IF(F564="SÍ"," + CIERRE","")</x:f>
        <x:v>LABORABLE</x:v>
      </x:c>
      <x:c r="I564" t="str">
        <x:f>TEXT(G564,"yyyy-mm")</x:f>
        <x:v>2026-07</x:v>
      </x:c>
    </x:row>
    <x:row r="565" ht="19" customHeight="1">
      <x:c r="A565" s="2" t="n">
        <x:v>46221</x:v>
      </x:c>
      <x:c r="B565" t="str">
        <x:f>CHOOSE(WEEKDAY(A565,2),"Lunes","Martes","Miércoles","Jueves","Viernes","Sábado","Domingo")</x:f>
        <x:v>Sábado</x:v>
      </x:c>
      <x:c r="C565" t="str">
        <x:f>IF(COUNTIF(FERIADOS!$A$2:$A$250,A565)&gt;0,"SÍ","NO")</x:f>
        <x:v>NO</x:v>
      </x:c>
      <x:c r="D565" t="str">
        <x:f>IF(AND(WEEKDAY(A565,2)&lt;=5,C565="NO"),"SÍ","NO")</x:f>
        <x:v>NO</x:v>
      </x:c>
      <x:c r="E565" s="2" t="n">
        <x:f>WORKDAY.INTL(A565-1,1,1,FERIADOS!$A$2:$A$250)</x:f>
        <x:v>46223</x:v>
      </x:c>
      <x:c r="F565" t="str">
        <x:f>IF(E565&gt;=WORKDAY.INTL(EOMONTH(E565,0)+1,-2,1,FERIADOS!$A$2:$A$250),"SÍ","NO")</x:f>
        <x:v>NO</x:v>
      </x:c>
      <x:c r="G565" s="10" t="n">
        <x:f>IF(F565="SÍ",EOMONTH(E565,0)+1,DATE(YEAR(E565),MONTH(E565),1))</x:f>
        <x:v>46204</x:v>
      </x:c>
      <x:c r="H565" t="str">
        <x:f>IF(D565="NO",IF(C565="SÍ","FERIADO","FIN DE SEMANA"),"LABORABLE")&amp;IF(F565="SÍ"," + CIERRE","")</x:f>
        <x:v>FIN DE SEMANA</x:v>
      </x:c>
      <x:c r="I565" t="str">
        <x:f>TEXT(G565,"yyyy-mm")</x:f>
        <x:v>2026-07</x:v>
      </x:c>
    </x:row>
    <x:row r="566" ht="19" customHeight="1">
      <x:c r="A566" s="2" t="n">
        <x:v>46222</x:v>
      </x:c>
      <x:c r="B566" t="str">
        <x:f>CHOOSE(WEEKDAY(A566,2),"Lunes","Martes","Miércoles","Jueves","Viernes","Sábado","Domingo")</x:f>
        <x:v>Domingo</x:v>
      </x:c>
      <x:c r="C566" t="str">
        <x:f>IF(COUNTIF(FERIADOS!$A$2:$A$250,A566)&gt;0,"SÍ","NO")</x:f>
        <x:v>NO</x:v>
      </x:c>
      <x:c r="D566" t="str">
        <x:f>IF(AND(WEEKDAY(A566,2)&lt;=5,C566="NO"),"SÍ","NO")</x:f>
        <x:v>NO</x:v>
      </x:c>
      <x:c r="E566" s="2" t="n">
        <x:f>WORKDAY.INTL(A566-1,1,1,FERIADOS!$A$2:$A$250)</x:f>
        <x:v>46223</x:v>
      </x:c>
      <x:c r="F566" t="str">
        <x:f>IF(E566&gt;=WORKDAY.INTL(EOMONTH(E566,0)+1,-2,1,FERIADOS!$A$2:$A$250),"SÍ","NO")</x:f>
        <x:v>NO</x:v>
      </x:c>
      <x:c r="G566" s="10" t="n">
        <x:f>IF(F566="SÍ",EOMONTH(E566,0)+1,DATE(YEAR(E566),MONTH(E566),1))</x:f>
        <x:v>46204</x:v>
      </x:c>
      <x:c r="H566" t="str">
        <x:f>IF(D566="NO",IF(C566="SÍ","FERIADO","FIN DE SEMANA"),"LABORABLE")&amp;IF(F566="SÍ"," + CIERRE","")</x:f>
        <x:v>FIN DE SEMANA</x:v>
      </x:c>
      <x:c r="I566" t="str">
        <x:f>TEXT(G566,"yyyy-mm")</x:f>
        <x:v>2026-07</x:v>
      </x:c>
    </x:row>
    <x:row r="567" ht="19" customHeight="1">
      <x:c r="A567" s="2" t="n">
        <x:v>46223</x:v>
      </x:c>
      <x:c r="B567" t="str">
        <x:f>CHOOSE(WEEKDAY(A567,2),"Lunes","Martes","Miércoles","Jueves","Viernes","Sábado","Domingo")</x:f>
        <x:v>Lunes</x:v>
      </x:c>
      <x:c r="C567" t="str">
        <x:f>IF(COUNTIF(FERIADOS!$A$2:$A$250,A567)&gt;0,"SÍ","NO")</x:f>
        <x:v>NO</x:v>
      </x:c>
      <x:c r="D567" t="str">
        <x:f>IF(AND(WEEKDAY(A567,2)&lt;=5,C567="NO"),"SÍ","NO")</x:f>
        <x:v>SÍ</x:v>
      </x:c>
      <x:c r="E567" s="2" t="n">
        <x:f>WORKDAY.INTL(A567-1,1,1,FERIADOS!$A$2:$A$250)</x:f>
        <x:v>46223</x:v>
      </x:c>
      <x:c r="F567" t="str">
        <x:f>IF(E567&gt;=WORKDAY.INTL(EOMONTH(E567,0)+1,-2,1,FERIADOS!$A$2:$A$250),"SÍ","NO")</x:f>
        <x:v>NO</x:v>
      </x:c>
      <x:c r="G567" s="10" t="n">
        <x:f>IF(F567="SÍ",EOMONTH(E567,0)+1,DATE(YEAR(E567),MONTH(E567),1))</x:f>
        <x:v>46204</x:v>
      </x:c>
      <x:c r="H567" t="str">
        <x:f>IF(D567="NO",IF(C567="SÍ","FERIADO","FIN DE SEMANA"),"LABORABLE")&amp;IF(F567="SÍ"," + CIERRE","")</x:f>
        <x:v>LABORABLE</x:v>
      </x:c>
      <x:c r="I567" t="str">
        <x:f>TEXT(G567,"yyyy-mm")</x:f>
        <x:v>2026-07</x:v>
      </x:c>
    </x:row>
    <x:row r="568" ht="19" customHeight="1">
      <x:c r="A568" s="2" t="n">
        <x:v>46224</x:v>
      </x:c>
      <x:c r="B568" t="str">
        <x:f>CHOOSE(WEEKDAY(A568,2),"Lunes","Martes","Miércoles","Jueves","Viernes","Sábado","Domingo")</x:f>
        <x:v>Martes</x:v>
      </x:c>
      <x:c r="C568" t="str">
        <x:f>IF(COUNTIF(FERIADOS!$A$2:$A$250,A568)&gt;0,"SÍ","NO")</x:f>
        <x:v>NO</x:v>
      </x:c>
      <x:c r="D568" t="str">
        <x:f>IF(AND(WEEKDAY(A568,2)&lt;=5,C568="NO"),"SÍ","NO")</x:f>
        <x:v>SÍ</x:v>
      </x:c>
      <x:c r="E568" s="2" t="n">
        <x:f>WORKDAY.INTL(A568-1,1,1,FERIADOS!$A$2:$A$250)</x:f>
        <x:v>46224</x:v>
      </x:c>
      <x:c r="F568" t="str">
        <x:f>IF(E568&gt;=WORKDAY.INTL(EOMONTH(E568,0)+1,-2,1,FERIADOS!$A$2:$A$250),"SÍ","NO")</x:f>
        <x:v>NO</x:v>
      </x:c>
      <x:c r="G568" s="10" t="n">
        <x:f>IF(F568="SÍ",EOMONTH(E568,0)+1,DATE(YEAR(E568),MONTH(E568),1))</x:f>
        <x:v>46204</x:v>
      </x:c>
      <x:c r="H568" t="str">
        <x:f>IF(D568="NO",IF(C568="SÍ","FERIADO","FIN DE SEMANA"),"LABORABLE")&amp;IF(F568="SÍ"," + CIERRE","")</x:f>
        <x:v>LABORABLE</x:v>
      </x:c>
      <x:c r="I568" t="str">
        <x:f>TEXT(G568,"yyyy-mm")</x:f>
        <x:v>2026-07</x:v>
      </x:c>
    </x:row>
    <x:row r="569" ht="19" customHeight="1">
      <x:c r="A569" s="2" t="n">
        <x:v>46225</x:v>
      </x:c>
      <x:c r="B569" t="str">
        <x:f>CHOOSE(WEEKDAY(A569,2),"Lunes","Martes","Miércoles","Jueves","Viernes","Sábado","Domingo")</x:f>
        <x:v>Miércoles</x:v>
      </x:c>
      <x:c r="C569" t="str">
        <x:f>IF(COUNTIF(FERIADOS!$A$2:$A$250,A569)&gt;0,"SÍ","NO")</x:f>
        <x:v>NO</x:v>
      </x:c>
      <x:c r="D569" t="str">
        <x:f>IF(AND(WEEKDAY(A569,2)&lt;=5,C569="NO"),"SÍ","NO")</x:f>
        <x:v>SÍ</x:v>
      </x:c>
      <x:c r="E569" s="2" t="n">
        <x:f>WORKDAY.INTL(A569-1,1,1,FERIADOS!$A$2:$A$250)</x:f>
        <x:v>46225</x:v>
      </x:c>
      <x:c r="F569" t="str">
        <x:f>IF(E569&gt;=WORKDAY.INTL(EOMONTH(E569,0)+1,-2,1,FERIADOS!$A$2:$A$250),"SÍ","NO")</x:f>
        <x:v>NO</x:v>
      </x:c>
      <x:c r="G569" s="10" t="n">
        <x:f>IF(F569="SÍ",EOMONTH(E569,0)+1,DATE(YEAR(E569),MONTH(E569),1))</x:f>
        <x:v>46204</x:v>
      </x:c>
      <x:c r="H569" t="str">
        <x:f>IF(D569="NO",IF(C569="SÍ","FERIADO","FIN DE SEMANA"),"LABORABLE")&amp;IF(F569="SÍ"," + CIERRE","")</x:f>
        <x:v>LABORABLE</x:v>
      </x:c>
      <x:c r="I569" t="str">
        <x:f>TEXT(G569,"yyyy-mm")</x:f>
        <x:v>2026-07</x:v>
      </x:c>
    </x:row>
    <x:row r="570" ht="19" customHeight="1">
      <x:c r="A570" s="2" t="n">
        <x:v>46226</x:v>
      </x:c>
      <x:c r="B570" t="str">
        <x:f>CHOOSE(WEEKDAY(A570,2),"Lunes","Martes","Miércoles","Jueves","Viernes","Sábado","Domingo")</x:f>
        <x:v>Jueves</x:v>
      </x:c>
      <x:c r="C570" t="str">
        <x:f>IF(COUNTIF(FERIADOS!$A$2:$A$250,A570)&gt;0,"SÍ","NO")</x:f>
        <x:v>NO</x:v>
      </x:c>
      <x:c r="D570" t="str">
        <x:f>IF(AND(WEEKDAY(A570,2)&lt;=5,C570="NO"),"SÍ","NO")</x:f>
        <x:v>SÍ</x:v>
      </x:c>
      <x:c r="E570" s="2" t="n">
        <x:f>WORKDAY.INTL(A570-1,1,1,FERIADOS!$A$2:$A$250)</x:f>
        <x:v>46226</x:v>
      </x:c>
      <x:c r="F570" t="str">
        <x:f>IF(E570&gt;=WORKDAY.INTL(EOMONTH(E570,0)+1,-2,1,FERIADOS!$A$2:$A$250),"SÍ","NO")</x:f>
        <x:v>NO</x:v>
      </x:c>
      <x:c r="G570" s="10" t="n">
        <x:f>IF(F570="SÍ",EOMONTH(E570,0)+1,DATE(YEAR(E570),MONTH(E570),1))</x:f>
        <x:v>46204</x:v>
      </x:c>
      <x:c r="H570" t="str">
        <x:f>IF(D570="NO",IF(C570="SÍ","FERIADO","FIN DE SEMANA"),"LABORABLE")&amp;IF(F570="SÍ"," + CIERRE","")</x:f>
        <x:v>LABORABLE</x:v>
      </x:c>
      <x:c r="I570" t="str">
        <x:f>TEXT(G570,"yyyy-mm")</x:f>
        <x:v>2026-07</x:v>
      </x:c>
    </x:row>
    <x:row r="571" ht="19" customHeight="1">
      <x:c r="A571" s="2" t="n">
        <x:v>46227</x:v>
      </x:c>
      <x:c r="B571" t="str">
        <x:f>CHOOSE(WEEKDAY(A571,2),"Lunes","Martes","Miércoles","Jueves","Viernes","Sábado","Domingo")</x:f>
        <x:v>Viernes</x:v>
      </x:c>
      <x:c r="C571" t="str">
        <x:f>IF(COUNTIF(FERIADOS!$A$2:$A$250,A571)&gt;0,"SÍ","NO")</x:f>
        <x:v>NO</x:v>
      </x:c>
      <x:c r="D571" t="str">
        <x:f>IF(AND(WEEKDAY(A571,2)&lt;=5,C571="NO"),"SÍ","NO")</x:f>
        <x:v>SÍ</x:v>
      </x:c>
      <x:c r="E571" s="2" t="n">
        <x:f>WORKDAY.INTL(A571-1,1,1,FERIADOS!$A$2:$A$250)</x:f>
        <x:v>46227</x:v>
      </x:c>
      <x:c r="F571" t="str">
        <x:f>IF(E571&gt;=WORKDAY.INTL(EOMONTH(E571,0)+1,-2,1,FERIADOS!$A$2:$A$250),"SÍ","NO")</x:f>
        <x:v>NO</x:v>
      </x:c>
      <x:c r="G571" s="10" t="n">
        <x:f>IF(F571="SÍ",EOMONTH(E571,0)+1,DATE(YEAR(E571),MONTH(E571),1))</x:f>
        <x:v>46204</x:v>
      </x:c>
      <x:c r="H571" t="str">
        <x:f>IF(D571="NO",IF(C571="SÍ","FERIADO","FIN DE SEMANA"),"LABORABLE")&amp;IF(F571="SÍ"," + CIERRE","")</x:f>
        <x:v>LABORABLE</x:v>
      </x:c>
      <x:c r="I571" t="str">
        <x:f>TEXT(G571,"yyyy-mm")</x:f>
        <x:v>2026-07</x:v>
      </x:c>
    </x:row>
    <x:row r="572" ht="19" customHeight="1">
      <x:c r="A572" s="2" t="n">
        <x:v>46228</x:v>
      </x:c>
      <x:c r="B572" t="str">
        <x:f>CHOOSE(WEEKDAY(A572,2),"Lunes","Martes","Miércoles","Jueves","Viernes","Sábado","Domingo")</x:f>
        <x:v>Sábado</x:v>
      </x:c>
      <x:c r="C572" t="str">
        <x:f>IF(COUNTIF(FERIADOS!$A$2:$A$250,A572)&gt;0,"SÍ","NO")</x:f>
        <x:v>NO</x:v>
      </x:c>
      <x:c r="D572" t="str">
        <x:f>IF(AND(WEEKDAY(A572,2)&lt;=5,C572="NO"),"SÍ","NO")</x:f>
        <x:v>NO</x:v>
      </x:c>
      <x:c r="E572" s="2" t="n">
        <x:f>WORKDAY.INTL(A572-1,1,1,FERIADOS!$A$2:$A$250)</x:f>
        <x:v>46230</x:v>
      </x:c>
      <x:c r="F572" t="str">
        <x:f>IF(E572&gt;=WORKDAY.INTL(EOMONTH(E572,0)+1,-2,1,FERIADOS!$A$2:$A$250),"SÍ","NO")</x:f>
        <x:v>NO</x:v>
      </x:c>
      <x:c r="G572" s="10" t="n">
        <x:f>IF(F572="SÍ",EOMONTH(E572,0)+1,DATE(YEAR(E572),MONTH(E572),1))</x:f>
        <x:v>46204</x:v>
      </x:c>
      <x:c r="H572" t="str">
        <x:f>IF(D572="NO",IF(C572="SÍ","FERIADO","FIN DE SEMANA"),"LABORABLE")&amp;IF(F572="SÍ"," + CIERRE","")</x:f>
        <x:v>FIN DE SEMANA</x:v>
      </x:c>
      <x:c r="I572" t="str">
        <x:f>TEXT(G572,"yyyy-mm")</x:f>
        <x:v>2026-07</x:v>
      </x:c>
    </x:row>
    <x:row r="573" ht="19" customHeight="1">
      <x:c r="A573" s="2" t="n">
        <x:v>46229</x:v>
      </x:c>
      <x:c r="B573" t="str">
        <x:f>CHOOSE(WEEKDAY(A573,2),"Lunes","Martes","Miércoles","Jueves","Viernes","Sábado","Domingo")</x:f>
        <x:v>Domingo</x:v>
      </x:c>
      <x:c r="C573" t="str">
        <x:f>IF(COUNTIF(FERIADOS!$A$2:$A$250,A573)&gt;0,"SÍ","NO")</x:f>
        <x:v>NO</x:v>
      </x:c>
      <x:c r="D573" t="str">
        <x:f>IF(AND(WEEKDAY(A573,2)&lt;=5,C573="NO"),"SÍ","NO")</x:f>
        <x:v>NO</x:v>
      </x:c>
      <x:c r="E573" s="2" t="n">
        <x:f>WORKDAY.INTL(A573-1,1,1,FERIADOS!$A$2:$A$250)</x:f>
        <x:v>46230</x:v>
      </x:c>
      <x:c r="F573" t="str">
        <x:f>IF(E573&gt;=WORKDAY.INTL(EOMONTH(E573,0)+1,-2,1,FERIADOS!$A$2:$A$250),"SÍ","NO")</x:f>
        <x:v>NO</x:v>
      </x:c>
      <x:c r="G573" s="10" t="n">
        <x:f>IF(F573="SÍ",EOMONTH(E573,0)+1,DATE(YEAR(E573),MONTH(E573),1))</x:f>
        <x:v>46204</x:v>
      </x:c>
      <x:c r="H573" t="str">
        <x:f>IF(D573="NO",IF(C573="SÍ","FERIADO","FIN DE SEMANA"),"LABORABLE")&amp;IF(F573="SÍ"," + CIERRE","")</x:f>
        <x:v>FIN DE SEMANA</x:v>
      </x:c>
      <x:c r="I573" t="str">
        <x:f>TEXT(G573,"yyyy-mm")</x:f>
        <x:v>2026-07</x:v>
      </x:c>
    </x:row>
    <x:row r="574" ht="19" customHeight="1">
      <x:c r="A574" s="2" t="n">
        <x:v>46230</x:v>
      </x:c>
      <x:c r="B574" t="str">
        <x:f>CHOOSE(WEEKDAY(A574,2),"Lunes","Martes","Miércoles","Jueves","Viernes","Sábado","Domingo")</x:f>
        <x:v>Lunes</x:v>
      </x:c>
      <x:c r="C574" t="str">
        <x:f>IF(COUNTIF(FERIADOS!$A$2:$A$250,A574)&gt;0,"SÍ","NO")</x:f>
        <x:v>NO</x:v>
      </x:c>
      <x:c r="D574" t="str">
        <x:f>IF(AND(WEEKDAY(A574,2)&lt;=5,C574="NO"),"SÍ","NO")</x:f>
        <x:v>SÍ</x:v>
      </x:c>
      <x:c r="E574" s="2" t="n">
        <x:f>WORKDAY.INTL(A574-1,1,1,FERIADOS!$A$2:$A$250)</x:f>
        <x:v>46230</x:v>
      </x:c>
      <x:c r="F574" t="str">
        <x:f>IF(E574&gt;=WORKDAY.INTL(EOMONTH(E574,0)+1,-2,1,FERIADOS!$A$2:$A$250),"SÍ","NO")</x:f>
        <x:v>NO</x:v>
      </x:c>
      <x:c r="G574" s="10" t="n">
        <x:f>IF(F574="SÍ",EOMONTH(E574,0)+1,DATE(YEAR(E574),MONTH(E574),1))</x:f>
        <x:v>46204</x:v>
      </x:c>
      <x:c r="H574" t="str">
        <x:f>IF(D574="NO",IF(C574="SÍ","FERIADO","FIN DE SEMANA"),"LABORABLE")&amp;IF(F574="SÍ"," + CIERRE","")</x:f>
        <x:v>LABORABLE</x:v>
      </x:c>
      <x:c r="I574" t="str">
        <x:f>TEXT(G574,"yyyy-mm")</x:f>
        <x:v>2026-07</x:v>
      </x:c>
    </x:row>
    <x:row r="575" ht="19" customHeight="1">
      <x:c r="A575" s="2" t="n">
        <x:v>46231</x:v>
      </x:c>
      <x:c r="B575" t="str">
        <x:f>CHOOSE(WEEKDAY(A575,2),"Lunes","Martes","Miércoles","Jueves","Viernes","Sábado","Domingo")</x:f>
        <x:v>Martes</x:v>
      </x:c>
      <x:c r="C575" t="str">
        <x:f>IF(COUNTIF(FERIADOS!$A$2:$A$250,A575)&gt;0,"SÍ","NO")</x:f>
        <x:v>NO</x:v>
      </x:c>
      <x:c r="D575" t="str">
        <x:f>IF(AND(WEEKDAY(A575,2)&lt;=5,C575="NO"),"SÍ","NO")</x:f>
        <x:v>SÍ</x:v>
      </x:c>
      <x:c r="E575" s="2" t="n">
        <x:f>WORKDAY.INTL(A575-1,1,1,FERIADOS!$A$2:$A$250)</x:f>
        <x:v>46231</x:v>
      </x:c>
      <x:c r="F575" t="str">
        <x:f>IF(E575&gt;=WORKDAY.INTL(EOMONTH(E575,0)+1,-2,1,FERIADOS!$A$2:$A$250),"SÍ","NO")</x:f>
        <x:v>NO</x:v>
      </x:c>
      <x:c r="G575" s="10" t="n">
        <x:f>IF(F575="SÍ",EOMONTH(E575,0)+1,DATE(YEAR(E575),MONTH(E575),1))</x:f>
        <x:v>46204</x:v>
      </x:c>
      <x:c r="H575" t="str">
        <x:f>IF(D575="NO",IF(C575="SÍ","FERIADO","FIN DE SEMANA"),"LABORABLE")&amp;IF(F575="SÍ"," + CIERRE","")</x:f>
        <x:v>LABORABLE</x:v>
      </x:c>
      <x:c r="I575" t="str">
        <x:f>TEXT(G575,"yyyy-mm")</x:f>
        <x:v>2026-07</x:v>
      </x:c>
    </x:row>
    <x:row r="576" ht="19" customHeight="1">
      <x:c r="A576" s="2" t="n">
        <x:v>46232</x:v>
      </x:c>
      <x:c r="B576" t="str">
        <x:f>CHOOSE(WEEKDAY(A576,2),"Lunes","Martes","Miércoles","Jueves","Viernes","Sábado","Domingo")</x:f>
        <x:v>Miércoles</x:v>
      </x:c>
      <x:c r="C576" t="str">
        <x:f>IF(COUNTIF(FERIADOS!$A$2:$A$250,A576)&gt;0,"SÍ","NO")</x:f>
        <x:v>NO</x:v>
      </x:c>
      <x:c r="D576" t="str">
        <x:f>IF(AND(WEEKDAY(A576,2)&lt;=5,C576="NO"),"SÍ","NO")</x:f>
        <x:v>SÍ</x:v>
      </x:c>
      <x:c r="E576" s="2" t="n">
        <x:f>WORKDAY.INTL(A576-1,1,1,FERIADOS!$A$2:$A$250)</x:f>
        <x:v>46232</x:v>
      </x:c>
      <x:c r="F576" t="str">
        <x:f>IF(E576&gt;=WORKDAY.INTL(EOMONTH(E576,0)+1,-2,1,FERIADOS!$A$2:$A$250),"SÍ","NO")</x:f>
        <x:v>NO</x:v>
      </x:c>
      <x:c r="G576" s="10" t="n">
        <x:f>IF(F576="SÍ",EOMONTH(E576,0)+1,DATE(YEAR(E576),MONTH(E576),1))</x:f>
        <x:v>46204</x:v>
      </x:c>
      <x:c r="H576" t="str">
        <x:f>IF(D576="NO",IF(C576="SÍ","FERIADO","FIN DE SEMANA"),"LABORABLE")&amp;IF(F576="SÍ"," + CIERRE","")</x:f>
        <x:v>LABORABLE</x:v>
      </x:c>
      <x:c r="I576" t="str">
        <x:f>TEXT(G576,"yyyy-mm")</x:f>
        <x:v>2026-07</x:v>
      </x:c>
    </x:row>
    <x:row r="577" ht="19" customHeight="1">
      <x:c r="A577" s="2" t="n">
        <x:v>46233</x:v>
      </x:c>
      <x:c r="B577" t="str">
        <x:f>CHOOSE(WEEKDAY(A577,2),"Lunes","Martes","Miércoles","Jueves","Viernes","Sábado","Domingo")</x:f>
        <x:v>Jueves</x:v>
      </x:c>
      <x:c r="C577" t="str">
        <x:f>IF(COUNTIF(FERIADOS!$A$2:$A$250,A577)&gt;0,"SÍ","NO")</x:f>
        <x:v>NO</x:v>
      </x:c>
      <x:c r="D577" t="str">
        <x:f>IF(AND(WEEKDAY(A577,2)&lt;=5,C577="NO"),"SÍ","NO")</x:f>
        <x:v>SÍ</x:v>
      </x:c>
      <x:c r="E577" s="2" t="n">
        <x:f>WORKDAY.INTL(A577-1,1,1,FERIADOS!$A$2:$A$250)</x:f>
        <x:v>46233</x:v>
      </x:c>
      <x:c r="F577" t="str">
        <x:f>IF(E577&gt;=WORKDAY.INTL(EOMONTH(E577,0)+1,-2,1,FERIADOS!$A$2:$A$250),"SÍ","NO")</x:f>
        <x:v>SÍ</x:v>
      </x:c>
      <x:c r="G577" s="10" t="n">
        <x:f>IF(F577="SÍ",EOMONTH(E577,0)+1,DATE(YEAR(E577),MONTH(E577),1))</x:f>
        <x:v>46235</x:v>
      </x:c>
      <x:c r="H577" t="str">
        <x:f>IF(D577="NO",IF(C577="SÍ","FERIADO","FIN DE SEMANA"),"LABORABLE")&amp;IF(F577="SÍ"," + CIERRE","")</x:f>
        <x:v>LABORABLE + CIERRE</x:v>
      </x:c>
      <x:c r="I577" t="str">
        <x:f>TEXT(G577,"yyyy-mm")</x:f>
        <x:v>2026-08</x:v>
      </x:c>
    </x:row>
    <x:row r="578" ht="19" customHeight="1">
      <x:c r="A578" s="2" t="n">
        <x:v>46234</x:v>
      </x:c>
      <x:c r="B578" t="str">
        <x:f>CHOOSE(WEEKDAY(A578,2),"Lunes","Martes","Miércoles","Jueves","Viernes","Sábado","Domingo")</x:f>
        <x:v>Viernes</x:v>
      </x:c>
      <x:c r="C578" t="str">
        <x:f>IF(COUNTIF(FERIADOS!$A$2:$A$250,A578)&gt;0,"SÍ","NO")</x:f>
        <x:v>NO</x:v>
      </x:c>
      <x:c r="D578" t="str">
        <x:f>IF(AND(WEEKDAY(A578,2)&lt;=5,C578="NO"),"SÍ","NO")</x:f>
        <x:v>SÍ</x:v>
      </x:c>
      <x:c r="E578" s="2" t="n">
        <x:f>WORKDAY.INTL(A578-1,1,1,FERIADOS!$A$2:$A$250)</x:f>
        <x:v>46234</x:v>
      </x:c>
      <x:c r="F578" t="str">
        <x:f>IF(E578&gt;=WORKDAY.INTL(EOMONTH(E578,0)+1,-2,1,FERIADOS!$A$2:$A$250),"SÍ","NO")</x:f>
        <x:v>SÍ</x:v>
      </x:c>
      <x:c r="G578" s="10" t="n">
        <x:f>IF(F578="SÍ",EOMONTH(E578,0)+1,DATE(YEAR(E578),MONTH(E578),1))</x:f>
        <x:v>46235</x:v>
      </x:c>
      <x:c r="H578" t="str">
        <x:f>IF(D578="NO",IF(C578="SÍ","FERIADO","FIN DE SEMANA"),"LABORABLE")&amp;IF(F578="SÍ"," + CIERRE","")</x:f>
        <x:v>LABORABLE + CIERRE</x:v>
      </x:c>
      <x:c r="I578" t="str">
        <x:f>TEXT(G578,"yyyy-mm")</x:f>
        <x:v>2026-08</x:v>
      </x:c>
    </x:row>
    <x:row r="579" ht="19" customHeight="1">
      <x:c r="A579" s="2" t="n">
        <x:v>46235</x:v>
      </x:c>
      <x:c r="B579" t="str">
        <x:f>CHOOSE(WEEKDAY(A579,2),"Lunes","Martes","Miércoles","Jueves","Viernes","Sábado","Domingo")</x:f>
        <x:v>Sábado</x:v>
      </x:c>
      <x:c r="C579" t="str">
        <x:f>IF(COUNTIF(FERIADOS!$A$2:$A$250,A579)&gt;0,"SÍ","NO")</x:f>
        <x:v>NO</x:v>
      </x:c>
      <x:c r="D579" t="str">
        <x:f>IF(AND(WEEKDAY(A579,2)&lt;=5,C579="NO"),"SÍ","NO")</x:f>
        <x:v>NO</x:v>
      </x:c>
      <x:c r="E579" s="2" t="n">
        <x:f>WORKDAY.INTL(A579-1,1,1,FERIADOS!$A$2:$A$250)</x:f>
        <x:v>46237</x:v>
      </x:c>
      <x:c r="F579" t="str">
        <x:f>IF(E579&gt;=WORKDAY.INTL(EOMONTH(E579,0)+1,-2,1,FERIADOS!$A$2:$A$250),"SÍ","NO")</x:f>
        <x:v>NO</x:v>
      </x:c>
      <x:c r="G579" s="10" t="n">
        <x:f>IF(F579="SÍ",EOMONTH(E579,0)+1,DATE(YEAR(E579),MONTH(E579),1))</x:f>
        <x:v>46235</x:v>
      </x:c>
      <x:c r="H579" t="str">
        <x:f>IF(D579="NO",IF(C579="SÍ","FERIADO","FIN DE SEMANA"),"LABORABLE")&amp;IF(F579="SÍ"," + CIERRE","")</x:f>
        <x:v>FIN DE SEMANA</x:v>
      </x:c>
      <x:c r="I579" t="str">
        <x:f>TEXT(G579,"yyyy-mm")</x:f>
        <x:v>2026-08</x:v>
      </x:c>
    </x:row>
    <x:row r="580" ht="19" customHeight="1">
      <x:c r="A580" s="2" t="n">
        <x:v>46236</x:v>
      </x:c>
      <x:c r="B580" t="str">
        <x:f>CHOOSE(WEEKDAY(A580,2),"Lunes","Martes","Miércoles","Jueves","Viernes","Sábado","Domingo")</x:f>
        <x:v>Domingo</x:v>
      </x:c>
      <x:c r="C580" t="str">
        <x:f>IF(COUNTIF(FERIADOS!$A$2:$A$250,A580)&gt;0,"SÍ","NO")</x:f>
        <x:v>NO</x:v>
      </x:c>
      <x:c r="D580" t="str">
        <x:f>IF(AND(WEEKDAY(A580,2)&lt;=5,C580="NO"),"SÍ","NO")</x:f>
        <x:v>NO</x:v>
      </x:c>
      <x:c r="E580" s="2" t="n">
        <x:f>WORKDAY.INTL(A580-1,1,1,FERIADOS!$A$2:$A$250)</x:f>
        <x:v>46237</x:v>
      </x:c>
      <x:c r="F580" t="str">
        <x:f>IF(E580&gt;=WORKDAY.INTL(EOMONTH(E580,0)+1,-2,1,FERIADOS!$A$2:$A$250),"SÍ","NO")</x:f>
        <x:v>NO</x:v>
      </x:c>
      <x:c r="G580" s="10" t="n">
        <x:f>IF(F580="SÍ",EOMONTH(E580,0)+1,DATE(YEAR(E580),MONTH(E580),1))</x:f>
        <x:v>46235</x:v>
      </x:c>
      <x:c r="H580" t="str">
        <x:f>IF(D580="NO",IF(C580="SÍ","FERIADO","FIN DE SEMANA"),"LABORABLE")&amp;IF(F580="SÍ"," + CIERRE","")</x:f>
        <x:v>FIN DE SEMANA</x:v>
      </x:c>
      <x:c r="I580" t="str">
        <x:f>TEXT(G580,"yyyy-mm")</x:f>
        <x:v>2026-08</x:v>
      </x:c>
    </x:row>
    <x:row r="581" ht="19" customHeight="1">
      <x:c r="A581" s="2" t="n">
        <x:v>46237</x:v>
      </x:c>
      <x:c r="B581" t="str">
        <x:f>CHOOSE(WEEKDAY(A581,2),"Lunes","Martes","Miércoles","Jueves","Viernes","Sábado","Domingo")</x:f>
        <x:v>Lunes</x:v>
      </x:c>
      <x:c r="C581" t="str">
        <x:f>IF(COUNTIF(FERIADOS!$A$2:$A$250,A581)&gt;0,"SÍ","NO")</x:f>
        <x:v>NO</x:v>
      </x:c>
      <x:c r="D581" t="str">
        <x:f>IF(AND(WEEKDAY(A581,2)&lt;=5,C581="NO"),"SÍ","NO")</x:f>
        <x:v>SÍ</x:v>
      </x:c>
      <x:c r="E581" s="2" t="n">
        <x:f>WORKDAY.INTL(A581-1,1,1,FERIADOS!$A$2:$A$250)</x:f>
        <x:v>46237</x:v>
      </x:c>
      <x:c r="F581" t="str">
        <x:f>IF(E581&gt;=WORKDAY.INTL(EOMONTH(E581,0)+1,-2,1,FERIADOS!$A$2:$A$250),"SÍ","NO")</x:f>
        <x:v>NO</x:v>
      </x:c>
      <x:c r="G581" s="10" t="n">
        <x:f>IF(F581="SÍ",EOMONTH(E581,0)+1,DATE(YEAR(E581),MONTH(E581),1))</x:f>
        <x:v>46235</x:v>
      </x:c>
      <x:c r="H581" t="str">
        <x:f>IF(D581="NO",IF(C581="SÍ","FERIADO","FIN DE SEMANA"),"LABORABLE")&amp;IF(F581="SÍ"," + CIERRE","")</x:f>
        <x:v>LABORABLE</x:v>
      </x:c>
      <x:c r="I581" t="str">
        <x:f>TEXT(G581,"yyyy-mm")</x:f>
        <x:v>2026-08</x:v>
      </x:c>
    </x:row>
    <x:row r="582" ht="19" customHeight="1">
      <x:c r="A582" s="2" t="n">
        <x:v>46238</x:v>
      </x:c>
      <x:c r="B582" t="str">
        <x:f>CHOOSE(WEEKDAY(A582,2),"Lunes","Martes","Miércoles","Jueves","Viernes","Sábado","Domingo")</x:f>
        <x:v>Martes</x:v>
      </x:c>
      <x:c r="C582" t="str">
        <x:f>IF(COUNTIF(FERIADOS!$A$2:$A$250,A582)&gt;0,"SÍ","NO")</x:f>
        <x:v>NO</x:v>
      </x:c>
      <x:c r="D582" t="str">
        <x:f>IF(AND(WEEKDAY(A582,2)&lt;=5,C582="NO"),"SÍ","NO")</x:f>
        <x:v>SÍ</x:v>
      </x:c>
      <x:c r="E582" s="2" t="n">
        <x:f>WORKDAY.INTL(A582-1,1,1,FERIADOS!$A$2:$A$250)</x:f>
        <x:v>46238</x:v>
      </x:c>
      <x:c r="F582" t="str">
        <x:f>IF(E582&gt;=WORKDAY.INTL(EOMONTH(E582,0)+1,-2,1,FERIADOS!$A$2:$A$250),"SÍ","NO")</x:f>
        <x:v>NO</x:v>
      </x:c>
      <x:c r="G582" s="10" t="n">
        <x:f>IF(F582="SÍ",EOMONTH(E582,0)+1,DATE(YEAR(E582),MONTH(E582),1))</x:f>
        <x:v>46235</x:v>
      </x:c>
      <x:c r="H582" t="str">
        <x:f>IF(D582="NO",IF(C582="SÍ","FERIADO","FIN DE SEMANA"),"LABORABLE")&amp;IF(F582="SÍ"," + CIERRE","")</x:f>
        <x:v>LABORABLE</x:v>
      </x:c>
      <x:c r="I582" t="str">
        <x:f>TEXT(G582,"yyyy-mm")</x:f>
        <x:v>2026-08</x:v>
      </x:c>
    </x:row>
    <x:row r="583" ht="19" customHeight="1">
      <x:c r="A583" s="2" t="n">
        <x:v>46239</x:v>
      </x:c>
      <x:c r="B583" t="str">
        <x:f>CHOOSE(WEEKDAY(A583,2),"Lunes","Martes","Miércoles","Jueves","Viernes","Sábado","Domingo")</x:f>
        <x:v>Miércoles</x:v>
      </x:c>
      <x:c r="C583" t="str">
        <x:f>IF(COUNTIF(FERIADOS!$A$2:$A$250,A583)&gt;0,"SÍ","NO")</x:f>
        <x:v>NO</x:v>
      </x:c>
      <x:c r="D583" t="str">
        <x:f>IF(AND(WEEKDAY(A583,2)&lt;=5,C583="NO"),"SÍ","NO")</x:f>
        <x:v>SÍ</x:v>
      </x:c>
      <x:c r="E583" s="2" t="n">
        <x:f>WORKDAY.INTL(A583-1,1,1,FERIADOS!$A$2:$A$250)</x:f>
        <x:v>46239</x:v>
      </x:c>
      <x:c r="F583" t="str">
        <x:f>IF(E583&gt;=WORKDAY.INTL(EOMONTH(E583,0)+1,-2,1,FERIADOS!$A$2:$A$250),"SÍ","NO")</x:f>
        <x:v>NO</x:v>
      </x:c>
      <x:c r="G583" s="10" t="n">
        <x:f>IF(F583="SÍ",EOMONTH(E583,0)+1,DATE(YEAR(E583),MONTH(E583),1))</x:f>
        <x:v>46235</x:v>
      </x:c>
      <x:c r="H583" t="str">
        <x:f>IF(D583="NO",IF(C583="SÍ","FERIADO","FIN DE SEMANA"),"LABORABLE")&amp;IF(F583="SÍ"," + CIERRE","")</x:f>
        <x:v>LABORABLE</x:v>
      </x:c>
      <x:c r="I583" t="str">
        <x:f>TEXT(G583,"yyyy-mm")</x:f>
        <x:v>2026-08</x:v>
      </x:c>
    </x:row>
    <x:row r="584" ht="19" customHeight="1">
      <x:c r="A584" s="2" t="n">
        <x:v>46240</x:v>
      </x:c>
      <x:c r="B584" t="str">
        <x:f>CHOOSE(WEEKDAY(A584,2),"Lunes","Martes","Miércoles","Jueves","Viernes","Sábado","Domingo")</x:f>
        <x:v>Jueves</x:v>
      </x:c>
      <x:c r="C584" t="str">
        <x:f>IF(COUNTIF(FERIADOS!$A$2:$A$250,A584)&gt;0,"SÍ","NO")</x:f>
        <x:v>NO</x:v>
      </x:c>
      <x:c r="D584" t="str">
        <x:f>IF(AND(WEEKDAY(A584,2)&lt;=5,C584="NO"),"SÍ","NO")</x:f>
        <x:v>SÍ</x:v>
      </x:c>
      <x:c r="E584" s="2" t="n">
        <x:f>WORKDAY.INTL(A584-1,1,1,FERIADOS!$A$2:$A$250)</x:f>
        <x:v>46240</x:v>
      </x:c>
      <x:c r="F584" t="str">
        <x:f>IF(E584&gt;=WORKDAY.INTL(EOMONTH(E584,0)+1,-2,1,FERIADOS!$A$2:$A$250),"SÍ","NO")</x:f>
        <x:v>NO</x:v>
      </x:c>
      <x:c r="G584" s="10" t="n">
        <x:f>IF(F584="SÍ",EOMONTH(E584,0)+1,DATE(YEAR(E584),MONTH(E584),1))</x:f>
        <x:v>46235</x:v>
      </x:c>
      <x:c r="H584" t="str">
        <x:f>IF(D584="NO",IF(C584="SÍ","FERIADO","FIN DE SEMANA"),"LABORABLE")&amp;IF(F584="SÍ"," + CIERRE","")</x:f>
        <x:v>LABORABLE</x:v>
      </x:c>
      <x:c r="I584" t="str">
        <x:f>TEXT(G584,"yyyy-mm")</x:f>
        <x:v>2026-08</x:v>
      </x:c>
    </x:row>
    <x:row r="585" ht="19" customHeight="1">
      <x:c r="A585" s="2" t="n">
        <x:v>46241</x:v>
      </x:c>
      <x:c r="B585" t="str">
        <x:f>CHOOSE(WEEKDAY(A585,2),"Lunes","Martes","Miércoles","Jueves","Viernes","Sábado","Domingo")</x:f>
        <x:v>Viernes</x:v>
      </x:c>
      <x:c r="C585" t="str">
        <x:f>IF(COUNTIF(FERIADOS!$A$2:$A$250,A585)&gt;0,"SÍ","NO")</x:f>
        <x:v>NO</x:v>
      </x:c>
      <x:c r="D585" t="str">
        <x:f>IF(AND(WEEKDAY(A585,2)&lt;=5,C585="NO"),"SÍ","NO")</x:f>
        <x:v>SÍ</x:v>
      </x:c>
      <x:c r="E585" s="2" t="n">
        <x:f>WORKDAY.INTL(A585-1,1,1,FERIADOS!$A$2:$A$250)</x:f>
        <x:v>46241</x:v>
      </x:c>
      <x:c r="F585" t="str">
        <x:f>IF(E585&gt;=WORKDAY.INTL(EOMONTH(E585,0)+1,-2,1,FERIADOS!$A$2:$A$250),"SÍ","NO")</x:f>
        <x:v>NO</x:v>
      </x:c>
      <x:c r="G585" s="10" t="n">
        <x:f>IF(F585="SÍ",EOMONTH(E585,0)+1,DATE(YEAR(E585),MONTH(E585),1))</x:f>
        <x:v>46235</x:v>
      </x:c>
      <x:c r="H585" t="str">
        <x:f>IF(D585="NO",IF(C585="SÍ","FERIADO","FIN DE SEMANA"),"LABORABLE")&amp;IF(F585="SÍ"," + CIERRE","")</x:f>
        <x:v>LABORABLE</x:v>
      </x:c>
      <x:c r="I585" t="str">
        <x:f>TEXT(G585,"yyyy-mm")</x:f>
        <x:v>2026-08</x:v>
      </x:c>
    </x:row>
    <x:row r="586" ht="19" customHeight="1">
      <x:c r="A586" s="2" t="n">
        <x:v>46242</x:v>
      </x:c>
      <x:c r="B586" t="str">
        <x:f>CHOOSE(WEEKDAY(A586,2),"Lunes","Martes","Miércoles","Jueves","Viernes","Sábado","Domingo")</x:f>
        <x:v>Sábado</x:v>
      </x:c>
      <x:c r="C586" t="str">
        <x:f>IF(COUNTIF(FERIADOS!$A$2:$A$250,A586)&gt;0,"SÍ","NO")</x:f>
        <x:v>NO</x:v>
      </x:c>
      <x:c r="D586" t="str">
        <x:f>IF(AND(WEEKDAY(A586,2)&lt;=5,C586="NO"),"SÍ","NO")</x:f>
        <x:v>NO</x:v>
      </x:c>
      <x:c r="E586" s="2" t="n">
        <x:f>WORKDAY.INTL(A586-1,1,1,FERIADOS!$A$2:$A$250)</x:f>
        <x:v>46245</x:v>
      </x:c>
      <x:c r="F586" t="str">
        <x:f>IF(E586&gt;=WORKDAY.INTL(EOMONTH(E586,0)+1,-2,1,FERIADOS!$A$2:$A$250),"SÍ","NO")</x:f>
        <x:v>NO</x:v>
      </x:c>
      <x:c r="G586" s="10" t="n">
        <x:f>IF(F586="SÍ",EOMONTH(E586,0)+1,DATE(YEAR(E586),MONTH(E586),1))</x:f>
        <x:v>46235</x:v>
      </x:c>
      <x:c r="H586" t="str">
        <x:f>IF(D586="NO",IF(C586="SÍ","FERIADO","FIN DE SEMANA"),"LABORABLE")&amp;IF(F586="SÍ"," + CIERRE","")</x:f>
        <x:v>FIN DE SEMANA</x:v>
      </x:c>
      <x:c r="I586" t="str">
        <x:f>TEXT(G586,"yyyy-mm")</x:f>
        <x:v>2026-08</x:v>
      </x:c>
    </x:row>
    <x:row r="587" ht="19" customHeight="1">
      <x:c r="A587" s="2" t="n">
        <x:v>46243</x:v>
      </x:c>
      <x:c r="B587" t="str">
        <x:f>CHOOSE(WEEKDAY(A587,2),"Lunes","Martes","Miércoles","Jueves","Viernes","Sábado","Domingo")</x:f>
        <x:v>Domingo</x:v>
      </x:c>
      <x:c r="C587" t="str">
        <x:f>IF(COUNTIF(FERIADOS!$A$2:$A$250,A587)&gt;0,"SÍ","NO")</x:f>
        <x:v>NO</x:v>
      </x:c>
      <x:c r="D587" t="str">
        <x:f>IF(AND(WEEKDAY(A587,2)&lt;=5,C587="NO"),"SÍ","NO")</x:f>
        <x:v>NO</x:v>
      </x:c>
      <x:c r="E587" s="2" t="n">
        <x:f>WORKDAY.INTL(A587-1,1,1,FERIADOS!$A$2:$A$250)</x:f>
        <x:v>46245</x:v>
      </x:c>
      <x:c r="F587" t="str">
        <x:f>IF(E587&gt;=WORKDAY.INTL(EOMONTH(E587,0)+1,-2,1,FERIADOS!$A$2:$A$250),"SÍ","NO")</x:f>
        <x:v>NO</x:v>
      </x:c>
      <x:c r="G587" s="10" t="n">
        <x:f>IF(F587="SÍ",EOMONTH(E587,0)+1,DATE(YEAR(E587),MONTH(E587),1))</x:f>
        <x:v>46235</x:v>
      </x:c>
      <x:c r="H587" t="str">
        <x:f>IF(D587="NO",IF(C587="SÍ","FERIADO","FIN DE SEMANA"),"LABORABLE")&amp;IF(F587="SÍ"," + CIERRE","")</x:f>
        <x:v>FIN DE SEMANA</x:v>
      </x:c>
      <x:c r="I587" t="str">
        <x:f>TEXT(G587,"yyyy-mm")</x:f>
        <x:v>2026-08</x:v>
      </x:c>
    </x:row>
    <x:row r="588" ht="19" customHeight="1">
      <x:c r="A588" s="2" t="n">
        <x:v>46244</x:v>
      </x:c>
      <x:c r="B588" t="str">
        <x:f>CHOOSE(WEEKDAY(A588,2),"Lunes","Martes","Miércoles","Jueves","Viernes","Sábado","Domingo")</x:f>
        <x:v>Lunes</x:v>
      </x:c>
      <x:c r="C588" t="str">
        <x:f>IF(COUNTIF(FERIADOS!$A$2:$A$250,A588)&gt;0,"SÍ","NO")</x:f>
        <x:v>SÍ</x:v>
      </x:c>
      <x:c r="D588" t="str">
        <x:f>IF(AND(WEEKDAY(A588,2)&lt;=5,C588="NO"),"SÍ","NO")</x:f>
        <x:v>NO</x:v>
      </x:c>
      <x:c r="E588" s="2" t="n">
        <x:f>WORKDAY.INTL(A588-1,1,1,FERIADOS!$A$2:$A$250)</x:f>
        <x:v>46245</x:v>
      </x:c>
      <x:c r="F588" t="str">
        <x:f>IF(E588&gt;=WORKDAY.INTL(EOMONTH(E588,0)+1,-2,1,FERIADOS!$A$2:$A$250),"SÍ","NO")</x:f>
        <x:v>NO</x:v>
      </x:c>
      <x:c r="G588" s="10" t="n">
        <x:f>IF(F588="SÍ",EOMONTH(E588,0)+1,DATE(YEAR(E588),MONTH(E588),1))</x:f>
        <x:v>46235</x:v>
      </x:c>
      <x:c r="H588" t="str">
        <x:f>IF(D588="NO",IF(C588="SÍ","FERIADO","FIN DE SEMANA"),"LABORABLE")&amp;IF(F588="SÍ"," + CIERRE","")</x:f>
        <x:v>FERIADO</x:v>
      </x:c>
      <x:c r="I588" t="str">
        <x:f>TEXT(G588,"yyyy-mm")</x:f>
        <x:v>2026-08</x:v>
      </x:c>
    </x:row>
    <x:row r="589" ht="19" customHeight="1">
      <x:c r="A589" s="2" t="n">
        <x:v>46245</x:v>
      </x:c>
      <x:c r="B589" t="str">
        <x:f>CHOOSE(WEEKDAY(A589,2),"Lunes","Martes","Miércoles","Jueves","Viernes","Sábado","Domingo")</x:f>
        <x:v>Martes</x:v>
      </x:c>
      <x:c r="C589" t="str">
        <x:f>IF(COUNTIF(FERIADOS!$A$2:$A$250,A589)&gt;0,"SÍ","NO")</x:f>
        <x:v>NO</x:v>
      </x:c>
      <x:c r="D589" t="str">
        <x:f>IF(AND(WEEKDAY(A589,2)&lt;=5,C589="NO"),"SÍ","NO")</x:f>
        <x:v>SÍ</x:v>
      </x:c>
      <x:c r="E589" s="2" t="n">
        <x:f>WORKDAY.INTL(A589-1,1,1,FERIADOS!$A$2:$A$250)</x:f>
        <x:v>46245</x:v>
      </x:c>
      <x:c r="F589" t="str">
        <x:f>IF(E589&gt;=WORKDAY.INTL(EOMONTH(E589,0)+1,-2,1,FERIADOS!$A$2:$A$250),"SÍ","NO")</x:f>
        <x:v>NO</x:v>
      </x:c>
      <x:c r="G589" s="10" t="n">
        <x:f>IF(F589="SÍ",EOMONTH(E589,0)+1,DATE(YEAR(E589),MONTH(E589),1))</x:f>
        <x:v>46235</x:v>
      </x:c>
      <x:c r="H589" t="str">
        <x:f>IF(D589="NO",IF(C589="SÍ","FERIADO","FIN DE SEMANA"),"LABORABLE")&amp;IF(F589="SÍ"," + CIERRE","")</x:f>
        <x:v>LABORABLE</x:v>
      </x:c>
      <x:c r="I589" t="str">
        <x:f>TEXT(G589,"yyyy-mm")</x:f>
        <x:v>2026-08</x:v>
      </x:c>
    </x:row>
    <x:row r="590" ht="19" customHeight="1">
      <x:c r="A590" s="2" t="n">
        <x:v>46246</x:v>
      </x:c>
      <x:c r="B590" t="str">
        <x:f>CHOOSE(WEEKDAY(A590,2),"Lunes","Martes","Miércoles","Jueves","Viernes","Sábado","Domingo")</x:f>
        <x:v>Miércoles</x:v>
      </x:c>
      <x:c r="C590" t="str">
        <x:f>IF(COUNTIF(FERIADOS!$A$2:$A$250,A590)&gt;0,"SÍ","NO")</x:f>
        <x:v>NO</x:v>
      </x:c>
      <x:c r="D590" t="str">
        <x:f>IF(AND(WEEKDAY(A590,2)&lt;=5,C590="NO"),"SÍ","NO")</x:f>
        <x:v>SÍ</x:v>
      </x:c>
      <x:c r="E590" s="2" t="n">
        <x:f>WORKDAY.INTL(A590-1,1,1,FERIADOS!$A$2:$A$250)</x:f>
        <x:v>46246</x:v>
      </x:c>
      <x:c r="F590" t="str">
        <x:f>IF(E590&gt;=WORKDAY.INTL(EOMONTH(E590,0)+1,-2,1,FERIADOS!$A$2:$A$250),"SÍ","NO")</x:f>
        <x:v>NO</x:v>
      </x:c>
      <x:c r="G590" s="10" t="n">
        <x:f>IF(F590="SÍ",EOMONTH(E590,0)+1,DATE(YEAR(E590),MONTH(E590),1))</x:f>
        <x:v>46235</x:v>
      </x:c>
      <x:c r="H590" t="str">
        <x:f>IF(D590="NO",IF(C590="SÍ","FERIADO","FIN DE SEMANA"),"LABORABLE")&amp;IF(F590="SÍ"," + CIERRE","")</x:f>
        <x:v>LABORABLE</x:v>
      </x:c>
      <x:c r="I590" t="str">
        <x:f>TEXT(G590,"yyyy-mm")</x:f>
        <x:v>2026-08</x:v>
      </x:c>
    </x:row>
    <x:row r="591" ht="19" customHeight="1">
      <x:c r="A591" s="2" t="n">
        <x:v>46247</x:v>
      </x:c>
      <x:c r="B591" t="str">
        <x:f>CHOOSE(WEEKDAY(A591,2),"Lunes","Martes","Miércoles","Jueves","Viernes","Sábado","Domingo")</x:f>
        <x:v>Jueves</x:v>
      </x:c>
      <x:c r="C591" t="str">
        <x:f>IF(COUNTIF(FERIADOS!$A$2:$A$250,A591)&gt;0,"SÍ","NO")</x:f>
        <x:v>NO</x:v>
      </x:c>
      <x:c r="D591" t="str">
        <x:f>IF(AND(WEEKDAY(A591,2)&lt;=5,C591="NO"),"SÍ","NO")</x:f>
        <x:v>SÍ</x:v>
      </x:c>
      <x:c r="E591" s="2" t="n">
        <x:f>WORKDAY.INTL(A591-1,1,1,FERIADOS!$A$2:$A$250)</x:f>
        <x:v>46247</x:v>
      </x:c>
      <x:c r="F591" t="str">
        <x:f>IF(E591&gt;=WORKDAY.INTL(EOMONTH(E591,0)+1,-2,1,FERIADOS!$A$2:$A$250),"SÍ","NO")</x:f>
        <x:v>NO</x:v>
      </x:c>
      <x:c r="G591" s="10" t="n">
        <x:f>IF(F591="SÍ",EOMONTH(E591,0)+1,DATE(YEAR(E591),MONTH(E591),1))</x:f>
        <x:v>46235</x:v>
      </x:c>
      <x:c r="H591" t="str">
        <x:f>IF(D591="NO",IF(C591="SÍ","FERIADO","FIN DE SEMANA"),"LABORABLE")&amp;IF(F591="SÍ"," + CIERRE","")</x:f>
        <x:v>LABORABLE</x:v>
      </x:c>
      <x:c r="I591" t="str">
        <x:f>TEXT(G591,"yyyy-mm")</x:f>
        <x:v>2026-08</x:v>
      </x:c>
    </x:row>
    <x:row r="592" ht="19" customHeight="1">
      <x:c r="A592" s="2" t="n">
        <x:v>46248</x:v>
      </x:c>
      <x:c r="B592" t="str">
        <x:f>CHOOSE(WEEKDAY(A592,2),"Lunes","Martes","Miércoles","Jueves","Viernes","Sábado","Domingo")</x:f>
        <x:v>Viernes</x:v>
      </x:c>
      <x:c r="C592" t="str">
        <x:f>IF(COUNTIF(FERIADOS!$A$2:$A$250,A592)&gt;0,"SÍ","NO")</x:f>
        <x:v>NO</x:v>
      </x:c>
      <x:c r="D592" t="str">
        <x:f>IF(AND(WEEKDAY(A592,2)&lt;=5,C592="NO"),"SÍ","NO")</x:f>
        <x:v>SÍ</x:v>
      </x:c>
      <x:c r="E592" s="2" t="n">
        <x:f>WORKDAY.INTL(A592-1,1,1,FERIADOS!$A$2:$A$250)</x:f>
        <x:v>46248</x:v>
      </x:c>
      <x:c r="F592" t="str">
        <x:f>IF(E592&gt;=WORKDAY.INTL(EOMONTH(E592,0)+1,-2,1,FERIADOS!$A$2:$A$250),"SÍ","NO")</x:f>
        <x:v>NO</x:v>
      </x:c>
      <x:c r="G592" s="10" t="n">
        <x:f>IF(F592="SÍ",EOMONTH(E592,0)+1,DATE(YEAR(E592),MONTH(E592),1))</x:f>
        <x:v>46235</x:v>
      </x:c>
      <x:c r="H592" t="str">
        <x:f>IF(D592="NO",IF(C592="SÍ","FERIADO","FIN DE SEMANA"),"LABORABLE")&amp;IF(F592="SÍ"," + CIERRE","")</x:f>
        <x:v>LABORABLE</x:v>
      </x:c>
      <x:c r="I592" t="str">
        <x:f>TEXT(G592,"yyyy-mm")</x:f>
        <x:v>2026-08</x:v>
      </x:c>
    </x:row>
    <x:row r="593" ht="19" customHeight="1">
      <x:c r="A593" s="2" t="n">
        <x:v>46249</x:v>
      </x:c>
      <x:c r="B593" t="str">
        <x:f>CHOOSE(WEEKDAY(A593,2),"Lunes","Martes","Miércoles","Jueves","Viernes","Sábado","Domingo")</x:f>
        <x:v>Sábado</x:v>
      </x:c>
      <x:c r="C593" t="str">
        <x:f>IF(COUNTIF(FERIADOS!$A$2:$A$250,A593)&gt;0,"SÍ","NO")</x:f>
        <x:v>NO</x:v>
      </x:c>
      <x:c r="D593" t="str">
        <x:f>IF(AND(WEEKDAY(A593,2)&lt;=5,C593="NO"),"SÍ","NO")</x:f>
        <x:v>NO</x:v>
      </x:c>
      <x:c r="E593" s="2" t="n">
        <x:f>WORKDAY.INTL(A593-1,1,1,FERIADOS!$A$2:$A$250)</x:f>
        <x:v>46251</x:v>
      </x:c>
      <x:c r="F593" t="str">
        <x:f>IF(E593&gt;=WORKDAY.INTL(EOMONTH(E593,0)+1,-2,1,FERIADOS!$A$2:$A$250),"SÍ","NO")</x:f>
        <x:v>NO</x:v>
      </x:c>
      <x:c r="G593" s="10" t="n">
        <x:f>IF(F593="SÍ",EOMONTH(E593,0)+1,DATE(YEAR(E593),MONTH(E593),1))</x:f>
        <x:v>46235</x:v>
      </x:c>
      <x:c r="H593" t="str">
        <x:f>IF(D593="NO",IF(C593="SÍ","FERIADO","FIN DE SEMANA"),"LABORABLE")&amp;IF(F593="SÍ"," + CIERRE","")</x:f>
        <x:v>FIN DE SEMANA</x:v>
      </x:c>
      <x:c r="I593" t="str">
        <x:f>TEXT(G593,"yyyy-mm")</x:f>
        <x:v>2026-08</x:v>
      </x:c>
    </x:row>
    <x:row r="594" ht="19" customHeight="1">
      <x:c r="A594" s="2" t="n">
        <x:v>46250</x:v>
      </x:c>
      <x:c r="B594" t="str">
        <x:f>CHOOSE(WEEKDAY(A594,2),"Lunes","Martes","Miércoles","Jueves","Viernes","Sábado","Domingo")</x:f>
        <x:v>Domingo</x:v>
      </x:c>
      <x:c r="C594" t="str">
        <x:f>IF(COUNTIF(FERIADOS!$A$2:$A$250,A594)&gt;0,"SÍ","NO")</x:f>
        <x:v>NO</x:v>
      </x:c>
      <x:c r="D594" t="str">
        <x:f>IF(AND(WEEKDAY(A594,2)&lt;=5,C594="NO"),"SÍ","NO")</x:f>
        <x:v>NO</x:v>
      </x:c>
      <x:c r="E594" s="2" t="n">
        <x:f>WORKDAY.INTL(A594-1,1,1,FERIADOS!$A$2:$A$250)</x:f>
        <x:v>46251</x:v>
      </x:c>
      <x:c r="F594" t="str">
        <x:f>IF(E594&gt;=WORKDAY.INTL(EOMONTH(E594,0)+1,-2,1,FERIADOS!$A$2:$A$250),"SÍ","NO")</x:f>
        <x:v>NO</x:v>
      </x:c>
      <x:c r="G594" s="10" t="n">
        <x:f>IF(F594="SÍ",EOMONTH(E594,0)+1,DATE(YEAR(E594),MONTH(E594),1))</x:f>
        <x:v>46235</x:v>
      </x:c>
      <x:c r="H594" t="str">
        <x:f>IF(D594="NO",IF(C594="SÍ","FERIADO","FIN DE SEMANA"),"LABORABLE")&amp;IF(F594="SÍ"," + CIERRE","")</x:f>
        <x:v>FIN DE SEMANA</x:v>
      </x:c>
      <x:c r="I594" t="str">
        <x:f>TEXT(G594,"yyyy-mm")</x:f>
        <x:v>2026-08</x:v>
      </x:c>
    </x:row>
    <x:row r="595" ht="19" customHeight="1">
      <x:c r="A595" s="2" t="n">
        <x:v>46251</x:v>
      </x:c>
      <x:c r="B595" t="str">
        <x:f>CHOOSE(WEEKDAY(A595,2),"Lunes","Martes","Miércoles","Jueves","Viernes","Sábado","Domingo")</x:f>
        <x:v>Lunes</x:v>
      </x:c>
      <x:c r="C595" t="str">
        <x:f>IF(COUNTIF(FERIADOS!$A$2:$A$250,A595)&gt;0,"SÍ","NO")</x:f>
        <x:v>NO</x:v>
      </x:c>
      <x:c r="D595" t="str">
        <x:f>IF(AND(WEEKDAY(A595,2)&lt;=5,C595="NO"),"SÍ","NO")</x:f>
        <x:v>SÍ</x:v>
      </x:c>
      <x:c r="E595" s="2" t="n">
        <x:f>WORKDAY.INTL(A595-1,1,1,FERIADOS!$A$2:$A$250)</x:f>
        <x:v>46251</x:v>
      </x:c>
      <x:c r="F595" t="str">
        <x:f>IF(E595&gt;=WORKDAY.INTL(EOMONTH(E595,0)+1,-2,1,FERIADOS!$A$2:$A$250),"SÍ","NO")</x:f>
        <x:v>NO</x:v>
      </x:c>
      <x:c r="G595" s="10" t="n">
        <x:f>IF(F595="SÍ",EOMONTH(E595,0)+1,DATE(YEAR(E595),MONTH(E595),1))</x:f>
        <x:v>46235</x:v>
      </x:c>
      <x:c r="H595" t="str">
        <x:f>IF(D595="NO",IF(C595="SÍ","FERIADO","FIN DE SEMANA"),"LABORABLE")&amp;IF(F595="SÍ"," + CIERRE","")</x:f>
        <x:v>LABORABLE</x:v>
      </x:c>
      <x:c r="I595" t="str">
        <x:f>TEXT(G595,"yyyy-mm")</x:f>
        <x:v>2026-08</x:v>
      </x:c>
    </x:row>
    <x:row r="596" ht="19" customHeight="1">
      <x:c r="A596" s="2" t="n">
        <x:v>46252</x:v>
      </x:c>
      <x:c r="B596" t="str">
        <x:f>CHOOSE(WEEKDAY(A596,2),"Lunes","Martes","Miércoles","Jueves","Viernes","Sábado","Domingo")</x:f>
        <x:v>Martes</x:v>
      </x:c>
      <x:c r="C596" t="str">
        <x:f>IF(COUNTIF(FERIADOS!$A$2:$A$250,A596)&gt;0,"SÍ","NO")</x:f>
        <x:v>NO</x:v>
      </x:c>
      <x:c r="D596" t="str">
        <x:f>IF(AND(WEEKDAY(A596,2)&lt;=5,C596="NO"),"SÍ","NO")</x:f>
        <x:v>SÍ</x:v>
      </x:c>
      <x:c r="E596" s="2" t="n">
        <x:f>WORKDAY.INTL(A596-1,1,1,FERIADOS!$A$2:$A$250)</x:f>
        <x:v>46252</x:v>
      </x:c>
      <x:c r="F596" t="str">
        <x:f>IF(E596&gt;=WORKDAY.INTL(EOMONTH(E596,0)+1,-2,1,FERIADOS!$A$2:$A$250),"SÍ","NO")</x:f>
        <x:v>NO</x:v>
      </x:c>
      <x:c r="G596" s="10" t="n">
        <x:f>IF(F596="SÍ",EOMONTH(E596,0)+1,DATE(YEAR(E596),MONTH(E596),1))</x:f>
        <x:v>46235</x:v>
      </x:c>
      <x:c r="H596" t="str">
        <x:f>IF(D596="NO",IF(C596="SÍ","FERIADO","FIN DE SEMANA"),"LABORABLE")&amp;IF(F596="SÍ"," + CIERRE","")</x:f>
        <x:v>LABORABLE</x:v>
      </x:c>
      <x:c r="I596" t="str">
        <x:f>TEXT(G596,"yyyy-mm")</x:f>
        <x:v>2026-08</x:v>
      </x:c>
    </x:row>
    <x:row r="597" ht="19" customHeight="1">
      <x:c r="A597" s="2" t="n">
        <x:v>46253</x:v>
      </x:c>
      <x:c r="B597" t="str">
        <x:f>CHOOSE(WEEKDAY(A597,2),"Lunes","Martes","Miércoles","Jueves","Viernes","Sábado","Domingo")</x:f>
        <x:v>Miércoles</x:v>
      </x:c>
      <x:c r="C597" t="str">
        <x:f>IF(COUNTIF(FERIADOS!$A$2:$A$250,A597)&gt;0,"SÍ","NO")</x:f>
        <x:v>NO</x:v>
      </x:c>
      <x:c r="D597" t="str">
        <x:f>IF(AND(WEEKDAY(A597,2)&lt;=5,C597="NO"),"SÍ","NO")</x:f>
        <x:v>SÍ</x:v>
      </x:c>
      <x:c r="E597" s="2" t="n">
        <x:f>WORKDAY.INTL(A597-1,1,1,FERIADOS!$A$2:$A$250)</x:f>
        <x:v>46253</x:v>
      </x:c>
      <x:c r="F597" t="str">
        <x:f>IF(E597&gt;=WORKDAY.INTL(EOMONTH(E597,0)+1,-2,1,FERIADOS!$A$2:$A$250),"SÍ","NO")</x:f>
        <x:v>NO</x:v>
      </x:c>
      <x:c r="G597" s="10" t="n">
        <x:f>IF(F597="SÍ",EOMONTH(E597,0)+1,DATE(YEAR(E597),MONTH(E597),1))</x:f>
        <x:v>46235</x:v>
      </x:c>
      <x:c r="H597" t="str">
        <x:f>IF(D597="NO",IF(C597="SÍ","FERIADO","FIN DE SEMANA"),"LABORABLE")&amp;IF(F597="SÍ"," + CIERRE","")</x:f>
        <x:v>LABORABLE</x:v>
      </x:c>
      <x:c r="I597" t="str">
        <x:f>TEXT(G597,"yyyy-mm")</x:f>
        <x:v>2026-08</x:v>
      </x:c>
    </x:row>
    <x:row r="598" ht="19" customHeight="1">
      <x:c r="A598" s="2" t="n">
        <x:v>46254</x:v>
      </x:c>
      <x:c r="B598" t="str">
        <x:f>CHOOSE(WEEKDAY(A598,2),"Lunes","Martes","Miércoles","Jueves","Viernes","Sábado","Domingo")</x:f>
        <x:v>Jueves</x:v>
      </x:c>
      <x:c r="C598" t="str">
        <x:f>IF(COUNTIF(FERIADOS!$A$2:$A$250,A598)&gt;0,"SÍ","NO")</x:f>
        <x:v>NO</x:v>
      </x:c>
      <x:c r="D598" t="str">
        <x:f>IF(AND(WEEKDAY(A598,2)&lt;=5,C598="NO"),"SÍ","NO")</x:f>
        <x:v>SÍ</x:v>
      </x:c>
      <x:c r="E598" s="2" t="n">
        <x:f>WORKDAY.INTL(A598-1,1,1,FERIADOS!$A$2:$A$250)</x:f>
        <x:v>46254</x:v>
      </x:c>
      <x:c r="F598" t="str">
        <x:f>IF(E598&gt;=WORKDAY.INTL(EOMONTH(E598,0)+1,-2,1,FERIADOS!$A$2:$A$250),"SÍ","NO")</x:f>
        <x:v>NO</x:v>
      </x:c>
      <x:c r="G598" s="10" t="n">
        <x:f>IF(F598="SÍ",EOMONTH(E598,0)+1,DATE(YEAR(E598),MONTH(E598),1))</x:f>
        <x:v>46235</x:v>
      </x:c>
      <x:c r="H598" t="str">
        <x:f>IF(D598="NO",IF(C598="SÍ","FERIADO","FIN DE SEMANA"),"LABORABLE")&amp;IF(F598="SÍ"," + CIERRE","")</x:f>
        <x:v>LABORABLE</x:v>
      </x:c>
      <x:c r="I598" t="str">
        <x:f>TEXT(G598,"yyyy-mm")</x:f>
        <x:v>2026-08</x:v>
      </x:c>
    </x:row>
    <x:row r="599" ht="19" customHeight="1">
      <x:c r="A599" s="2" t="n">
        <x:v>46255</x:v>
      </x:c>
      <x:c r="B599" t="str">
        <x:f>CHOOSE(WEEKDAY(A599,2),"Lunes","Martes","Miércoles","Jueves","Viernes","Sábado","Domingo")</x:f>
        <x:v>Viernes</x:v>
      </x:c>
      <x:c r="C599" t="str">
        <x:f>IF(COUNTIF(FERIADOS!$A$2:$A$250,A599)&gt;0,"SÍ","NO")</x:f>
        <x:v>NO</x:v>
      </x:c>
      <x:c r="D599" t="str">
        <x:f>IF(AND(WEEKDAY(A599,2)&lt;=5,C599="NO"),"SÍ","NO")</x:f>
        <x:v>SÍ</x:v>
      </x:c>
      <x:c r="E599" s="2" t="n">
        <x:f>WORKDAY.INTL(A599-1,1,1,FERIADOS!$A$2:$A$250)</x:f>
        <x:v>46255</x:v>
      </x:c>
      <x:c r="F599" t="str">
        <x:f>IF(E599&gt;=WORKDAY.INTL(EOMONTH(E599,0)+1,-2,1,FERIADOS!$A$2:$A$250),"SÍ","NO")</x:f>
        <x:v>NO</x:v>
      </x:c>
      <x:c r="G599" s="10" t="n">
        <x:f>IF(F599="SÍ",EOMONTH(E599,0)+1,DATE(YEAR(E599),MONTH(E599),1))</x:f>
        <x:v>46235</x:v>
      </x:c>
      <x:c r="H599" t="str">
        <x:f>IF(D599="NO",IF(C599="SÍ","FERIADO","FIN DE SEMANA"),"LABORABLE")&amp;IF(F599="SÍ"," + CIERRE","")</x:f>
        <x:v>LABORABLE</x:v>
      </x:c>
      <x:c r="I599" t="str">
        <x:f>TEXT(G599,"yyyy-mm")</x:f>
        <x:v>2026-08</x:v>
      </x:c>
    </x:row>
    <x:row r="600" ht="19" customHeight="1">
      <x:c r="A600" s="2" t="n">
        <x:v>46256</x:v>
      </x:c>
      <x:c r="B600" t="str">
        <x:f>CHOOSE(WEEKDAY(A600,2),"Lunes","Martes","Miércoles","Jueves","Viernes","Sábado","Domingo")</x:f>
        <x:v>Sábado</x:v>
      </x:c>
      <x:c r="C600" t="str">
        <x:f>IF(COUNTIF(FERIADOS!$A$2:$A$250,A600)&gt;0,"SÍ","NO")</x:f>
        <x:v>NO</x:v>
      </x:c>
      <x:c r="D600" t="str">
        <x:f>IF(AND(WEEKDAY(A600,2)&lt;=5,C600="NO"),"SÍ","NO")</x:f>
        <x:v>NO</x:v>
      </x:c>
      <x:c r="E600" s="2" t="n">
        <x:f>WORKDAY.INTL(A600-1,1,1,FERIADOS!$A$2:$A$250)</x:f>
        <x:v>46258</x:v>
      </x:c>
      <x:c r="F600" t="str">
        <x:f>IF(E600&gt;=WORKDAY.INTL(EOMONTH(E600,0)+1,-2,1,FERIADOS!$A$2:$A$250),"SÍ","NO")</x:f>
        <x:v>NO</x:v>
      </x:c>
      <x:c r="G600" s="10" t="n">
        <x:f>IF(F600="SÍ",EOMONTH(E600,0)+1,DATE(YEAR(E600),MONTH(E600),1))</x:f>
        <x:v>46235</x:v>
      </x:c>
      <x:c r="H600" t="str">
        <x:f>IF(D600="NO",IF(C600="SÍ","FERIADO","FIN DE SEMANA"),"LABORABLE")&amp;IF(F600="SÍ"," + CIERRE","")</x:f>
        <x:v>FIN DE SEMANA</x:v>
      </x:c>
      <x:c r="I600" t="str">
        <x:f>TEXT(G600,"yyyy-mm")</x:f>
        <x:v>2026-08</x:v>
      </x:c>
    </x:row>
    <x:row r="601" ht="19" customHeight="1">
      <x:c r="A601" s="2" t="n">
        <x:v>46257</x:v>
      </x:c>
      <x:c r="B601" t="str">
        <x:f>CHOOSE(WEEKDAY(A601,2),"Lunes","Martes","Miércoles","Jueves","Viernes","Sábado","Domingo")</x:f>
        <x:v>Domingo</x:v>
      </x:c>
      <x:c r="C601" t="str">
        <x:f>IF(COUNTIF(FERIADOS!$A$2:$A$250,A601)&gt;0,"SÍ","NO")</x:f>
        <x:v>NO</x:v>
      </x:c>
      <x:c r="D601" t="str">
        <x:f>IF(AND(WEEKDAY(A601,2)&lt;=5,C601="NO"),"SÍ","NO")</x:f>
        <x:v>NO</x:v>
      </x:c>
      <x:c r="E601" s="2" t="n">
        <x:f>WORKDAY.INTL(A601-1,1,1,FERIADOS!$A$2:$A$250)</x:f>
        <x:v>46258</x:v>
      </x:c>
      <x:c r="F601" t="str">
        <x:f>IF(E601&gt;=WORKDAY.INTL(EOMONTH(E601,0)+1,-2,1,FERIADOS!$A$2:$A$250),"SÍ","NO")</x:f>
        <x:v>NO</x:v>
      </x:c>
      <x:c r="G601" s="10" t="n">
        <x:f>IF(F601="SÍ",EOMONTH(E601,0)+1,DATE(YEAR(E601),MONTH(E601),1))</x:f>
        <x:v>46235</x:v>
      </x:c>
      <x:c r="H601" t="str">
        <x:f>IF(D601="NO",IF(C601="SÍ","FERIADO","FIN DE SEMANA"),"LABORABLE")&amp;IF(F601="SÍ"," + CIERRE","")</x:f>
        <x:v>FIN DE SEMANA</x:v>
      </x:c>
      <x:c r="I601" t="str">
        <x:f>TEXT(G601,"yyyy-mm")</x:f>
        <x:v>2026-08</x:v>
      </x:c>
    </x:row>
    <x:row r="602" ht="19" customHeight="1">
      <x:c r="A602" s="2" t="n">
        <x:v>46258</x:v>
      </x:c>
      <x:c r="B602" t="str">
        <x:f>CHOOSE(WEEKDAY(A602,2),"Lunes","Martes","Miércoles","Jueves","Viernes","Sábado","Domingo")</x:f>
        <x:v>Lunes</x:v>
      </x:c>
      <x:c r="C602" t="str">
        <x:f>IF(COUNTIF(FERIADOS!$A$2:$A$250,A602)&gt;0,"SÍ","NO")</x:f>
        <x:v>NO</x:v>
      </x:c>
      <x:c r="D602" t="str">
        <x:f>IF(AND(WEEKDAY(A602,2)&lt;=5,C602="NO"),"SÍ","NO")</x:f>
        <x:v>SÍ</x:v>
      </x:c>
      <x:c r="E602" s="2" t="n">
        <x:f>WORKDAY.INTL(A602-1,1,1,FERIADOS!$A$2:$A$250)</x:f>
        <x:v>46258</x:v>
      </x:c>
      <x:c r="F602" t="str">
        <x:f>IF(E602&gt;=WORKDAY.INTL(EOMONTH(E602,0)+1,-2,1,FERIADOS!$A$2:$A$250),"SÍ","NO")</x:f>
        <x:v>NO</x:v>
      </x:c>
      <x:c r="G602" s="10" t="n">
        <x:f>IF(F602="SÍ",EOMONTH(E602,0)+1,DATE(YEAR(E602),MONTH(E602),1))</x:f>
        <x:v>46235</x:v>
      </x:c>
      <x:c r="H602" t="str">
        <x:f>IF(D602="NO",IF(C602="SÍ","FERIADO","FIN DE SEMANA"),"LABORABLE")&amp;IF(F602="SÍ"," + CIERRE","")</x:f>
        <x:v>LABORABLE</x:v>
      </x:c>
      <x:c r="I602" t="str">
        <x:f>TEXT(G602,"yyyy-mm")</x:f>
        <x:v>2026-08</x:v>
      </x:c>
    </x:row>
    <x:row r="603" ht="19" customHeight="1">
      <x:c r="A603" s="2" t="n">
        <x:v>46259</x:v>
      </x:c>
      <x:c r="B603" t="str">
        <x:f>CHOOSE(WEEKDAY(A603,2),"Lunes","Martes","Miércoles","Jueves","Viernes","Sábado","Domingo")</x:f>
        <x:v>Martes</x:v>
      </x:c>
      <x:c r="C603" t="str">
        <x:f>IF(COUNTIF(FERIADOS!$A$2:$A$250,A603)&gt;0,"SÍ","NO")</x:f>
        <x:v>NO</x:v>
      </x:c>
      <x:c r="D603" t="str">
        <x:f>IF(AND(WEEKDAY(A603,2)&lt;=5,C603="NO"),"SÍ","NO")</x:f>
        <x:v>SÍ</x:v>
      </x:c>
      <x:c r="E603" s="2" t="n">
        <x:f>WORKDAY.INTL(A603-1,1,1,FERIADOS!$A$2:$A$250)</x:f>
        <x:v>46259</x:v>
      </x:c>
      <x:c r="F603" t="str">
        <x:f>IF(E603&gt;=WORKDAY.INTL(EOMONTH(E603,0)+1,-2,1,FERIADOS!$A$2:$A$250),"SÍ","NO")</x:f>
        <x:v>NO</x:v>
      </x:c>
      <x:c r="G603" s="10" t="n">
        <x:f>IF(F603="SÍ",EOMONTH(E603,0)+1,DATE(YEAR(E603),MONTH(E603),1))</x:f>
        <x:v>46235</x:v>
      </x:c>
      <x:c r="H603" t="str">
        <x:f>IF(D603="NO",IF(C603="SÍ","FERIADO","FIN DE SEMANA"),"LABORABLE")&amp;IF(F603="SÍ"," + CIERRE","")</x:f>
        <x:v>LABORABLE</x:v>
      </x:c>
      <x:c r="I603" t="str">
        <x:f>TEXT(G603,"yyyy-mm")</x:f>
        <x:v>2026-08</x:v>
      </x:c>
    </x:row>
    <x:row r="604" ht="19" customHeight="1">
      <x:c r="A604" s="2" t="n">
        <x:v>46260</x:v>
      </x:c>
      <x:c r="B604" t="str">
        <x:f>CHOOSE(WEEKDAY(A604,2),"Lunes","Martes","Miércoles","Jueves","Viernes","Sábado","Domingo")</x:f>
        <x:v>Miércoles</x:v>
      </x:c>
      <x:c r="C604" t="str">
        <x:f>IF(COUNTIF(FERIADOS!$A$2:$A$250,A604)&gt;0,"SÍ","NO")</x:f>
        <x:v>NO</x:v>
      </x:c>
      <x:c r="D604" t="str">
        <x:f>IF(AND(WEEKDAY(A604,2)&lt;=5,C604="NO"),"SÍ","NO")</x:f>
        <x:v>SÍ</x:v>
      </x:c>
      <x:c r="E604" s="2" t="n">
        <x:f>WORKDAY.INTL(A604-1,1,1,FERIADOS!$A$2:$A$250)</x:f>
        <x:v>46260</x:v>
      </x:c>
      <x:c r="F604" t="str">
        <x:f>IF(E604&gt;=WORKDAY.INTL(EOMONTH(E604,0)+1,-2,1,FERIADOS!$A$2:$A$250),"SÍ","NO")</x:f>
        <x:v>NO</x:v>
      </x:c>
      <x:c r="G604" s="10" t="n">
        <x:f>IF(F604="SÍ",EOMONTH(E604,0)+1,DATE(YEAR(E604),MONTH(E604),1))</x:f>
        <x:v>46235</x:v>
      </x:c>
      <x:c r="H604" t="str">
        <x:f>IF(D604="NO",IF(C604="SÍ","FERIADO","FIN DE SEMANA"),"LABORABLE")&amp;IF(F604="SÍ"," + CIERRE","")</x:f>
        <x:v>LABORABLE</x:v>
      </x:c>
      <x:c r="I604" t="str">
        <x:f>TEXT(G604,"yyyy-mm")</x:f>
        <x:v>2026-08</x:v>
      </x:c>
    </x:row>
    <x:row r="605" ht="19" customHeight="1">
      <x:c r="A605" s="2" t="n">
        <x:v>46261</x:v>
      </x:c>
      <x:c r="B605" t="str">
        <x:f>CHOOSE(WEEKDAY(A605,2),"Lunes","Martes","Miércoles","Jueves","Viernes","Sábado","Domingo")</x:f>
        <x:v>Jueves</x:v>
      </x:c>
      <x:c r="C605" t="str">
        <x:f>IF(COUNTIF(FERIADOS!$A$2:$A$250,A605)&gt;0,"SÍ","NO")</x:f>
        <x:v>NO</x:v>
      </x:c>
      <x:c r="D605" t="str">
        <x:f>IF(AND(WEEKDAY(A605,2)&lt;=5,C605="NO"),"SÍ","NO")</x:f>
        <x:v>SÍ</x:v>
      </x:c>
      <x:c r="E605" s="2" t="n">
        <x:f>WORKDAY.INTL(A605-1,1,1,FERIADOS!$A$2:$A$250)</x:f>
        <x:v>46261</x:v>
      </x:c>
      <x:c r="F605" t="str">
        <x:f>IF(E605&gt;=WORKDAY.INTL(EOMONTH(E605,0)+1,-2,1,FERIADOS!$A$2:$A$250),"SÍ","NO")</x:f>
        <x:v>NO</x:v>
      </x:c>
      <x:c r="G605" s="10" t="n">
        <x:f>IF(F605="SÍ",EOMONTH(E605,0)+1,DATE(YEAR(E605),MONTH(E605),1))</x:f>
        <x:v>46235</x:v>
      </x:c>
      <x:c r="H605" t="str">
        <x:f>IF(D605="NO",IF(C605="SÍ","FERIADO","FIN DE SEMANA"),"LABORABLE")&amp;IF(F605="SÍ"," + CIERRE","")</x:f>
        <x:v>LABORABLE</x:v>
      </x:c>
      <x:c r="I605" t="str">
        <x:f>TEXT(G605,"yyyy-mm")</x:f>
        <x:v>2026-08</x:v>
      </x:c>
    </x:row>
    <x:row r="606" ht="19" customHeight="1">
      <x:c r="A606" s="2" t="n">
        <x:v>46262</x:v>
      </x:c>
      <x:c r="B606" t="str">
        <x:f>CHOOSE(WEEKDAY(A606,2),"Lunes","Martes","Miércoles","Jueves","Viernes","Sábado","Domingo")</x:f>
        <x:v>Viernes</x:v>
      </x:c>
      <x:c r="C606" t="str">
        <x:f>IF(COUNTIF(FERIADOS!$A$2:$A$250,A606)&gt;0,"SÍ","NO")</x:f>
        <x:v>NO</x:v>
      </x:c>
      <x:c r="D606" t="str">
        <x:f>IF(AND(WEEKDAY(A606,2)&lt;=5,C606="NO"),"SÍ","NO")</x:f>
        <x:v>SÍ</x:v>
      </x:c>
      <x:c r="E606" s="2" t="n">
        <x:f>WORKDAY.INTL(A606-1,1,1,FERIADOS!$A$2:$A$250)</x:f>
        <x:v>46262</x:v>
      </x:c>
      <x:c r="F606" t="str">
        <x:f>IF(E606&gt;=WORKDAY.INTL(EOMONTH(E606,0)+1,-2,1,FERIADOS!$A$2:$A$250),"SÍ","NO")</x:f>
        <x:v>SÍ</x:v>
      </x:c>
      <x:c r="G606" s="10" t="n">
        <x:f>IF(F606="SÍ",EOMONTH(E606,0)+1,DATE(YEAR(E606),MONTH(E606),1))</x:f>
        <x:v>46266</x:v>
      </x:c>
      <x:c r="H606" t="str">
        <x:f>IF(D606="NO",IF(C606="SÍ","FERIADO","FIN DE SEMANA"),"LABORABLE")&amp;IF(F606="SÍ"," + CIERRE","")</x:f>
        <x:v>LABORABLE + CIERRE</x:v>
      </x:c>
      <x:c r="I606" t="str">
        <x:f>TEXT(G606,"yyyy-mm")</x:f>
        <x:v>2026-09</x:v>
      </x:c>
    </x:row>
    <x:row r="607" ht="19" customHeight="1">
      <x:c r="A607" s="2" t="n">
        <x:v>46263</x:v>
      </x:c>
      <x:c r="B607" t="str">
        <x:f>CHOOSE(WEEKDAY(A607,2),"Lunes","Martes","Miércoles","Jueves","Viernes","Sábado","Domingo")</x:f>
        <x:v>Sábado</x:v>
      </x:c>
      <x:c r="C607" t="str">
        <x:f>IF(COUNTIF(FERIADOS!$A$2:$A$250,A607)&gt;0,"SÍ","NO")</x:f>
        <x:v>NO</x:v>
      </x:c>
      <x:c r="D607" t="str">
        <x:f>IF(AND(WEEKDAY(A607,2)&lt;=5,C607="NO"),"SÍ","NO")</x:f>
        <x:v>NO</x:v>
      </x:c>
      <x:c r="E607" s="2" t="n">
        <x:f>WORKDAY.INTL(A607-1,1,1,FERIADOS!$A$2:$A$250)</x:f>
        <x:v>46265</x:v>
      </x:c>
      <x:c r="F607" t="str">
        <x:f>IF(E607&gt;=WORKDAY.INTL(EOMONTH(E607,0)+1,-2,1,FERIADOS!$A$2:$A$250),"SÍ","NO")</x:f>
        <x:v>SÍ</x:v>
      </x:c>
      <x:c r="G607" s="10" t="n">
        <x:f>IF(F607="SÍ",EOMONTH(E607,0)+1,DATE(YEAR(E607),MONTH(E607),1))</x:f>
        <x:v>46266</x:v>
      </x:c>
      <x:c r="H607" t="str">
        <x:f>IF(D607="NO",IF(C607="SÍ","FERIADO","FIN DE SEMANA"),"LABORABLE")&amp;IF(F607="SÍ"," + CIERRE","")</x:f>
        <x:v>FIN DE SEMANA + CIERRE</x:v>
      </x:c>
      <x:c r="I607" t="str">
        <x:f>TEXT(G607,"yyyy-mm")</x:f>
        <x:v>2026-09</x:v>
      </x:c>
    </x:row>
    <x:row r="608" ht="19" customHeight="1">
      <x:c r="A608" s="2" t="n">
        <x:v>46264</x:v>
      </x:c>
      <x:c r="B608" t="str">
        <x:f>CHOOSE(WEEKDAY(A608,2),"Lunes","Martes","Miércoles","Jueves","Viernes","Sábado","Domingo")</x:f>
        <x:v>Domingo</x:v>
      </x:c>
      <x:c r="C608" t="str">
        <x:f>IF(COUNTIF(FERIADOS!$A$2:$A$250,A608)&gt;0,"SÍ","NO")</x:f>
        <x:v>NO</x:v>
      </x:c>
      <x:c r="D608" t="str">
        <x:f>IF(AND(WEEKDAY(A608,2)&lt;=5,C608="NO"),"SÍ","NO")</x:f>
        <x:v>NO</x:v>
      </x:c>
      <x:c r="E608" s="2" t="n">
        <x:f>WORKDAY.INTL(A608-1,1,1,FERIADOS!$A$2:$A$250)</x:f>
        <x:v>46265</x:v>
      </x:c>
      <x:c r="F608" t="str">
        <x:f>IF(E608&gt;=WORKDAY.INTL(EOMONTH(E608,0)+1,-2,1,FERIADOS!$A$2:$A$250),"SÍ","NO")</x:f>
        <x:v>SÍ</x:v>
      </x:c>
      <x:c r="G608" s="10" t="n">
        <x:f>IF(F608="SÍ",EOMONTH(E608,0)+1,DATE(YEAR(E608),MONTH(E608),1))</x:f>
        <x:v>46266</x:v>
      </x:c>
      <x:c r="H608" t="str">
        <x:f>IF(D608="NO",IF(C608="SÍ","FERIADO","FIN DE SEMANA"),"LABORABLE")&amp;IF(F608="SÍ"," + CIERRE","")</x:f>
        <x:v>FIN DE SEMANA + CIERRE</x:v>
      </x:c>
      <x:c r="I608" t="str">
        <x:f>TEXT(G608,"yyyy-mm")</x:f>
        <x:v>2026-09</x:v>
      </x:c>
    </x:row>
    <x:row r="609" ht="19" customHeight="1">
      <x:c r="A609" s="2" t="n">
        <x:v>46265</x:v>
      </x:c>
      <x:c r="B609" t="str">
        <x:f>CHOOSE(WEEKDAY(A609,2),"Lunes","Martes","Miércoles","Jueves","Viernes","Sábado","Domingo")</x:f>
        <x:v>Lunes</x:v>
      </x:c>
      <x:c r="C609" t="str">
        <x:f>IF(COUNTIF(FERIADOS!$A$2:$A$250,A609)&gt;0,"SÍ","NO")</x:f>
        <x:v>NO</x:v>
      </x:c>
      <x:c r="D609" t="str">
        <x:f>IF(AND(WEEKDAY(A609,2)&lt;=5,C609="NO"),"SÍ","NO")</x:f>
        <x:v>SÍ</x:v>
      </x:c>
      <x:c r="E609" s="2" t="n">
        <x:f>WORKDAY.INTL(A609-1,1,1,FERIADOS!$A$2:$A$250)</x:f>
        <x:v>46265</x:v>
      </x:c>
      <x:c r="F609" t="str">
        <x:f>IF(E609&gt;=WORKDAY.INTL(EOMONTH(E609,0)+1,-2,1,FERIADOS!$A$2:$A$250),"SÍ","NO")</x:f>
        <x:v>SÍ</x:v>
      </x:c>
      <x:c r="G609" s="10" t="n">
        <x:f>IF(F609="SÍ",EOMONTH(E609,0)+1,DATE(YEAR(E609),MONTH(E609),1))</x:f>
        <x:v>46266</x:v>
      </x:c>
      <x:c r="H609" t="str">
        <x:f>IF(D609="NO",IF(C609="SÍ","FERIADO","FIN DE SEMANA"),"LABORABLE")&amp;IF(F609="SÍ"," + CIERRE","")</x:f>
        <x:v>LABORABLE + CIERRE</x:v>
      </x:c>
      <x:c r="I609" t="str">
        <x:f>TEXT(G609,"yyyy-mm")</x:f>
        <x:v>2026-09</x:v>
      </x:c>
    </x:row>
    <x:row r="610" ht="19" customHeight="1">
      <x:c r="A610" s="2" t="n">
        <x:v>46266</x:v>
      </x:c>
      <x:c r="B610" t="str">
        <x:f>CHOOSE(WEEKDAY(A610,2),"Lunes","Martes","Miércoles","Jueves","Viernes","Sábado","Domingo")</x:f>
        <x:v>Martes</x:v>
      </x:c>
      <x:c r="C610" t="str">
        <x:f>IF(COUNTIF(FERIADOS!$A$2:$A$250,A610)&gt;0,"SÍ","NO")</x:f>
        <x:v>NO</x:v>
      </x:c>
      <x:c r="D610" t="str">
        <x:f>IF(AND(WEEKDAY(A610,2)&lt;=5,C610="NO"),"SÍ","NO")</x:f>
        <x:v>SÍ</x:v>
      </x:c>
      <x:c r="E610" s="2" t="n">
        <x:f>WORKDAY.INTL(A610-1,1,1,FERIADOS!$A$2:$A$250)</x:f>
        <x:v>46266</x:v>
      </x:c>
      <x:c r="F610" t="str">
        <x:f>IF(E610&gt;=WORKDAY.INTL(EOMONTH(E610,0)+1,-2,1,FERIADOS!$A$2:$A$250),"SÍ","NO")</x:f>
        <x:v>NO</x:v>
      </x:c>
      <x:c r="G610" s="10" t="n">
        <x:f>IF(F610="SÍ",EOMONTH(E610,0)+1,DATE(YEAR(E610),MONTH(E610),1))</x:f>
        <x:v>46266</x:v>
      </x:c>
      <x:c r="H610" t="str">
        <x:f>IF(D610="NO",IF(C610="SÍ","FERIADO","FIN DE SEMANA"),"LABORABLE")&amp;IF(F610="SÍ"," + CIERRE","")</x:f>
        <x:v>LABORABLE</x:v>
      </x:c>
      <x:c r="I610" t="str">
        <x:f>TEXT(G610,"yyyy-mm")</x:f>
        <x:v>2026-09</x:v>
      </x:c>
    </x:row>
    <x:row r="611" ht="19" customHeight="1">
      <x:c r="A611" s="2" t="n">
        <x:v>46267</x:v>
      </x:c>
      <x:c r="B611" t="str">
        <x:f>CHOOSE(WEEKDAY(A611,2),"Lunes","Martes","Miércoles","Jueves","Viernes","Sábado","Domingo")</x:f>
        <x:v>Miércoles</x:v>
      </x:c>
      <x:c r="C611" t="str">
        <x:f>IF(COUNTIF(FERIADOS!$A$2:$A$250,A611)&gt;0,"SÍ","NO")</x:f>
        <x:v>NO</x:v>
      </x:c>
      <x:c r="D611" t="str">
        <x:f>IF(AND(WEEKDAY(A611,2)&lt;=5,C611="NO"),"SÍ","NO")</x:f>
        <x:v>SÍ</x:v>
      </x:c>
      <x:c r="E611" s="2" t="n">
        <x:f>WORKDAY.INTL(A611-1,1,1,FERIADOS!$A$2:$A$250)</x:f>
        <x:v>46267</x:v>
      </x:c>
      <x:c r="F611" t="str">
        <x:f>IF(E611&gt;=WORKDAY.INTL(EOMONTH(E611,0)+1,-2,1,FERIADOS!$A$2:$A$250),"SÍ","NO")</x:f>
        <x:v>NO</x:v>
      </x:c>
      <x:c r="G611" s="10" t="n">
        <x:f>IF(F611="SÍ",EOMONTH(E611,0)+1,DATE(YEAR(E611),MONTH(E611),1))</x:f>
        <x:v>46266</x:v>
      </x:c>
      <x:c r="H611" t="str">
        <x:f>IF(D611="NO",IF(C611="SÍ","FERIADO","FIN DE SEMANA"),"LABORABLE")&amp;IF(F611="SÍ"," + CIERRE","")</x:f>
        <x:v>LABORABLE</x:v>
      </x:c>
      <x:c r="I611" t="str">
        <x:f>TEXT(G611,"yyyy-mm")</x:f>
        <x:v>2026-09</x:v>
      </x:c>
    </x:row>
    <x:row r="612" ht="19" customHeight="1">
      <x:c r="A612" s="2" t="n">
        <x:v>46268</x:v>
      </x:c>
      <x:c r="B612" t="str">
        <x:f>CHOOSE(WEEKDAY(A612,2),"Lunes","Martes","Miércoles","Jueves","Viernes","Sábado","Domingo")</x:f>
        <x:v>Jueves</x:v>
      </x:c>
      <x:c r="C612" t="str">
        <x:f>IF(COUNTIF(FERIADOS!$A$2:$A$250,A612)&gt;0,"SÍ","NO")</x:f>
        <x:v>NO</x:v>
      </x:c>
      <x:c r="D612" t="str">
        <x:f>IF(AND(WEEKDAY(A612,2)&lt;=5,C612="NO"),"SÍ","NO")</x:f>
        <x:v>SÍ</x:v>
      </x:c>
      <x:c r="E612" s="2" t="n">
        <x:f>WORKDAY.INTL(A612-1,1,1,FERIADOS!$A$2:$A$250)</x:f>
        <x:v>46268</x:v>
      </x:c>
      <x:c r="F612" t="str">
        <x:f>IF(E612&gt;=WORKDAY.INTL(EOMONTH(E612,0)+1,-2,1,FERIADOS!$A$2:$A$250),"SÍ","NO")</x:f>
        <x:v>NO</x:v>
      </x:c>
      <x:c r="G612" s="10" t="n">
        <x:f>IF(F612="SÍ",EOMONTH(E612,0)+1,DATE(YEAR(E612),MONTH(E612),1))</x:f>
        <x:v>46266</x:v>
      </x:c>
      <x:c r="H612" t="str">
        <x:f>IF(D612="NO",IF(C612="SÍ","FERIADO","FIN DE SEMANA"),"LABORABLE")&amp;IF(F612="SÍ"," + CIERRE","")</x:f>
        <x:v>LABORABLE</x:v>
      </x:c>
      <x:c r="I612" t="str">
        <x:f>TEXT(G612,"yyyy-mm")</x:f>
        <x:v>2026-09</x:v>
      </x:c>
    </x:row>
    <x:row r="613" ht="19" customHeight="1">
      <x:c r="A613" s="2" t="n">
        <x:v>46269</x:v>
      </x:c>
      <x:c r="B613" t="str">
        <x:f>CHOOSE(WEEKDAY(A613,2),"Lunes","Martes","Miércoles","Jueves","Viernes","Sábado","Domingo")</x:f>
        <x:v>Viernes</x:v>
      </x:c>
      <x:c r="C613" t="str">
        <x:f>IF(COUNTIF(FERIADOS!$A$2:$A$250,A613)&gt;0,"SÍ","NO")</x:f>
        <x:v>NO</x:v>
      </x:c>
      <x:c r="D613" t="str">
        <x:f>IF(AND(WEEKDAY(A613,2)&lt;=5,C613="NO"),"SÍ","NO")</x:f>
        <x:v>SÍ</x:v>
      </x:c>
      <x:c r="E613" s="2" t="n">
        <x:f>WORKDAY.INTL(A613-1,1,1,FERIADOS!$A$2:$A$250)</x:f>
        <x:v>46269</x:v>
      </x:c>
      <x:c r="F613" t="str">
        <x:f>IF(E613&gt;=WORKDAY.INTL(EOMONTH(E613,0)+1,-2,1,FERIADOS!$A$2:$A$250),"SÍ","NO")</x:f>
        <x:v>NO</x:v>
      </x:c>
      <x:c r="G613" s="10" t="n">
        <x:f>IF(F613="SÍ",EOMONTH(E613,0)+1,DATE(YEAR(E613),MONTH(E613),1))</x:f>
        <x:v>46266</x:v>
      </x:c>
      <x:c r="H613" t="str">
        <x:f>IF(D613="NO",IF(C613="SÍ","FERIADO","FIN DE SEMANA"),"LABORABLE")&amp;IF(F613="SÍ"," + CIERRE","")</x:f>
        <x:v>LABORABLE</x:v>
      </x:c>
      <x:c r="I613" t="str">
        <x:f>TEXT(G613,"yyyy-mm")</x:f>
        <x:v>2026-09</x:v>
      </x:c>
    </x:row>
    <x:row r="614" ht="19" customHeight="1">
      <x:c r="A614" s="2" t="n">
        <x:v>46270</x:v>
      </x:c>
      <x:c r="B614" t="str">
        <x:f>CHOOSE(WEEKDAY(A614,2),"Lunes","Martes","Miércoles","Jueves","Viernes","Sábado","Domingo")</x:f>
        <x:v>Sábado</x:v>
      </x:c>
      <x:c r="C614" t="str">
        <x:f>IF(COUNTIF(FERIADOS!$A$2:$A$250,A614)&gt;0,"SÍ","NO")</x:f>
        <x:v>NO</x:v>
      </x:c>
      <x:c r="D614" t="str">
        <x:f>IF(AND(WEEKDAY(A614,2)&lt;=5,C614="NO"),"SÍ","NO")</x:f>
        <x:v>NO</x:v>
      </x:c>
      <x:c r="E614" s="2" t="n">
        <x:f>WORKDAY.INTL(A614-1,1,1,FERIADOS!$A$2:$A$250)</x:f>
        <x:v>46272</x:v>
      </x:c>
      <x:c r="F614" t="str">
        <x:f>IF(E614&gt;=WORKDAY.INTL(EOMONTH(E614,0)+1,-2,1,FERIADOS!$A$2:$A$250),"SÍ","NO")</x:f>
        <x:v>NO</x:v>
      </x:c>
      <x:c r="G614" s="10" t="n">
        <x:f>IF(F614="SÍ",EOMONTH(E614,0)+1,DATE(YEAR(E614),MONTH(E614),1))</x:f>
        <x:v>46266</x:v>
      </x:c>
      <x:c r="H614" t="str">
        <x:f>IF(D614="NO",IF(C614="SÍ","FERIADO","FIN DE SEMANA"),"LABORABLE")&amp;IF(F614="SÍ"," + CIERRE","")</x:f>
        <x:v>FIN DE SEMANA</x:v>
      </x:c>
      <x:c r="I614" t="str">
        <x:f>TEXT(G614,"yyyy-mm")</x:f>
        <x:v>2026-09</x:v>
      </x:c>
    </x:row>
    <x:row r="615" ht="19" customHeight="1">
      <x:c r="A615" s="2" t="n">
        <x:v>46271</x:v>
      </x:c>
      <x:c r="B615" t="str">
        <x:f>CHOOSE(WEEKDAY(A615,2),"Lunes","Martes","Miércoles","Jueves","Viernes","Sábado","Domingo")</x:f>
        <x:v>Domingo</x:v>
      </x:c>
      <x:c r="C615" t="str">
        <x:f>IF(COUNTIF(FERIADOS!$A$2:$A$250,A615)&gt;0,"SÍ","NO")</x:f>
        <x:v>NO</x:v>
      </x:c>
      <x:c r="D615" t="str">
        <x:f>IF(AND(WEEKDAY(A615,2)&lt;=5,C615="NO"),"SÍ","NO")</x:f>
        <x:v>NO</x:v>
      </x:c>
      <x:c r="E615" s="2" t="n">
        <x:f>WORKDAY.INTL(A615-1,1,1,FERIADOS!$A$2:$A$250)</x:f>
        <x:v>46272</x:v>
      </x:c>
      <x:c r="F615" t="str">
        <x:f>IF(E615&gt;=WORKDAY.INTL(EOMONTH(E615,0)+1,-2,1,FERIADOS!$A$2:$A$250),"SÍ","NO")</x:f>
        <x:v>NO</x:v>
      </x:c>
      <x:c r="G615" s="10" t="n">
        <x:f>IF(F615="SÍ",EOMONTH(E615,0)+1,DATE(YEAR(E615),MONTH(E615),1))</x:f>
        <x:v>46266</x:v>
      </x:c>
      <x:c r="H615" t="str">
        <x:f>IF(D615="NO",IF(C615="SÍ","FERIADO","FIN DE SEMANA"),"LABORABLE")&amp;IF(F615="SÍ"," + CIERRE","")</x:f>
        <x:v>FIN DE SEMANA</x:v>
      </x:c>
      <x:c r="I615" t="str">
        <x:f>TEXT(G615,"yyyy-mm")</x:f>
        <x:v>2026-09</x:v>
      </x:c>
    </x:row>
    <x:row r="616" ht="19" customHeight="1">
      <x:c r="A616" s="2" t="n">
        <x:v>46272</x:v>
      </x:c>
      <x:c r="B616" t="str">
        <x:f>CHOOSE(WEEKDAY(A616,2),"Lunes","Martes","Miércoles","Jueves","Viernes","Sábado","Domingo")</x:f>
        <x:v>Lunes</x:v>
      </x:c>
      <x:c r="C616" t="str">
        <x:f>IF(COUNTIF(FERIADOS!$A$2:$A$250,A616)&gt;0,"SÍ","NO")</x:f>
        <x:v>NO</x:v>
      </x:c>
      <x:c r="D616" t="str">
        <x:f>IF(AND(WEEKDAY(A616,2)&lt;=5,C616="NO"),"SÍ","NO")</x:f>
        <x:v>SÍ</x:v>
      </x:c>
      <x:c r="E616" s="2" t="n">
        <x:f>WORKDAY.INTL(A616-1,1,1,FERIADOS!$A$2:$A$250)</x:f>
        <x:v>46272</x:v>
      </x:c>
      <x:c r="F616" t="str">
        <x:f>IF(E616&gt;=WORKDAY.INTL(EOMONTH(E616,0)+1,-2,1,FERIADOS!$A$2:$A$250),"SÍ","NO")</x:f>
        <x:v>NO</x:v>
      </x:c>
      <x:c r="G616" s="10" t="n">
        <x:f>IF(F616="SÍ",EOMONTH(E616,0)+1,DATE(YEAR(E616),MONTH(E616),1))</x:f>
        <x:v>46266</x:v>
      </x:c>
      <x:c r="H616" t="str">
        <x:f>IF(D616="NO",IF(C616="SÍ","FERIADO","FIN DE SEMANA"),"LABORABLE")&amp;IF(F616="SÍ"," + CIERRE","")</x:f>
        <x:v>LABORABLE</x:v>
      </x:c>
      <x:c r="I616" t="str">
        <x:f>TEXT(G616,"yyyy-mm")</x:f>
        <x:v>2026-09</x:v>
      </x:c>
    </x:row>
    <x:row r="617" ht="19" customHeight="1">
      <x:c r="A617" s="2" t="n">
        <x:v>46273</x:v>
      </x:c>
      <x:c r="B617" t="str">
        <x:f>CHOOSE(WEEKDAY(A617,2),"Lunes","Martes","Miércoles","Jueves","Viernes","Sábado","Domingo")</x:f>
        <x:v>Martes</x:v>
      </x:c>
      <x:c r="C617" t="str">
        <x:f>IF(COUNTIF(FERIADOS!$A$2:$A$250,A617)&gt;0,"SÍ","NO")</x:f>
        <x:v>NO</x:v>
      </x:c>
      <x:c r="D617" t="str">
        <x:f>IF(AND(WEEKDAY(A617,2)&lt;=5,C617="NO"),"SÍ","NO")</x:f>
        <x:v>SÍ</x:v>
      </x:c>
      <x:c r="E617" s="2" t="n">
        <x:f>WORKDAY.INTL(A617-1,1,1,FERIADOS!$A$2:$A$250)</x:f>
        <x:v>46273</x:v>
      </x:c>
      <x:c r="F617" t="str">
        <x:f>IF(E617&gt;=WORKDAY.INTL(EOMONTH(E617,0)+1,-2,1,FERIADOS!$A$2:$A$250),"SÍ","NO")</x:f>
        <x:v>NO</x:v>
      </x:c>
      <x:c r="G617" s="10" t="n">
        <x:f>IF(F617="SÍ",EOMONTH(E617,0)+1,DATE(YEAR(E617),MONTH(E617),1))</x:f>
        <x:v>46266</x:v>
      </x:c>
      <x:c r="H617" t="str">
        <x:f>IF(D617="NO",IF(C617="SÍ","FERIADO","FIN DE SEMANA"),"LABORABLE")&amp;IF(F617="SÍ"," + CIERRE","")</x:f>
        <x:v>LABORABLE</x:v>
      </x:c>
      <x:c r="I617" t="str">
        <x:f>TEXT(G617,"yyyy-mm")</x:f>
        <x:v>2026-09</x:v>
      </x:c>
    </x:row>
    <x:row r="618" ht="19" customHeight="1">
      <x:c r="A618" s="2" t="n">
        <x:v>46274</x:v>
      </x:c>
      <x:c r="B618" t="str">
        <x:f>CHOOSE(WEEKDAY(A618,2),"Lunes","Martes","Miércoles","Jueves","Viernes","Sábado","Domingo")</x:f>
        <x:v>Miércoles</x:v>
      </x:c>
      <x:c r="C618" t="str">
        <x:f>IF(COUNTIF(FERIADOS!$A$2:$A$250,A618)&gt;0,"SÍ","NO")</x:f>
        <x:v>NO</x:v>
      </x:c>
      <x:c r="D618" t="str">
        <x:f>IF(AND(WEEKDAY(A618,2)&lt;=5,C618="NO"),"SÍ","NO")</x:f>
        <x:v>SÍ</x:v>
      </x:c>
      <x:c r="E618" s="2" t="n">
        <x:f>WORKDAY.INTL(A618-1,1,1,FERIADOS!$A$2:$A$250)</x:f>
        <x:v>46274</x:v>
      </x:c>
      <x:c r="F618" t="str">
        <x:f>IF(E618&gt;=WORKDAY.INTL(EOMONTH(E618,0)+1,-2,1,FERIADOS!$A$2:$A$250),"SÍ","NO")</x:f>
        <x:v>NO</x:v>
      </x:c>
      <x:c r="G618" s="10" t="n">
        <x:f>IF(F618="SÍ",EOMONTH(E618,0)+1,DATE(YEAR(E618),MONTH(E618),1))</x:f>
        <x:v>46266</x:v>
      </x:c>
      <x:c r="H618" t="str">
        <x:f>IF(D618="NO",IF(C618="SÍ","FERIADO","FIN DE SEMANA"),"LABORABLE")&amp;IF(F618="SÍ"," + CIERRE","")</x:f>
        <x:v>LABORABLE</x:v>
      </x:c>
      <x:c r="I618" t="str">
        <x:f>TEXT(G618,"yyyy-mm")</x:f>
        <x:v>2026-09</x:v>
      </x:c>
    </x:row>
    <x:row r="619" ht="19" customHeight="1">
      <x:c r="A619" s="2" t="n">
        <x:v>46275</x:v>
      </x:c>
      <x:c r="B619" t="str">
        <x:f>CHOOSE(WEEKDAY(A619,2),"Lunes","Martes","Miércoles","Jueves","Viernes","Sábado","Domingo")</x:f>
        <x:v>Jueves</x:v>
      </x:c>
      <x:c r="C619" t="str">
        <x:f>IF(COUNTIF(FERIADOS!$A$2:$A$250,A619)&gt;0,"SÍ","NO")</x:f>
        <x:v>NO</x:v>
      </x:c>
      <x:c r="D619" t="str">
        <x:f>IF(AND(WEEKDAY(A619,2)&lt;=5,C619="NO"),"SÍ","NO")</x:f>
        <x:v>SÍ</x:v>
      </x:c>
      <x:c r="E619" s="2" t="n">
        <x:f>WORKDAY.INTL(A619-1,1,1,FERIADOS!$A$2:$A$250)</x:f>
        <x:v>46275</x:v>
      </x:c>
      <x:c r="F619" t="str">
        <x:f>IF(E619&gt;=WORKDAY.INTL(EOMONTH(E619,0)+1,-2,1,FERIADOS!$A$2:$A$250),"SÍ","NO")</x:f>
        <x:v>NO</x:v>
      </x:c>
      <x:c r="G619" s="10" t="n">
        <x:f>IF(F619="SÍ",EOMONTH(E619,0)+1,DATE(YEAR(E619),MONTH(E619),1))</x:f>
        <x:v>46266</x:v>
      </x:c>
      <x:c r="H619" t="str">
        <x:f>IF(D619="NO",IF(C619="SÍ","FERIADO","FIN DE SEMANA"),"LABORABLE")&amp;IF(F619="SÍ"," + CIERRE","")</x:f>
        <x:v>LABORABLE</x:v>
      </x:c>
      <x:c r="I619" t="str">
        <x:f>TEXT(G619,"yyyy-mm")</x:f>
        <x:v>2026-09</x:v>
      </x:c>
    </x:row>
    <x:row r="620" ht="19" customHeight="1">
      <x:c r="A620" s="2" t="n">
        <x:v>46276</x:v>
      </x:c>
      <x:c r="B620" t="str">
        <x:f>CHOOSE(WEEKDAY(A620,2),"Lunes","Martes","Miércoles","Jueves","Viernes","Sábado","Domingo")</x:f>
        <x:v>Viernes</x:v>
      </x:c>
      <x:c r="C620" t="str">
        <x:f>IF(COUNTIF(FERIADOS!$A$2:$A$250,A620)&gt;0,"SÍ","NO")</x:f>
        <x:v>NO</x:v>
      </x:c>
      <x:c r="D620" t="str">
        <x:f>IF(AND(WEEKDAY(A620,2)&lt;=5,C620="NO"),"SÍ","NO")</x:f>
        <x:v>SÍ</x:v>
      </x:c>
      <x:c r="E620" s="2" t="n">
        <x:f>WORKDAY.INTL(A620-1,1,1,FERIADOS!$A$2:$A$250)</x:f>
        <x:v>46276</x:v>
      </x:c>
      <x:c r="F620" t="str">
        <x:f>IF(E620&gt;=WORKDAY.INTL(EOMONTH(E620,0)+1,-2,1,FERIADOS!$A$2:$A$250),"SÍ","NO")</x:f>
        <x:v>NO</x:v>
      </x:c>
      <x:c r="G620" s="10" t="n">
        <x:f>IF(F620="SÍ",EOMONTH(E620,0)+1,DATE(YEAR(E620),MONTH(E620),1))</x:f>
        <x:v>46266</x:v>
      </x:c>
      <x:c r="H620" t="str">
        <x:f>IF(D620="NO",IF(C620="SÍ","FERIADO","FIN DE SEMANA"),"LABORABLE")&amp;IF(F620="SÍ"," + CIERRE","")</x:f>
        <x:v>LABORABLE</x:v>
      </x:c>
      <x:c r="I620" t="str">
        <x:f>TEXT(G620,"yyyy-mm")</x:f>
        <x:v>2026-09</x:v>
      </x:c>
    </x:row>
    <x:row r="621" ht="19" customHeight="1">
      <x:c r="A621" s="2" t="n">
        <x:v>46277</x:v>
      </x:c>
      <x:c r="B621" t="str">
        <x:f>CHOOSE(WEEKDAY(A621,2),"Lunes","Martes","Miércoles","Jueves","Viernes","Sábado","Domingo")</x:f>
        <x:v>Sábado</x:v>
      </x:c>
      <x:c r="C621" t="str">
        <x:f>IF(COUNTIF(FERIADOS!$A$2:$A$250,A621)&gt;0,"SÍ","NO")</x:f>
        <x:v>NO</x:v>
      </x:c>
      <x:c r="D621" t="str">
        <x:f>IF(AND(WEEKDAY(A621,2)&lt;=5,C621="NO"),"SÍ","NO")</x:f>
        <x:v>NO</x:v>
      </x:c>
      <x:c r="E621" s="2" t="n">
        <x:f>WORKDAY.INTL(A621-1,1,1,FERIADOS!$A$2:$A$250)</x:f>
        <x:v>46279</x:v>
      </x:c>
      <x:c r="F621" t="str">
        <x:f>IF(E621&gt;=WORKDAY.INTL(EOMONTH(E621,0)+1,-2,1,FERIADOS!$A$2:$A$250),"SÍ","NO")</x:f>
        <x:v>NO</x:v>
      </x:c>
      <x:c r="G621" s="10" t="n">
        <x:f>IF(F621="SÍ",EOMONTH(E621,0)+1,DATE(YEAR(E621),MONTH(E621),1))</x:f>
        <x:v>46266</x:v>
      </x:c>
      <x:c r="H621" t="str">
        <x:f>IF(D621="NO",IF(C621="SÍ","FERIADO","FIN DE SEMANA"),"LABORABLE")&amp;IF(F621="SÍ"," + CIERRE","")</x:f>
        <x:v>FIN DE SEMANA</x:v>
      </x:c>
      <x:c r="I621" t="str">
        <x:f>TEXT(G621,"yyyy-mm")</x:f>
        <x:v>2026-09</x:v>
      </x:c>
    </x:row>
    <x:row r="622" ht="19" customHeight="1">
      <x:c r="A622" s="2" t="n">
        <x:v>46278</x:v>
      </x:c>
      <x:c r="B622" t="str">
        <x:f>CHOOSE(WEEKDAY(A622,2),"Lunes","Martes","Miércoles","Jueves","Viernes","Sábado","Domingo")</x:f>
        <x:v>Domingo</x:v>
      </x:c>
      <x:c r="C622" t="str">
        <x:f>IF(COUNTIF(FERIADOS!$A$2:$A$250,A622)&gt;0,"SÍ","NO")</x:f>
        <x:v>NO</x:v>
      </x:c>
      <x:c r="D622" t="str">
        <x:f>IF(AND(WEEKDAY(A622,2)&lt;=5,C622="NO"),"SÍ","NO")</x:f>
        <x:v>NO</x:v>
      </x:c>
      <x:c r="E622" s="2" t="n">
        <x:f>WORKDAY.INTL(A622-1,1,1,FERIADOS!$A$2:$A$250)</x:f>
        <x:v>46279</x:v>
      </x:c>
      <x:c r="F622" t="str">
        <x:f>IF(E622&gt;=WORKDAY.INTL(EOMONTH(E622,0)+1,-2,1,FERIADOS!$A$2:$A$250),"SÍ","NO")</x:f>
        <x:v>NO</x:v>
      </x:c>
      <x:c r="G622" s="10" t="n">
        <x:f>IF(F622="SÍ",EOMONTH(E622,0)+1,DATE(YEAR(E622),MONTH(E622),1))</x:f>
        <x:v>46266</x:v>
      </x:c>
      <x:c r="H622" t="str">
        <x:f>IF(D622="NO",IF(C622="SÍ","FERIADO","FIN DE SEMANA"),"LABORABLE")&amp;IF(F622="SÍ"," + CIERRE","")</x:f>
        <x:v>FIN DE SEMANA</x:v>
      </x:c>
      <x:c r="I622" t="str">
        <x:f>TEXT(G622,"yyyy-mm")</x:f>
        <x:v>2026-09</x:v>
      </x:c>
    </x:row>
    <x:row r="623" ht="19" customHeight="1">
      <x:c r="A623" s="2" t="n">
        <x:v>46279</x:v>
      </x:c>
      <x:c r="B623" t="str">
        <x:f>CHOOSE(WEEKDAY(A623,2),"Lunes","Martes","Miércoles","Jueves","Viernes","Sábado","Domingo")</x:f>
        <x:v>Lunes</x:v>
      </x:c>
      <x:c r="C623" t="str">
        <x:f>IF(COUNTIF(FERIADOS!$A$2:$A$250,A623)&gt;0,"SÍ","NO")</x:f>
        <x:v>NO</x:v>
      </x:c>
      <x:c r="D623" t="str">
        <x:f>IF(AND(WEEKDAY(A623,2)&lt;=5,C623="NO"),"SÍ","NO")</x:f>
        <x:v>SÍ</x:v>
      </x:c>
      <x:c r="E623" s="2" t="n">
        <x:f>WORKDAY.INTL(A623-1,1,1,FERIADOS!$A$2:$A$250)</x:f>
        <x:v>46279</x:v>
      </x:c>
      <x:c r="F623" t="str">
        <x:f>IF(E623&gt;=WORKDAY.INTL(EOMONTH(E623,0)+1,-2,1,FERIADOS!$A$2:$A$250),"SÍ","NO")</x:f>
        <x:v>NO</x:v>
      </x:c>
      <x:c r="G623" s="10" t="n">
        <x:f>IF(F623="SÍ",EOMONTH(E623,0)+1,DATE(YEAR(E623),MONTH(E623),1))</x:f>
        <x:v>46266</x:v>
      </x:c>
      <x:c r="H623" t="str">
        <x:f>IF(D623="NO",IF(C623="SÍ","FERIADO","FIN DE SEMANA"),"LABORABLE")&amp;IF(F623="SÍ"," + CIERRE","")</x:f>
        <x:v>LABORABLE</x:v>
      </x:c>
      <x:c r="I623" t="str">
        <x:f>TEXT(G623,"yyyy-mm")</x:f>
        <x:v>2026-09</x:v>
      </x:c>
    </x:row>
    <x:row r="624" ht="19" customHeight="1">
      <x:c r="A624" s="2" t="n">
        <x:v>46280</x:v>
      </x:c>
      <x:c r="B624" t="str">
        <x:f>CHOOSE(WEEKDAY(A624,2),"Lunes","Martes","Miércoles","Jueves","Viernes","Sábado","Domingo")</x:f>
        <x:v>Martes</x:v>
      </x:c>
      <x:c r="C624" t="str">
        <x:f>IF(COUNTIF(FERIADOS!$A$2:$A$250,A624)&gt;0,"SÍ","NO")</x:f>
        <x:v>NO</x:v>
      </x:c>
      <x:c r="D624" t="str">
        <x:f>IF(AND(WEEKDAY(A624,2)&lt;=5,C624="NO"),"SÍ","NO")</x:f>
        <x:v>SÍ</x:v>
      </x:c>
      <x:c r="E624" s="2" t="n">
        <x:f>WORKDAY.INTL(A624-1,1,1,FERIADOS!$A$2:$A$250)</x:f>
        <x:v>46280</x:v>
      </x:c>
      <x:c r="F624" t="str">
        <x:f>IF(E624&gt;=WORKDAY.INTL(EOMONTH(E624,0)+1,-2,1,FERIADOS!$A$2:$A$250),"SÍ","NO")</x:f>
        <x:v>NO</x:v>
      </x:c>
      <x:c r="G624" s="10" t="n">
        <x:f>IF(F624="SÍ",EOMONTH(E624,0)+1,DATE(YEAR(E624),MONTH(E624),1))</x:f>
        <x:v>46266</x:v>
      </x:c>
      <x:c r="H624" t="str">
        <x:f>IF(D624="NO",IF(C624="SÍ","FERIADO","FIN DE SEMANA"),"LABORABLE")&amp;IF(F624="SÍ"," + CIERRE","")</x:f>
        <x:v>LABORABLE</x:v>
      </x:c>
      <x:c r="I624" t="str">
        <x:f>TEXT(G624,"yyyy-mm")</x:f>
        <x:v>2026-09</x:v>
      </x:c>
    </x:row>
    <x:row r="625" ht="19" customHeight="1">
      <x:c r="A625" s="2" t="n">
        <x:v>46281</x:v>
      </x:c>
      <x:c r="B625" t="str">
        <x:f>CHOOSE(WEEKDAY(A625,2),"Lunes","Martes","Miércoles","Jueves","Viernes","Sábado","Domingo")</x:f>
        <x:v>Miércoles</x:v>
      </x:c>
      <x:c r="C625" t="str">
        <x:f>IF(COUNTIF(FERIADOS!$A$2:$A$250,A625)&gt;0,"SÍ","NO")</x:f>
        <x:v>NO</x:v>
      </x:c>
      <x:c r="D625" t="str">
        <x:f>IF(AND(WEEKDAY(A625,2)&lt;=5,C625="NO"),"SÍ","NO")</x:f>
        <x:v>SÍ</x:v>
      </x:c>
      <x:c r="E625" s="2" t="n">
        <x:f>WORKDAY.INTL(A625-1,1,1,FERIADOS!$A$2:$A$250)</x:f>
        <x:v>46281</x:v>
      </x:c>
      <x:c r="F625" t="str">
        <x:f>IF(E625&gt;=WORKDAY.INTL(EOMONTH(E625,0)+1,-2,1,FERIADOS!$A$2:$A$250),"SÍ","NO")</x:f>
        <x:v>NO</x:v>
      </x:c>
      <x:c r="G625" s="10" t="n">
        <x:f>IF(F625="SÍ",EOMONTH(E625,0)+1,DATE(YEAR(E625),MONTH(E625),1))</x:f>
        <x:v>46266</x:v>
      </x:c>
      <x:c r="H625" t="str">
        <x:f>IF(D625="NO",IF(C625="SÍ","FERIADO","FIN DE SEMANA"),"LABORABLE")&amp;IF(F625="SÍ"," + CIERRE","")</x:f>
        <x:v>LABORABLE</x:v>
      </x:c>
      <x:c r="I625" t="str">
        <x:f>TEXT(G625,"yyyy-mm")</x:f>
        <x:v>2026-09</x:v>
      </x:c>
    </x:row>
    <x:row r="626" ht="19" customHeight="1">
      <x:c r="A626" s="2" t="n">
        <x:v>46282</x:v>
      </x:c>
      <x:c r="B626" t="str">
        <x:f>CHOOSE(WEEKDAY(A626,2),"Lunes","Martes","Miércoles","Jueves","Viernes","Sábado","Domingo")</x:f>
        <x:v>Jueves</x:v>
      </x:c>
      <x:c r="C626" t="str">
        <x:f>IF(COUNTIF(FERIADOS!$A$2:$A$250,A626)&gt;0,"SÍ","NO")</x:f>
        <x:v>NO</x:v>
      </x:c>
      <x:c r="D626" t="str">
        <x:f>IF(AND(WEEKDAY(A626,2)&lt;=5,C626="NO"),"SÍ","NO")</x:f>
        <x:v>SÍ</x:v>
      </x:c>
      <x:c r="E626" s="2" t="n">
        <x:f>WORKDAY.INTL(A626-1,1,1,FERIADOS!$A$2:$A$250)</x:f>
        <x:v>46282</x:v>
      </x:c>
      <x:c r="F626" t="str">
        <x:f>IF(E626&gt;=WORKDAY.INTL(EOMONTH(E626,0)+1,-2,1,FERIADOS!$A$2:$A$250),"SÍ","NO")</x:f>
        <x:v>NO</x:v>
      </x:c>
      <x:c r="G626" s="10" t="n">
        <x:f>IF(F626="SÍ",EOMONTH(E626,0)+1,DATE(YEAR(E626),MONTH(E626),1))</x:f>
        <x:v>46266</x:v>
      </x:c>
      <x:c r="H626" t="str">
        <x:f>IF(D626="NO",IF(C626="SÍ","FERIADO","FIN DE SEMANA"),"LABORABLE")&amp;IF(F626="SÍ"," + CIERRE","")</x:f>
        <x:v>LABORABLE</x:v>
      </x:c>
      <x:c r="I626" t="str">
        <x:f>TEXT(G626,"yyyy-mm")</x:f>
        <x:v>2026-09</x:v>
      </x:c>
    </x:row>
    <x:row r="627" ht="19" customHeight="1">
      <x:c r="A627" s="2" t="n">
        <x:v>46283</x:v>
      </x:c>
      <x:c r="B627" t="str">
        <x:f>CHOOSE(WEEKDAY(A627,2),"Lunes","Martes","Miércoles","Jueves","Viernes","Sábado","Domingo")</x:f>
        <x:v>Viernes</x:v>
      </x:c>
      <x:c r="C627" t="str">
        <x:f>IF(COUNTIF(FERIADOS!$A$2:$A$250,A627)&gt;0,"SÍ","NO")</x:f>
        <x:v>NO</x:v>
      </x:c>
      <x:c r="D627" t="str">
        <x:f>IF(AND(WEEKDAY(A627,2)&lt;=5,C627="NO"),"SÍ","NO")</x:f>
        <x:v>SÍ</x:v>
      </x:c>
      <x:c r="E627" s="2" t="n">
        <x:f>WORKDAY.INTL(A627-1,1,1,FERIADOS!$A$2:$A$250)</x:f>
        <x:v>46283</x:v>
      </x:c>
      <x:c r="F627" t="str">
        <x:f>IF(E627&gt;=WORKDAY.INTL(EOMONTH(E627,0)+1,-2,1,FERIADOS!$A$2:$A$250),"SÍ","NO")</x:f>
        <x:v>NO</x:v>
      </x:c>
      <x:c r="G627" s="10" t="n">
        <x:f>IF(F627="SÍ",EOMONTH(E627,0)+1,DATE(YEAR(E627),MONTH(E627),1))</x:f>
        <x:v>46266</x:v>
      </x:c>
      <x:c r="H627" t="str">
        <x:f>IF(D627="NO",IF(C627="SÍ","FERIADO","FIN DE SEMANA"),"LABORABLE")&amp;IF(F627="SÍ"," + CIERRE","")</x:f>
        <x:v>LABORABLE</x:v>
      </x:c>
      <x:c r="I627" t="str">
        <x:f>TEXT(G627,"yyyy-mm")</x:f>
        <x:v>2026-09</x:v>
      </x:c>
    </x:row>
    <x:row r="628" ht="19" customHeight="1">
      <x:c r="A628" s="2" t="n">
        <x:v>46284</x:v>
      </x:c>
      <x:c r="B628" t="str">
        <x:f>CHOOSE(WEEKDAY(A628,2),"Lunes","Martes","Miércoles","Jueves","Viernes","Sábado","Domingo")</x:f>
        <x:v>Sábado</x:v>
      </x:c>
      <x:c r="C628" t="str">
        <x:f>IF(COUNTIF(FERIADOS!$A$2:$A$250,A628)&gt;0,"SÍ","NO")</x:f>
        <x:v>NO</x:v>
      </x:c>
      <x:c r="D628" t="str">
        <x:f>IF(AND(WEEKDAY(A628,2)&lt;=5,C628="NO"),"SÍ","NO")</x:f>
        <x:v>NO</x:v>
      </x:c>
      <x:c r="E628" s="2" t="n">
        <x:f>WORKDAY.INTL(A628-1,1,1,FERIADOS!$A$2:$A$250)</x:f>
        <x:v>46286</x:v>
      </x:c>
      <x:c r="F628" t="str">
        <x:f>IF(E628&gt;=WORKDAY.INTL(EOMONTH(E628,0)+1,-2,1,FERIADOS!$A$2:$A$250),"SÍ","NO")</x:f>
        <x:v>NO</x:v>
      </x:c>
      <x:c r="G628" s="10" t="n">
        <x:f>IF(F628="SÍ",EOMONTH(E628,0)+1,DATE(YEAR(E628),MONTH(E628),1))</x:f>
        <x:v>46266</x:v>
      </x:c>
      <x:c r="H628" t="str">
        <x:f>IF(D628="NO",IF(C628="SÍ","FERIADO","FIN DE SEMANA"),"LABORABLE")&amp;IF(F628="SÍ"," + CIERRE","")</x:f>
        <x:v>FIN DE SEMANA</x:v>
      </x:c>
      <x:c r="I628" t="str">
        <x:f>TEXT(G628,"yyyy-mm")</x:f>
        <x:v>2026-09</x:v>
      </x:c>
    </x:row>
    <x:row r="629" ht="19" customHeight="1">
      <x:c r="A629" s="2" t="n">
        <x:v>46285</x:v>
      </x:c>
      <x:c r="B629" t="str">
        <x:f>CHOOSE(WEEKDAY(A629,2),"Lunes","Martes","Miércoles","Jueves","Viernes","Sábado","Domingo")</x:f>
        <x:v>Domingo</x:v>
      </x:c>
      <x:c r="C629" t="str">
        <x:f>IF(COUNTIF(FERIADOS!$A$2:$A$250,A629)&gt;0,"SÍ","NO")</x:f>
        <x:v>NO</x:v>
      </x:c>
      <x:c r="D629" t="str">
        <x:f>IF(AND(WEEKDAY(A629,2)&lt;=5,C629="NO"),"SÍ","NO")</x:f>
        <x:v>NO</x:v>
      </x:c>
      <x:c r="E629" s="2" t="n">
        <x:f>WORKDAY.INTL(A629-1,1,1,FERIADOS!$A$2:$A$250)</x:f>
        <x:v>46286</x:v>
      </x:c>
      <x:c r="F629" t="str">
        <x:f>IF(E629&gt;=WORKDAY.INTL(EOMONTH(E629,0)+1,-2,1,FERIADOS!$A$2:$A$250),"SÍ","NO")</x:f>
        <x:v>NO</x:v>
      </x:c>
      <x:c r="G629" s="10" t="n">
        <x:f>IF(F629="SÍ",EOMONTH(E629,0)+1,DATE(YEAR(E629),MONTH(E629),1))</x:f>
        <x:v>46266</x:v>
      </x:c>
      <x:c r="H629" t="str">
        <x:f>IF(D629="NO",IF(C629="SÍ","FERIADO","FIN DE SEMANA"),"LABORABLE")&amp;IF(F629="SÍ"," + CIERRE","")</x:f>
        <x:v>FIN DE SEMANA</x:v>
      </x:c>
      <x:c r="I629" t="str">
        <x:f>TEXT(G629,"yyyy-mm")</x:f>
        <x:v>2026-09</x:v>
      </x:c>
    </x:row>
    <x:row r="630" ht="19" customHeight="1">
      <x:c r="A630" s="2" t="n">
        <x:v>46286</x:v>
      </x:c>
      <x:c r="B630" t="str">
        <x:f>CHOOSE(WEEKDAY(A630,2),"Lunes","Martes","Miércoles","Jueves","Viernes","Sábado","Domingo")</x:f>
        <x:v>Lunes</x:v>
      </x:c>
      <x:c r="C630" t="str">
        <x:f>IF(COUNTIF(FERIADOS!$A$2:$A$250,A630)&gt;0,"SÍ","NO")</x:f>
        <x:v>NO</x:v>
      </x:c>
      <x:c r="D630" t="str">
        <x:f>IF(AND(WEEKDAY(A630,2)&lt;=5,C630="NO"),"SÍ","NO")</x:f>
        <x:v>SÍ</x:v>
      </x:c>
      <x:c r="E630" s="2" t="n">
        <x:f>WORKDAY.INTL(A630-1,1,1,FERIADOS!$A$2:$A$250)</x:f>
        <x:v>46286</x:v>
      </x:c>
      <x:c r="F630" t="str">
        <x:f>IF(E630&gt;=WORKDAY.INTL(EOMONTH(E630,0)+1,-2,1,FERIADOS!$A$2:$A$250),"SÍ","NO")</x:f>
        <x:v>NO</x:v>
      </x:c>
      <x:c r="G630" s="10" t="n">
        <x:f>IF(F630="SÍ",EOMONTH(E630,0)+1,DATE(YEAR(E630),MONTH(E630),1))</x:f>
        <x:v>46266</x:v>
      </x:c>
      <x:c r="H630" t="str">
        <x:f>IF(D630="NO",IF(C630="SÍ","FERIADO","FIN DE SEMANA"),"LABORABLE")&amp;IF(F630="SÍ"," + CIERRE","")</x:f>
        <x:v>LABORABLE</x:v>
      </x:c>
      <x:c r="I630" t="str">
        <x:f>TEXT(G630,"yyyy-mm")</x:f>
        <x:v>2026-09</x:v>
      </x:c>
    </x:row>
    <x:row r="631" ht="19" customHeight="1">
      <x:c r="A631" s="2" t="n">
        <x:v>46287</x:v>
      </x:c>
      <x:c r="B631" t="str">
        <x:f>CHOOSE(WEEKDAY(A631,2),"Lunes","Martes","Miércoles","Jueves","Viernes","Sábado","Domingo")</x:f>
        <x:v>Martes</x:v>
      </x:c>
      <x:c r="C631" t="str">
        <x:f>IF(COUNTIF(FERIADOS!$A$2:$A$250,A631)&gt;0,"SÍ","NO")</x:f>
        <x:v>NO</x:v>
      </x:c>
      <x:c r="D631" t="str">
        <x:f>IF(AND(WEEKDAY(A631,2)&lt;=5,C631="NO"),"SÍ","NO")</x:f>
        <x:v>SÍ</x:v>
      </x:c>
      <x:c r="E631" s="2" t="n">
        <x:f>WORKDAY.INTL(A631-1,1,1,FERIADOS!$A$2:$A$250)</x:f>
        <x:v>46287</x:v>
      </x:c>
      <x:c r="F631" t="str">
        <x:f>IF(E631&gt;=WORKDAY.INTL(EOMONTH(E631,0)+1,-2,1,FERIADOS!$A$2:$A$250),"SÍ","NO")</x:f>
        <x:v>NO</x:v>
      </x:c>
      <x:c r="G631" s="10" t="n">
        <x:f>IF(F631="SÍ",EOMONTH(E631,0)+1,DATE(YEAR(E631),MONTH(E631),1))</x:f>
        <x:v>46266</x:v>
      </x:c>
      <x:c r="H631" t="str">
        <x:f>IF(D631="NO",IF(C631="SÍ","FERIADO","FIN DE SEMANA"),"LABORABLE")&amp;IF(F631="SÍ"," + CIERRE","")</x:f>
        <x:v>LABORABLE</x:v>
      </x:c>
      <x:c r="I631" t="str">
        <x:f>TEXT(G631,"yyyy-mm")</x:f>
        <x:v>2026-09</x:v>
      </x:c>
    </x:row>
    <x:row r="632" ht="19" customHeight="1">
      <x:c r="A632" s="2" t="n">
        <x:v>46288</x:v>
      </x:c>
      <x:c r="B632" t="str">
        <x:f>CHOOSE(WEEKDAY(A632,2),"Lunes","Martes","Miércoles","Jueves","Viernes","Sábado","Domingo")</x:f>
        <x:v>Miércoles</x:v>
      </x:c>
      <x:c r="C632" t="str">
        <x:f>IF(COUNTIF(FERIADOS!$A$2:$A$250,A632)&gt;0,"SÍ","NO")</x:f>
        <x:v>NO</x:v>
      </x:c>
      <x:c r="D632" t="str">
        <x:f>IF(AND(WEEKDAY(A632,2)&lt;=5,C632="NO"),"SÍ","NO")</x:f>
        <x:v>SÍ</x:v>
      </x:c>
      <x:c r="E632" s="2" t="n">
        <x:f>WORKDAY.INTL(A632-1,1,1,FERIADOS!$A$2:$A$250)</x:f>
        <x:v>46288</x:v>
      </x:c>
      <x:c r="F632" t="str">
        <x:f>IF(E632&gt;=WORKDAY.INTL(EOMONTH(E632,0)+1,-2,1,FERIADOS!$A$2:$A$250),"SÍ","NO")</x:f>
        <x:v>NO</x:v>
      </x:c>
      <x:c r="G632" s="10" t="n">
        <x:f>IF(F632="SÍ",EOMONTH(E632,0)+1,DATE(YEAR(E632),MONTH(E632),1))</x:f>
        <x:v>46266</x:v>
      </x:c>
      <x:c r="H632" t="str">
        <x:f>IF(D632="NO",IF(C632="SÍ","FERIADO","FIN DE SEMANA"),"LABORABLE")&amp;IF(F632="SÍ"," + CIERRE","")</x:f>
        <x:v>LABORABLE</x:v>
      </x:c>
      <x:c r="I632" t="str">
        <x:f>TEXT(G632,"yyyy-mm")</x:f>
        <x:v>2026-09</x:v>
      </x:c>
    </x:row>
    <x:row r="633" ht="19" customHeight="1">
      <x:c r="A633" s="2" t="n">
        <x:v>46289</x:v>
      </x:c>
      <x:c r="B633" t="str">
        <x:f>CHOOSE(WEEKDAY(A633,2),"Lunes","Martes","Miércoles","Jueves","Viernes","Sábado","Domingo")</x:f>
        <x:v>Jueves</x:v>
      </x:c>
      <x:c r="C633" t="str">
        <x:f>IF(COUNTIF(FERIADOS!$A$2:$A$250,A633)&gt;0,"SÍ","NO")</x:f>
        <x:v>NO</x:v>
      </x:c>
      <x:c r="D633" t="str">
        <x:f>IF(AND(WEEKDAY(A633,2)&lt;=5,C633="NO"),"SÍ","NO")</x:f>
        <x:v>SÍ</x:v>
      </x:c>
      <x:c r="E633" s="2" t="n">
        <x:f>WORKDAY.INTL(A633-1,1,1,FERIADOS!$A$2:$A$250)</x:f>
        <x:v>46289</x:v>
      </x:c>
      <x:c r="F633" t="str">
        <x:f>IF(E633&gt;=WORKDAY.INTL(EOMONTH(E633,0)+1,-2,1,FERIADOS!$A$2:$A$250),"SÍ","NO")</x:f>
        <x:v>NO</x:v>
      </x:c>
      <x:c r="G633" s="10" t="n">
        <x:f>IF(F633="SÍ",EOMONTH(E633,0)+1,DATE(YEAR(E633),MONTH(E633),1))</x:f>
        <x:v>46266</x:v>
      </x:c>
      <x:c r="H633" t="str">
        <x:f>IF(D633="NO",IF(C633="SÍ","FERIADO","FIN DE SEMANA"),"LABORABLE")&amp;IF(F633="SÍ"," + CIERRE","")</x:f>
        <x:v>LABORABLE</x:v>
      </x:c>
      <x:c r="I633" t="str">
        <x:f>TEXT(G633,"yyyy-mm")</x:f>
        <x:v>2026-09</x:v>
      </x:c>
    </x:row>
    <x:row r="634" ht="19" customHeight="1">
      <x:c r="A634" s="2" t="n">
        <x:v>46290</x:v>
      </x:c>
      <x:c r="B634" t="str">
        <x:f>CHOOSE(WEEKDAY(A634,2),"Lunes","Martes","Miércoles","Jueves","Viernes","Sábado","Domingo")</x:f>
        <x:v>Viernes</x:v>
      </x:c>
      <x:c r="C634" t="str">
        <x:f>IF(COUNTIF(FERIADOS!$A$2:$A$250,A634)&gt;0,"SÍ","NO")</x:f>
        <x:v>NO</x:v>
      </x:c>
      <x:c r="D634" t="str">
        <x:f>IF(AND(WEEKDAY(A634,2)&lt;=5,C634="NO"),"SÍ","NO")</x:f>
        <x:v>SÍ</x:v>
      </x:c>
      <x:c r="E634" s="2" t="n">
        <x:f>WORKDAY.INTL(A634-1,1,1,FERIADOS!$A$2:$A$250)</x:f>
        <x:v>46290</x:v>
      </x:c>
      <x:c r="F634" t="str">
        <x:f>IF(E634&gt;=WORKDAY.INTL(EOMONTH(E634,0)+1,-2,1,FERIADOS!$A$2:$A$250),"SÍ","NO")</x:f>
        <x:v>NO</x:v>
      </x:c>
      <x:c r="G634" s="10" t="n">
        <x:f>IF(F634="SÍ",EOMONTH(E634,0)+1,DATE(YEAR(E634),MONTH(E634),1))</x:f>
        <x:v>46266</x:v>
      </x:c>
      <x:c r="H634" t="str">
        <x:f>IF(D634="NO",IF(C634="SÍ","FERIADO","FIN DE SEMANA"),"LABORABLE")&amp;IF(F634="SÍ"," + CIERRE","")</x:f>
        <x:v>LABORABLE</x:v>
      </x:c>
      <x:c r="I634" t="str">
        <x:f>TEXT(G634,"yyyy-mm")</x:f>
        <x:v>2026-09</x:v>
      </x:c>
    </x:row>
    <x:row r="635" ht="19" customHeight="1">
      <x:c r="A635" s="2" t="n">
        <x:v>46291</x:v>
      </x:c>
      <x:c r="B635" t="str">
        <x:f>CHOOSE(WEEKDAY(A635,2),"Lunes","Martes","Miércoles","Jueves","Viernes","Sábado","Domingo")</x:f>
        <x:v>Sábado</x:v>
      </x:c>
      <x:c r="C635" t="str">
        <x:f>IF(COUNTIF(FERIADOS!$A$2:$A$250,A635)&gt;0,"SÍ","NO")</x:f>
        <x:v>NO</x:v>
      </x:c>
      <x:c r="D635" t="str">
        <x:f>IF(AND(WEEKDAY(A635,2)&lt;=5,C635="NO"),"SÍ","NO")</x:f>
        <x:v>NO</x:v>
      </x:c>
      <x:c r="E635" s="2" t="n">
        <x:f>WORKDAY.INTL(A635-1,1,1,FERIADOS!$A$2:$A$250)</x:f>
        <x:v>46293</x:v>
      </x:c>
      <x:c r="F635" t="str">
        <x:f>IF(E635&gt;=WORKDAY.INTL(EOMONTH(E635,0)+1,-2,1,FERIADOS!$A$2:$A$250),"SÍ","NO")</x:f>
        <x:v>NO</x:v>
      </x:c>
      <x:c r="G635" s="10" t="n">
        <x:f>IF(F635="SÍ",EOMONTH(E635,0)+1,DATE(YEAR(E635),MONTH(E635),1))</x:f>
        <x:v>46266</x:v>
      </x:c>
      <x:c r="H635" t="str">
        <x:f>IF(D635="NO",IF(C635="SÍ","FERIADO","FIN DE SEMANA"),"LABORABLE")&amp;IF(F635="SÍ"," + CIERRE","")</x:f>
        <x:v>FIN DE SEMANA</x:v>
      </x:c>
      <x:c r="I635" t="str">
        <x:f>TEXT(G635,"yyyy-mm")</x:f>
        <x:v>2026-09</x:v>
      </x:c>
    </x:row>
    <x:row r="636" ht="19" customHeight="1">
      <x:c r="A636" s="2" t="n">
        <x:v>46292</x:v>
      </x:c>
      <x:c r="B636" t="str">
        <x:f>CHOOSE(WEEKDAY(A636,2),"Lunes","Martes","Miércoles","Jueves","Viernes","Sábado","Domingo")</x:f>
        <x:v>Domingo</x:v>
      </x:c>
      <x:c r="C636" t="str">
        <x:f>IF(COUNTIF(FERIADOS!$A$2:$A$250,A636)&gt;0,"SÍ","NO")</x:f>
        <x:v>NO</x:v>
      </x:c>
      <x:c r="D636" t="str">
        <x:f>IF(AND(WEEKDAY(A636,2)&lt;=5,C636="NO"),"SÍ","NO")</x:f>
        <x:v>NO</x:v>
      </x:c>
      <x:c r="E636" s="2" t="n">
        <x:f>WORKDAY.INTL(A636-1,1,1,FERIADOS!$A$2:$A$250)</x:f>
        <x:v>46293</x:v>
      </x:c>
      <x:c r="F636" t="str">
        <x:f>IF(E636&gt;=WORKDAY.INTL(EOMONTH(E636,0)+1,-2,1,FERIADOS!$A$2:$A$250),"SÍ","NO")</x:f>
        <x:v>NO</x:v>
      </x:c>
      <x:c r="G636" s="10" t="n">
        <x:f>IF(F636="SÍ",EOMONTH(E636,0)+1,DATE(YEAR(E636),MONTH(E636),1))</x:f>
        <x:v>46266</x:v>
      </x:c>
      <x:c r="H636" t="str">
        <x:f>IF(D636="NO",IF(C636="SÍ","FERIADO","FIN DE SEMANA"),"LABORABLE")&amp;IF(F636="SÍ"," + CIERRE","")</x:f>
        <x:v>FIN DE SEMANA</x:v>
      </x:c>
      <x:c r="I636" t="str">
        <x:f>TEXT(G636,"yyyy-mm")</x:f>
        <x:v>2026-09</x:v>
      </x:c>
    </x:row>
    <x:row r="637" ht="19" customHeight="1">
      <x:c r="A637" s="2" t="n">
        <x:v>46293</x:v>
      </x:c>
      <x:c r="B637" t="str">
        <x:f>CHOOSE(WEEKDAY(A637,2),"Lunes","Martes","Miércoles","Jueves","Viernes","Sábado","Domingo")</x:f>
        <x:v>Lunes</x:v>
      </x:c>
      <x:c r="C637" t="str">
        <x:f>IF(COUNTIF(FERIADOS!$A$2:$A$250,A637)&gt;0,"SÍ","NO")</x:f>
        <x:v>NO</x:v>
      </x:c>
      <x:c r="D637" t="str">
        <x:f>IF(AND(WEEKDAY(A637,2)&lt;=5,C637="NO"),"SÍ","NO")</x:f>
        <x:v>SÍ</x:v>
      </x:c>
      <x:c r="E637" s="2" t="n">
        <x:f>WORKDAY.INTL(A637-1,1,1,FERIADOS!$A$2:$A$250)</x:f>
        <x:v>46293</x:v>
      </x:c>
      <x:c r="F637" t="str">
        <x:f>IF(E637&gt;=WORKDAY.INTL(EOMONTH(E637,0)+1,-2,1,FERIADOS!$A$2:$A$250),"SÍ","NO")</x:f>
        <x:v>NO</x:v>
      </x:c>
      <x:c r="G637" s="10" t="n">
        <x:f>IF(F637="SÍ",EOMONTH(E637,0)+1,DATE(YEAR(E637),MONTH(E637),1))</x:f>
        <x:v>46266</x:v>
      </x:c>
      <x:c r="H637" t="str">
        <x:f>IF(D637="NO",IF(C637="SÍ","FERIADO","FIN DE SEMANA"),"LABORABLE")&amp;IF(F637="SÍ"," + CIERRE","")</x:f>
        <x:v>LABORABLE</x:v>
      </x:c>
      <x:c r="I637" t="str">
        <x:f>TEXT(G637,"yyyy-mm")</x:f>
        <x:v>2026-09</x:v>
      </x:c>
    </x:row>
    <x:row r="638" ht="19" customHeight="1">
      <x:c r="A638" s="2" t="n">
        <x:v>46294</x:v>
      </x:c>
      <x:c r="B638" t="str">
        <x:f>CHOOSE(WEEKDAY(A638,2),"Lunes","Martes","Miércoles","Jueves","Viernes","Sábado","Domingo")</x:f>
        <x:v>Martes</x:v>
      </x:c>
      <x:c r="C638" t="str">
        <x:f>IF(COUNTIF(FERIADOS!$A$2:$A$250,A638)&gt;0,"SÍ","NO")</x:f>
        <x:v>NO</x:v>
      </x:c>
      <x:c r="D638" t="str">
        <x:f>IF(AND(WEEKDAY(A638,2)&lt;=5,C638="NO"),"SÍ","NO")</x:f>
        <x:v>SÍ</x:v>
      </x:c>
      <x:c r="E638" s="2" t="n">
        <x:f>WORKDAY.INTL(A638-1,1,1,FERIADOS!$A$2:$A$250)</x:f>
        <x:v>46294</x:v>
      </x:c>
      <x:c r="F638" t="str">
        <x:f>IF(E638&gt;=WORKDAY.INTL(EOMONTH(E638,0)+1,-2,1,FERIADOS!$A$2:$A$250),"SÍ","NO")</x:f>
        <x:v>SÍ</x:v>
      </x:c>
      <x:c r="G638" s="10" t="n">
        <x:f>IF(F638="SÍ",EOMONTH(E638,0)+1,DATE(YEAR(E638),MONTH(E638),1))</x:f>
        <x:v>46296</x:v>
      </x:c>
      <x:c r="H638" t="str">
        <x:f>IF(D638="NO",IF(C638="SÍ","FERIADO","FIN DE SEMANA"),"LABORABLE")&amp;IF(F638="SÍ"," + CIERRE","")</x:f>
        <x:v>LABORABLE + CIERRE</x:v>
      </x:c>
      <x:c r="I638" t="str">
        <x:f>TEXT(G638,"yyyy-mm")</x:f>
        <x:v>2026-10</x:v>
      </x:c>
    </x:row>
    <x:row r="639" ht="19" customHeight="1">
      <x:c r="A639" s="2" t="n">
        <x:v>46295</x:v>
      </x:c>
      <x:c r="B639" t="str">
        <x:f>CHOOSE(WEEKDAY(A639,2),"Lunes","Martes","Miércoles","Jueves","Viernes","Sábado","Domingo")</x:f>
        <x:v>Miércoles</x:v>
      </x:c>
      <x:c r="C639" t="str">
        <x:f>IF(COUNTIF(FERIADOS!$A$2:$A$250,A639)&gt;0,"SÍ","NO")</x:f>
        <x:v>NO</x:v>
      </x:c>
      <x:c r="D639" t="str">
        <x:f>IF(AND(WEEKDAY(A639,2)&lt;=5,C639="NO"),"SÍ","NO")</x:f>
        <x:v>SÍ</x:v>
      </x:c>
      <x:c r="E639" s="2" t="n">
        <x:f>WORKDAY.INTL(A639-1,1,1,FERIADOS!$A$2:$A$250)</x:f>
        <x:v>46295</x:v>
      </x:c>
      <x:c r="F639" t="str">
        <x:f>IF(E639&gt;=WORKDAY.INTL(EOMONTH(E639,0)+1,-2,1,FERIADOS!$A$2:$A$250),"SÍ","NO")</x:f>
        <x:v>SÍ</x:v>
      </x:c>
      <x:c r="G639" s="10" t="n">
        <x:f>IF(F639="SÍ",EOMONTH(E639,0)+1,DATE(YEAR(E639),MONTH(E639),1))</x:f>
        <x:v>46296</x:v>
      </x:c>
      <x:c r="H639" t="str">
        <x:f>IF(D639="NO",IF(C639="SÍ","FERIADO","FIN DE SEMANA"),"LABORABLE")&amp;IF(F639="SÍ"," + CIERRE","")</x:f>
        <x:v>LABORABLE + CIERRE</x:v>
      </x:c>
      <x:c r="I639" t="str">
        <x:f>TEXT(G639,"yyyy-mm")</x:f>
        <x:v>2026-10</x:v>
      </x:c>
    </x:row>
    <x:row r="640" ht="19" customHeight="1">
      <x:c r="A640" s="2" t="n">
        <x:v>46296</x:v>
      </x:c>
      <x:c r="B640" t="str">
        <x:f>CHOOSE(WEEKDAY(A640,2),"Lunes","Martes","Miércoles","Jueves","Viernes","Sábado","Domingo")</x:f>
        <x:v>Jueves</x:v>
      </x:c>
      <x:c r="C640" t="str">
        <x:f>IF(COUNTIF(FERIADOS!$A$2:$A$250,A640)&gt;0,"SÍ","NO")</x:f>
        <x:v>NO</x:v>
      </x:c>
      <x:c r="D640" t="str">
        <x:f>IF(AND(WEEKDAY(A640,2)&lt;=5,C640="NO"),"SÍ","NO")</x:f>
        <x:v>SÍ</x:v>
      </x:c>
      <x:c r="E640" s="2" t="n">
        <x:f>WORKDAY.INTL(A640-1,1,1,FERIADOS!$A$2:$A$250)</x:f>
        <x:v>46296</x:v>
      </x:c>
      <x:c r="F640" t="str">
        <x:f>IF(E640&gt;=WORKDAY.INTL(EOMONTH(E640,0)+1,-2,1,FERIADOS!$A$2:$A$250),"SÍ","NO")</x:f>
        <x:v>NO</x:v>
      </x:c>
      <x:c r="G640" s="10" t="n">
        <x:f>IF(F640="SÍ",EOMONTH(E640,0)+1,DATE(YEAR(E640),MONTH(E640),1))</x:f>
        <x:v>46296</x:v>
      </x:c>
      <x:c r="H640" t="str">
        <x:f>IF(D640="NO",IF(C640="SÍ","FERIADO","FIN DE SEMANA"),"LABORABLE")&amp;IF(F640="SÍ"," + CIERRE","")</x:f>
        <x:v>LABORABLE</x:v>
      </x:c>
      <x:c r="I640" t="str">
        <x:f>TEXT(G640,"yyyy-mm")</x:f>
        <x:v>2026-10</x:v>
      </x:c>
    </x:row>
    <x:row r="641" ht="19" customHeight="1">
      <x:c r="A641" s="2" t="n">
        <x:v>46297</x:v>
      </x:c>
      <x:c r="B641" t="str">
        <x:f>CHOOSE(WEEKDAY(A641,2),"Lunes","Martes","Miércoles","Jueves","Viernes","Sábado","Domingo")</x:f>
        <x:v>Viernes</x:v>
      </x:c>
      <x:c r="C641" t="str">
        <x:f>IF(COUNTIF(FERIADOS!$A$2:$A$250,A641)&gt;0,"SÍ","NO")</x:f>
        <x:v>NO</x:v>
      </x:c>
      <x:c r="D641" t="str">
        <x:f>IF(AND(WEEKDAY(A641,2)&lt;=5,C641="NO"),"SÍ","NO")</x:f>
        <x:v>SÍ</x:v>
      </x:c>
      <x:c r="E641" s="2" t="n">
        <x:f>WORKDAY.INTL(A641-1,1,1,FERIADOS!$A$2:$A$250)</x:f>
        <x:v>46297</x:v>
      </x:c>
      <x:c r="F641" t="str">
        <x:f>IF(E641&gt;=WORKDAY.INTL(EOMONTH(E641,0)+1,-2,1,FERIADOS!$A$2:$A$250),"SÍ","NO")</x:f>
        <x:v>NO</x:v>
      </x:c>
      <x:c r="G641" s="10" t="n">
        <x:f>IF(F641="SÍ",EOMONTH(E641,0)+1,DATE(YEAR(E641),MONTH(E641),1))</x:f>
        <x:v>46296</x:v>
      </x:c>
      <x:c r="H641" t="str">
        <x:f>IF(D641="NO",IF(C641="SÍ","FERIADO","FIN DE SEMANA"),"LABORABLE")&amp;IF(F641="SÍ"," + CIERRE","")</x:f>
        <x:v>LABORABLE</x:v>
      </x:c>
      <x:c r="I641" t="str">
        <x:f>TEXT(G641,"yyyy-mm")</x:f>
        <x:v>2026-10</x:v>
      </x:c>
    </x:row>
    <x:row r="642" ht="19" customHeight="1">
      <x:c r="A642" s="2" t="n">
        <x:v>46298</x:v>
      </x:c>
      <x:c r="B642" t="str">
        <x:f>CHOOSE(WEEKDAY(A642,2),"Lunes","Martes","Miércoles","Jueves","Viernes","Sábado","Domingo")</x:f>
        <x:v>Sábado</x:v>
      </x:c>
      <x:c r="C642" t="str">
        <x:f>IF(COUNTIF(FERIADOS!$A$2:$A$250,A642)&gt;0,"SÍ","NO")</x:f>
        <x:v>NO</x:v>
      </x:c>
      <x:c r="D642" t="str">
        <x:f>IF(AND(WEEKDAY(A642,2)&lt;=5,C642="NO"),"SÍ","NO")</x:f>
        <x:v>NO</x:v>
      </x:c>
      <x:c r="E642" s="2" t="n">
        <x:f>WORKDAY.INTL(A642-1,1,1,FERIADOS!$A$2:$A$250)</x:f>
        <x:v>46300</x:v>
      </x:c>
      <x:c r="F642" t="str">
        <x:f>IF(E642&gt;=WORKDAY.INTL(EOMONTH(E642,0)+1,-2,1,FERIADOS!$A$2:$A$250),"SÍ","NO")</x:f>
        <x:v>NO</x:v>
      </x:c>
      <x:c r="G642" s="10" t="n">
        <x:f>IF(F642="SÍ",EOMONTH(E642,0)+1,DATE(YEAR(E642),MONTH(E642),1))</x:f>
        <x:v>46296</x:v>
      </x:c>
      <x:c r="H642" t="str">
        <x:f>IF(D642="NO",IF(C642="SÍ","FERIADO","FIN DE SEMANA"),"LABORABLE")&amp;IF(F642="SÍ"," + CIERRE","")</x:f>
        <x:v>FIN DE SEMANA</x:v>
      </x:c>
      <x:c r="I642" t="str">
        <x:f>TEXT(G642,"yyyy-mm")</x:f>
        <x:v>2026-10</x:v>
      </x:c>
    </x:row>
    <x:row r="643" ht="19" customHeight="1">
      <x:c r="A643" s="2" t="n">
        <x:v>46299</x:v>
      </x:c>
      <x:c r="B643" t="str">
        <x:f>CHOOSE(WEEKDAY(A643,2),"Lunes","Martes","Miércoles","Jueves","Viernes","Sábado","Domingo")</x:f>
        <x:v>Domingo</x:v>
      </x:c>
      <x:c r="C643" t="str">
        <x:f>IF(COUNTIF(FERIADOS!$A$2:$A$250,A643)&gt;0,"SÍ","NO")</x:f>
        <x:v>NO</x:v>
      </x:c>
      <x:c r="D643" t="str">
        <x:f>IF(AND(WEEKDAY(A643,2)&lt;=5,C643="NO"),"SÍ","NO")</x:f>
        <x:v>NO</x:v>
      </x:c>
      <x:c r="E643" s="2" t="n">
        <x:f>WORKDAY.INTL(A643-1,1,1,FERIADOS!$A$2:$A$250)</x:f>
        <x:v>46300</x:v>
      </x:c>
      <x:c r="F643" t="str">
        <x:f>IF(E643&gt;=WORKDAY.INTL(EOMONTH(E643,0)+1,-2,1,FERIADOS!$A$2:$A$250),"SÍ","NO")</x:f>
        <x:v>NO</x:v>
      </x:c>
      <x:c r="G643" s="10" t="n">
        <x:f>IF(F643="SÍ",EOMONTH(E643,0)+1,DATE(YEAR(E643),MONTH(E643),1))</x:f>
        <x:v>46296</x:v>
      </x:c>
      <x:c r="H643" t="str">
        <x:f>IF(D643="NO",IF(C643="SÍ","FERIADO","FIN DE SEMANA"),"LABORABLE")&amp;IF(F643="SÍ"," + CIERRE","")</x:f>
        <x:v>FIN DE SEMANA</x:v>
      </x:c>
      <x:c r="I643" t="str">
        <x:f>TEXT(G643,"yyyy-mm")</x:f>
        <x:v>2026-10</x:v>
      </x:c>
    </x:row>
    <x:row r="644" ht="19" customHeight="1">
      <x:c r="A644" s="2" t="n">
        <x:v>46300</x:v>
      </x:c>
      <x:c r="B644" t="str">
        <x:f>CHOOSE(WEEKDAY(A644,2),"Lunes","Martes","Miércoles","Jueves","Viernes","Sábado","Domingo")</x:f>
        <x:v>Lunes</x:v>
      </x:c>
      <x:c r="C644" t="str">
        <x:f>IF(COUNTIF(FERIADOS!$A$2:$A$250,A644)&gt;0,"SÍ","NO")</x:f>
        <x:v>NO</x:v>
      </x:c>
      <x:c r="D644" t="str">
        <x:f>IF(AND(WEEKDAY(A644,2)&lt;=5,C644="NO"),"SÍ","NO")</x:f>
        <x:v>SÍ</x:v>
      </x:c>
      <x:c r="E644" s="2" t="n">
        <x:f>WORKDAY.INTL(A644-1,1,1,FERIADOS!$A$2:$A$250)</x:f>
        <x:v>46300</x:v>
      </x:c>
      <x:c r="F644" t="str">
        <x:f>IF(E644&gt;=WORKDAY.INTL(EOMONTH(E644,0)+1,-2,1,FERIADOS!$A$2:$A$250),"SÍ","NO")</x:f>
        <x:v>NO</x:v>
      </x:c>
      <x:c r="G644" s="10" t="n">
        <x:f>IF(F644="SÍ",EOMONTH(E644,0)+1,DATE(YEAR(E644),MONTH(E644),1))</x:f>
        <x:v>46296</x:v>
      </x:c>
      <x:c r="H644" t="str">
        <x:f>IF(D644="NO",IF(C644="SÍ","FERIADO","FIN DE SEMANA"),"LABORABLE")&amp;IF(F644="SÍ"," + CIERRE","")</x:f>
        <x:v>LABORABLE</x:v>
      </x:c>
      <x:c r="I644" t="str">
        <x:f>TEXT(G644,"yyyy-mm")</x:f>
        <x:v>2026-10</x:v>
      </x:c>
    </x:row>
    <x:row r="645" ht="19" customHeight="1">
      <x:c r="A645" s="2" t="n">
        <x:v>46301</x:v>
      </x:c>
      <x:c r="B645" t="str">
        <x:f>CHOOSE(WEEKDAY(A645,2),"Lunes","Martes","Miércoles","Jueves","Viernes","Sábado","Domingo")</x:f>
        <x:v>Martes</x:v>
      </x:c>
      <x:c r="C645" t="str">
        <x:f>IF(COUNTIF(FERIADOS!$A$2:$A$250,A645)&gt;0,"SÍ","NO")</x:f>
        <x:v>NO</x:v>
      </x:c>
      <x:c r="D645" t="str">
        <x:f>IF(AND(WEEKDAY(A645,2)&lt;=5,C645="NO"),"SÍ","NO")</x:f>
        <x:v>SÍ</x:v>
      </x:c>
      <x:c r="E645" s="2" t="n">
        <x:f>WORKDAY.INTL(A645-1,1,1,FERIADOS!$A$2:$A$250)</x:f>
        <x:v>46301</x:v>
      </x:c>
      <x:c r="F645" t="str">
        <x:f>IF(E645&gt;=WORKDAY.INTL(EOMONTH(E645,0)+1,-2,1,FERIADOS!$A$2:$A$250),"SÍ","NO")</x:f>
        <x:v>NO</x:v>
      </x:c>
      <x:c r="G645" s="10" t="n">
        <x:f>IF(F645="SÍ",EOMONTH(E645,0)+1,DATE(YEAR(E645),MONTH(E645),1))</x:f>
        <x:v>46296</x:v>
      </x:c>
      <x:c r="H645" t="str">
        <x:f>IF(D645="NO",IF(C645="SÍ","FERIADO","FIN DE SEMANA"),"LABORABLE")&amp;IF(F645="SÍ"," + CIERRE","")</x:f>
        <x:v>LABORABLE</x:v>
      </x:c>
      <x:c r="I645" t="str">
        <x:f>TEXT(G645,"yyyy-mm")</x:f>
        <x:v>2026-10</x:v>
      </x:c>
    </x:row>
    <x:row r="646" ht="19" customHeight="1">
      <x:c r="A646" s="2" t="n">
        <x:v>46302</x:v>
      </x:c>
      <x:c r="B646" t="str">
        <x:f>CHOOSE(WEEKDAY(A646,2),"Lunes","Martes","Miércoles","Jueves","Viernes","Sábado","Domingo")</x:f>
        <x:v>Miércoles</x:v>
      </x:c>
      <x:c r="C646" t="str">
        <x:f>IF(COUNTIF(FERIADOS!$A$2:$A$250,A646)&gt;0,"SÍ","NO")</x:f>
        <x:v>NO</x:v>
      </x:c>
      <x:c r="D646" t="str">
        <x:f>IF(AND(WEEKDAY(A646,2)&lt;=5,C646="NO"),"SÍ","NO")</x:f>
        <x:v>SÍ</x:v>
      </x:c>
      <x:c r="E646" s="2" t="n">
        <x:f>WORKDAY.INTL(A646-1,1,1,FERIADOS!$A$2:$A$250)</x:f>
        <x:v>46302</x:v>
      </x:c>
      <x:c r="F646" t="str">
        <x:f>IF(E646&gt;=WORKDAY.INTL(EOMONTH(E646,0)+1,-2,1,FERIADOS!$A$2:$A$250),"SÍ","NO")</x:f>
        <x:v>NO</x:v>
      </x:c>
      <x:c r="G646" s="10" t="n">
        <x:f>IF(F646="SÍ",EOMONTH(E646,0)+1,DATE(YEAR(E646),MONTH(E646),1))</x:f>
        <x:v>46296</x:v>
      </x:c>
      <x:c r="H646" t="str">
        <x:f>IF(D646="NO",IF(C646="SÍ","FERIADO","FIN DE SEMANA"),"LABORABLE")&amp;IF(F646="SÍ"," + CIERRE","")</x:f>
        <x:v>LABORABLE</x:v>
      </x:c>
      <x:c r="I646" t="str">
        <x:f>TEXT(G646,"yyyy-mm")</x:f>
        <x:v>2026-10</x:v>
      </x:c>
    </x:row>
    <x:row r="647" ht="19" customHeight="1">
      <x:c r="A647" s="2" t="n">
        <x:v>46303</x:v>
      </x:c>
      <x:c r="B647" t="str">
        <x:f>CHOOSE(WEEKDAY(A647,2),"Lunes","Martes","Miércoles","Jueves","Viernes","Sábado","Domingo")</x:f>
        <x:v>Jueves</x:v>
      </x:c>
      <x:c r="C647" t="str">
        <x:f>IF(COUNTIF(FERIADOS!$A$2:$A$250,A647)&gt;0,"SÍ","NO")</x:f>
        <x:v>NO</x:v>
      </x:c>
      <x:c r="D647" t="str">
        <x:f>IF(AND(WEEKDAY(A647,2)&lt;=5,C647="NO"),"SÍ","NO")</x:f>
        <x:v>SÍ</x:v>
      </x:c>
      <x:c r="E647" s="2" t="n">
        <x:f>WORKDAY.INTL(A647-1,1,1,FERIADOS!$A$2:$A$250)</x:f>
        <x:v>46303</x:v>
      </x:c>
      <x:c r="F647" t="str">
        <x:f>IF(E647&gt;=WORKDAY.INTL(EOMONTH(E647,0)+1,-2,1,FERIADOS!$A$2:$A$250),"SÍ","NO")</x:f>
        <x:v>NO</x:v>
      </x:c>
      <x:c r="G647" s="10" t="n">
        <x:f>IF(F647="SÍ",EOMONTH(E647,0)+1,DATE(YEAR(E647),MONTH(E647),1))</x:f>
        <x:v>46296</x:v>
      </x:c>
      <x:c r="H647" t="str">
        <x:f>IF(D647="NO",IF(C647="SÍ","FERIADO","FIN DE SEMANA"),"LABORABLE")&amp;IF(F647="SÍ"," + CIERRE","")</x:f>
        <x:v>LABORABLE</x:v>
      </x:c>
      <x:c r="I647" t="str">
        <x:f>TEXT(G647,"yyyy-mm")</x:f>
        <x:v>2026-10</x:v>
      </x:c>
    </x:row>
    <x:row r="648" ht="19" customHeight="1">
      <x:c r="A648" s="2" t="n">
        <x:v>46304</x:v>
      </x:c>
      <x:c r="B648" t="str">
        <x:f>CHOOSE(WEEKDAY(A648,2),"Lunes","Martes","Miércoles","Jueves","Viernes","Sábado","Domingo")</x:f>
        <x:v>Viernes</x:v>
      </x:c>
      <x:c r="C648" t="str">
        <x:f>IF(COUNTIF(FERIADOS!$A$2:$A$250,A648)&gt;0,"SÍ","NO")</x:f>
        <x:v>SÍ</x:v>
      </x:c>
      <x:c r="D648" t="str">
        <x:f>IF(AND(WEEKDAY(A648,2)&lt;=5,C648="NO"),"SÍ","NO")</x:f>
        <x:v>NO</x:v>
      </x:c>
      <x:c r="E648" s="2" t="n">
        <x:f>WORKDAY.INTL(A648-1,1,1,FERIADOS!$A$2:$A$250)</x:f>
        <x:v>46307</x:v>
      </x:c>
      <x:c r="F648" t="str">
        <x:f>IF(E648&gt;=WORKDAY.INTL(EOMONTH(E648,0)+1,-2,1,FERIADOS!$A$2:$A$250),"SÍ","NO")</x:f>
        <x:v>NO</x:v>
      </x:c>
      <x:c r="G648" s="10" t="n">
        <x:f>IF(F648="SÍ",EOMONTH(E648,0)+1,DATE(YEAR(E648),MONTH(E648),1))</x:f>
        <x:v>46296</x:v>
      </x:c>
      <x:c r="H648" t="str">
        <x:f>IF(D648="NO",IF(C648="SÍ","FERIADO","FIN DE SEMANA"),"LABORABLE")&amp;IF(F648="SÍ"," + CIERRE","")</x:f>
        <x:v>FERIADO</x:v>
      </x:c>
      <x:c r="I648" t="str">
        <x:f>TEXT(G648,"yyyy-mm")</x:f>
        <x:v>2026-10</x:v>
      </x:c>
    </x:row>
    <x:row r="649" ht="19" customHeight="1">
      <x:c r="A649" s="2" t="n">
        <x:v>46305</x:v>
      </x:c>
      <x:c r="B649" t="str">
        <x:f>CHOOSE(WEEKDAY(A649,2),"Lunes","Martes","Miércoles","Jueves","Viernes","Sábado","Domingo")</x:f>
        <x:v>Sábado</x:v>
      </x:c>
      <x:c r="C649" t="str">
        <x:f>IF(COUNTIF(FERIADOS!$A$2:$A$250,A649)&gt;0,"SÍ","NO")</x:f>
        <x:v>NO</x:v>
      </x:c>
      <x:c r="D649" t="str">
        <x:f>IF(AND(WEEKDAY(A649,2)&lt;=5,C649="NO"),"SÍ","NO")</x:f>
        <x:v>NO</x:v>
      </x:c>
      <x:c r="E649" s="2" t="n">
        <x:f>WORKDAY.INTL(A649-1,1,1,FERIADOS!$A$2:$A$250)</x:f>
        <x:v>46307</x:v>
      </x:c>
      <x:c r="F649" t="str">
        <x:f>IF(E649&gt;=WORKDAY.INTL(EOMONTH(E649,0)+1,-2,1,FERIADOS!$A$2:$A$250),"SÍ","NO")</x:f>
        <x:v>NO</x:v>
      </x:c>
      <x:c r="G649" s="10" t="n">
        <x:f>IF(F649="SÍ",EOMONTH(E649,0)+1,DATE(YEAR(E649),MONTH(E649),1))</x:f>
        <x:v>46296</x:v>
      </x:c>
      <x:c r="H649" t="str">
        <x:f>IF(D649="NO",IF(C649="SÍ","FERIADO","FIN DE SEMANA"),"LABORABLE")&amp;IF(F649="SÍ"," + CIERRE","")</x:f>
        <x:v>FIN DE SEMANA</x:v>
      </x:c>
      <x:c r="I649" t="str">
        <x:f>TEXT(G649,"yyyy-mm")</x:f>
        <x:v>2026-10</x:v>
      </x:c>
    </x:row>
    <x:row r="650" ht="19" customHeight="1">
      <x:c r="A650" s="2" t="n">
        <x:v>46306</x:v>
      </x:c>
      <x:c r="B650" t="str">
        <x:f>CHOOSE(WEEKDAY(A650,2),"Lunes","Martes","Miércoles","Jueves","Viernes","Sábado","Domingo")</x:f>
        <x:v>Domingo</x:v>
      </x:c>
      <x:c r="C650" t="str">
        <x:f>IF(COUNTIF(FERIADOS!$A$2:$A$250,A650)&gt;0,"SÍ","NO")</x:f>
        <x:v>NO</x:v>
      </x:c>
      <x:c r="D650" t="str">
        <x:f>IF(AND(WEEKDAY(A650,2)&lt;=5,C650="NO"),"SÍ","NO")</x:f>
        <x:v>NO</x:v>
      </x:c>
      <x:c r="E650" s="2" t="n">
        <x:f>WORKDAY.INTL(A650-1,1,1,FERIADOS!$A$2:$A$250)</x:f>
        <x:v>46307</x:v>
      </x:c>
      <x:c r="F650" t="str">
        <x:f>IF(E650&gt;=WORKDAY.INTL(EOMONTH(E650,0)+1,-2,1,FERIADOS!$A$2:$A$250),"SÍ","NO")</x:f>
        <x:v>NO</x:v>
      </x:c>
      <x:c r="G650" s="10" t="n">
        <x:f>IF(F650="SÍ",EOMONTH(E650,0)+1,DATE(YEAR(E650),MONTH(E650),1))</x:f>
        <x:v>46296</x:v>
      </x:c>
      <x:c r="H650" t="str">
        <x:f>IF(D650="NO",IF(C650="SÍ","FERIADO","FIN DE SEMANA"),"LABORABLE")&amp;IF(F650="SÍ"," + CIERRE","")</x:f>
        <x:v>FIN DE SEMANA</x:v>
      </x:c>
      <x:c r="I650" t="str">
        <x:f>TEXT(G650,"yyyy-mm")</x:f>
        <x:v>2026-10</x:v>
      </x:c>
    </x:row>
    <x:row r="651" ht="19" customHeight="1">
      <x:c r="A651" s="2" t="n">
        <x:v>46307</x:v>
      </x:c>
      <x:c r="B651" t="str">
        <x:f>CHOOSE(WEEKDAY(A651,2),"Lunes","Martes","Miércoles","Jueves","Viernes","Sábado","Domingo")</x:f>
        <x:v>Lunes</x:v>
      </x:c>
      <x:c r="C651" t="str">
        <x:f>IF(COUNTIF(FERIADOS!$A$2:$A$250,A651)&gt;0,"SÍ","NO")</x:f>
        <x:v>NO</x:v>
      </x:c>
      <x:c r="D651" t="str">
        <x:f>IF(AND(WEEKDAY(A651,2)&lt;=5,C651="NO"),"SÍ","NO")</x:f>
        <x:v>SÍ</x:v>
      </x:c>
      <x:c r="E651" s="2" t="n">
        <x:f>WORKDAY.INTL(A651-1,1,1,FERIADOS!$A$2:$A$250)</x:f>
        <x:v>46307</x:v>
      </x:c>
      <x:c r="F651" t="str">
        <x:f>IF(E651&gt;=WORKDAY.INTL(EOMONTH(E651,0)+1,-2,1,FERIADOS!$A$2:$A$250),"SÍ","NO")</x:f>
        <x:v>NO</x:v>
      </x:c>
      <x:c r="G651" s="10" t="n">
        <x:f>IF(F651="SÍ",EOMONTH(E651,0)+1,DATE(YEAR(E651),MONTH(E651),1))</x:f>
        <x:v>46296</x:v>
      </x:c>
      <x:c r="H651" t="str">
        <x:f>IF(D651="NO",IF(C651="SÍ","FERIADO","FIN DE SEMANA"),"LABORABLE")&amp;IF(F651="SÍ"," + CIERRE","")</x:f>
        <x:v>LABORABLE</x:v>
      </x:c>
      <x:c r="I651" t="str">
        <x:f>TEXT(G651,"yyyy-mm")</x:f>
        <x:v>2026-10</x:v>
      </x:c>
    </x:row>
    <x:row r="652" ht="19" customHeight="1">
      <x:c r="A652" s="2" t="n">
        <x:v>46308</x:v>
      </x:c>
      <x:c r="B652" t="str">
        <x:f>CHOOSE(WEEKDAY(A652,2),"Lunes","Martes","Miércoles","Jueves","Viernes","Sábado","Domingo")</x:f>
        <x:v>Martes</x:v>
      </x:c>
      <x:c r="C652" t="str">
        <x:f>IF(COUNTIF(FERIADOS!$A$2:$A$250,A652)&gt;0,"SÍ","NO")</x:f>
        <x:v>NO</x:v>
      </x:c>
      <x:c r="D652" t="str">
        <x:f>IF(AND(WEEKDAY(A652,2)&lt;=5,C652="NO"),"SÍ","NO")</x:f>
        <x:v>SÍ</x:v>
      </x:c>
      <x:c r="E652" s="2" t="n">
        <x:f>WORKDAY.INTL(A652-1,1,1,FERIADOS!$A$2:$A$250)</x:f>
        <x:v>46308</x:v>
      </x:c>
      <x:c r="F652" t="str">
        <x:f>IF(E652&gt;=WORKDAY.INTL(EOMONTH(E652,0)+1,-2,1,FERIADOS!$A$2:$A$250),"SÍ","NO")</x:f>
        <x:v>NO</x:v>
      </x:c>
      <x:c r="G652" s="10" t="n">
        <x:f>IF(F652="SÍ",EOMONTH(E652,0)+1,DATE(YEAR(E652),MONTH(E652),1))</x:f>
        <x:v>46296</x:v>
      </x:c>
      <x:c r="H652" t="str">
        <x:f>IF(D652="NO",IF(C652="SÍ","FERIADO","FIN DE SEMANA"),"LABORABLE")&amp;IF(F652="SÍ"," + CIERRE","")</x:f>
        <x:v>LABORABLE</x:v>
      </x:c>
      <x:c r="I652" t="str">
        <x:f>TEXT(G652,"yyyy-mm")</x:f>
        <x:v>2026-10</x:v>
      </x:c>
    </x:row>
    <x:row r="653" ht="19" customHeight="1">
      <x:c r="A653" s="2" t="n">
        <x:v>46309</x:v>
      </x:c>
      <x:c r="B653" t="str">
        <x:f>CHOOSE(WEEKDAY(A653,2),"Lunes","Martes","Miércoles","Jueves","Viernes","Sábado","Domingo")</x:f>
        <x:v>Miércoles</x:v>
      </x:c>
      <x:c r="C653" t="str">
        <x:f>IF(COUNTIF(FERIADOS!$A$2:$A$250,A653)&gt;0,"SÍ","NO")</x:f>
        <x:v>NO</x:v>
      </x:c>
      <x:c r="D653" t="str">
        <x:f>IF(AND(WEEKDAY(A653,2)&lt;=5,C653="NO"),"SÍ","NO")</x:f>
        <x:v>SÍ</x:v>
      </x:c>
      <x:c r="E653" s="2" t="n">
        <x:f>WORKDAY.INTL(A653-1,1,1,FERIADOS!$A$2:$A$250)</x:f>
        <x:v>46309</x:v>
      </x:c>
      <x:c r="F653" t="str">
        <x:f>IF(E653&gt;=WORKDAY.INTL(EOMONTH(E653,0)+1,-2,1,FERIADOS!$A$2:$A$250),"SÍ","NO")</x:f>
        <x:v>NO</x:v>
      </x:c>
      <x:c r="G653" s="10" t="n">
        <x:f>IF(F653="SÍ",EOMONTH(E653,0)+1,DATE(YEAR(E653),MONTH(E653),1))</x:f>
        <x:v>46296</x:v>
      </x:c>
      <x:c r="H653" t="str">
        <x:f>IF(D653="NO",IF(C653="SÍ","FERIADO","FIN DE SEMANA"),"LABORABLE")&amp;IF(F653="SÍ"," + CIERRE","")</x:f>
        <x:v>LABORABLE</x:v>
      </x:c>
      <x:c r="I653" t="str">
        <x:f>TEXT(G653,"yyyy-mm")</x:f>
        <x:v>2026-10</x:v>
      </x:c>
    </x:row>
    <x:row r="654" ht="19" customHeight="1">
      <x:c r="A654" s="2" t="n">
        <x:v>46310</x:v>
      </x:c>
      <x:c r="B654" t="str">
        <x:f>CHOOSE(WEEKDAY(A654,2),"Lunes","Martes","Miércoles","Jueves","Viernes","Sábado","Domingo")</x:f>
        <x:v>Jueves</x:v>
      </x:c>
      <x:c r="C654" t="str">
        <x:f>IF(COUNTIF(FERIADOS!$A$2:$A$250,A654)&gt;0,"SÍ","NO")</x:f>
        <x:v>NO</x:v>
      </x:c>
      <x:c r="D654" t="str">
        <x:f>IF(AND(WEEKDAY(A654,2)&lt;=5,C654="NO"),"SÍ","NO")</x:f>
        <x:v>SÍ</x:v>
      </x:c>
      <x:c r="E654" s="2" t="n">
        <x:f>WORKDAY.INTL(A654-1,1,1,FERIADOS!$A$2:$A$250)</x:f>
        <x:v>46310</x:v>
      </x:c>
      <x:c r="F654" t="str">
        <x:f>IF(E654&gt;=WORKDAY.INTL(EOMONTH(E654,0)+1,-2,1,FERIADOS!$A$2:$A$250),"SÍ","NO")</x:f>
        <x:v>NO</x:v>
      </x:c>
      <x:c r="G654" s="10" t="n">
        <x:f>IF(F654="SÍ",EOMONTH(E654,0)+1,DATE(YEAR(E654),MONTH(E654),1))</x:f>
        <x:v>46296</x:v>
      </x:c>
      <x:c r="H654" t="str">
        <x:f>IF(D654="NO",IF(C654="SÍ","FERIADO","FIN DE SEMANA"),"LABORABLE")&amp;IF(F654="SÍ"," + CIERRE","")</x:f>
        <x:v>LABORABLE</x:v>
      </x:c>
      <x:c r="I654" t="str">
        <x:f>TEXT(G654,"yyyy-mm")</x:f>
        <x:v>2026-10</x:v>
      </x:c>
    </x:row>
    <x:row r="655" ht="19" customHeight="1">
      <x:c r="A655" s="2" t="n">
        <x:v>46311</x:v>
      </x:c>
      <x:c r="B655" t="str">
        <x:f>CHOOSE(WEEKDAY(A655,2),"Lunes","Martes","Miércoles","Jueves","Viernes","Sábado","Domingo")</x:f>
        <x:v>Viernes</x:v>
      </x:c>
      <x:c r="C655" t="str">
        <x:f>IF(COUNTIF(FERIADOS!$A$2:$A$250,A655)&gt;0,"SÍ","NO")</x:f>
        <x:v>NO</x:v>
      </x:c>
      <x:c r="D655" t="str">
        <x:f>IF(AND(WEEKDAY(A655,2)&lt;=5,C655="NO"),"SÍ","NO")</x:f>
        <x:v>SÍ</x:v>
      </x:c>
      <x:c r="E655" s="2" t="n">
        <x:f>WORKDAY.INTL(A655-1,1,1,FERIADOS!$A$2:$A$250)</x:f>
        <x:v>46311</x:v>
      </x:c>
      <x:c r="F655" t="str">
        <x:f>IF(E655&gt;=WORKDAY.INTL(EOMONTH(E655,0)+1,-2,1,FERIADOS!$A$2:$A$250),"SÍ","NO")</x:f>
        <x:v>NO</x:v>
      </x:c>
      <x:c r="G655" s="10" t="n">
        <x:f>IF(F655="SÍ",EOMONTH(E655,0)+1,DATE(YEAR(E655),MONTH(E655),1))</x:f>
        <x:v>46296</x:v>
      </x:c>
      <x:c r="H655" t="str">
        <x:f>IF(D655="NO",IF(C655="SÍ","FERIADO","FIN DE SEMANA"),"LABORABLE")&amp;IF(F655="SÍ"," + CIERRE","")</x:f>
        <x:v>LABORABLE</x:v>
      </x:c>
      <x:c r="I655" t="str">
        <x:f>TEXT(G655,"yyyy-mm")</x:f>
        <x:v>2026-10</x:v>
      </x:c>
    </x:row>
    <x:row r="656" ht="19" customHeight="1">
      <x:c r="A656" s="2" t="n">
        <x:v>46312</x:v>
      </x:c>
      <x:c r="B656" t="str">
        <x:f>CHOOSE(WEEKDAY(A656,2),"Lunes","Martes","Miércoles","Jueves","Viernes","Sábado","Domingo")</x:f>
        <x:v>Sábado</x:v>
      </x:c>
      <x:c r="C656" t="str">
        <x:f>IF(COUNTIF(FERIADOS!$A$2:$A$250,A656)&gt;0,"SÍ","NO")</x:f>
        <x:v>NO</x:v>
      </x:c>
      <x:c r="D656" t="str">
        <x:f>IF(AND(WEEKDAY(A656,2)&lt;=5,C656="NO"),"SÍ","NO")</x:f>
        <x:v>NO</x:v>
      </x:c>
      <x:c r="E656" s="2" t="n">
        <x:f>WORKDAY.INTL(A656-1,1,1,FERIADOS!$A$2:$A$250)</x:f>
        <x:v>46314</x:v>
      </x:c>
      <x:c r="F656" t="str">
        <x:f>IF(E656&gt;=WORKDAY.INTL(EOMONTH(E656,0)+1,-2,1,FERIADOS!$A$2:$A$250),"SÍ","NO")</x:f>
        <x:v>NO</x:v>
      </x:c>
      <x:c r="G656" s="10" t="n">
        <x:f>IF(F656="SÍ",EOMONTH(E656,0)+1,DATE(YEAR(E656),MONTH(E656),1))</x:f>
        <x:v>46296</x:v>
      </x:c>
      <x:c r="H656" t="str">
        <x:f>IF(D656="NO",IF(C656="SÍ","FERIADO","FIN DE SEMANA"),"LABORABLE")&amp;IF(F656="SÍ"," + CIERRE","")</x:f>
        <x:v>FIN DE SEMANA</x:v>
      </x:c>
      <x:c r="I656" t="str">
        <x:f>TEXT(G656,"yyyy-mm")</x:f>
        <x:v>2026-10</x:v>
      </x:c>
    </x:row>
    <x:row r="657" ht="19" customHeight="1">
      <x:c r="A657" s="2" t="n">
        <x:v>46313</x:v>
      </x:c>
      <x:c r="B657" t="str">
        <x:f>CHOOSE(WEEKDAY(A657,2),"Lunes","Martes","Miércoles","Jueves","Viernes","Sábado","Domingo")</x:f>
        <x:v>Domingo</x:v>
      </x:c>
      <x:c r="C657" t="str">
        <x:f>IF(COUNTIF(FERIADOS!$A$2:$A$250,A657)&gt;0,"SÍ","NO")</x:f>
        <x:v>NO</x:v>
      </x:c>
      <x:c r="D657" t="str">
        <x:f>IF(AND(WEEKDAY(A657,2)&lt;=5,C657="NO"),"SÍ","NO")</x:f>
        <x:v>NO</x:v>
      </x:c>
      <x:c r="E657" s="2" t="n">
        <x:f>WORKDAY.INTL(A657-1,1,1,FERIADOS!$A$2:$A$250)</x:f>
        <x:v>46314</x:v>
      </x:c>
      <x:c r="F657" t="str">
        <x:f>IF(E657&gt;=WORKDAY.INTL(EOMONTH(E657,0)+1,-2,1,FERIADOS!$A$2:$A$250),"SÍ","NO")</x:f>
        <x:v>NO</x:v>
      </x:c>
      <x:c r="G657" s="10" t="n">
        <x:f>IF(F657="SÍ",EOMONTH(E657,0)+1,DATE(YEAR(E657),MONTH(E657),1))</x:f>
        <x:v>46296</x:v>
      </x:c>
      <x:c r="H657" t="str">
        <x:f>IF(D657="NO",IF(C657="SÍ","FERIADO","FIN DE SEMANA"),"LABORABLE")&amp;IF(F657="SÍ"," + CIERRE","")</x:f>
        <x:v>FIN DE SEMANA</x:v>
      </x:c>
      <x:c r="I657" t="str">
        <x:f>TEXT(G657,"yyyy-mm")</x:f>
        <x:v>2026-10</x:v>
      </x:c>
    </x:row>
    <x:row r="658" ht="19" customHeight="1">
      <x:c r="A658" s="2" t="n">
        <x:v>46314</x:v>
      </x:c>
      <x:c r="B658" t="str">
        <x:f>CHOOSE(WEEKDAY(A658,2),"Lunes","Martes","Miércoles","Jueves","Viernes","Sábado","Domingo")</x:f>
        <x:v>Lunes</x:v>
      </x:c>
      <x:c r="C658" t="str">
        <x:f>IF(COUNTIF(FERIADOS!$A$2:$A$250,A658)&gt;0,"SÍ","NO")</x:f>
        <x:v>NO</x:v>
      </x:c>
      <x:c r="D658" t="str">
        <x:f>IF(AND(WEEKDAY(A658,2)&lt;=5,C658="NO"),"SÍ","NO")</x:f>
        <x:v>SÍ</x:v>
      </x:c>
      <x:c r="E658" s="2" t="n">
        <x:f>WORKDAY.INTL(A658-1,1,1,FERIADOS!$A$2:$A$250)</x:f>
        <x:v>46314</x:v>
      </x:c>
      <x:c r="F658" t="str">
        <x:f>IF(E658&gt;=WORKDAY.INTL(EOMONTH(E658,0)+1,-2,1,FERIADOS!$A$2:$A$250),"SÍ","NO")</x:f>
        <x:v>NO</x:v>
      </x:c>
      <x:c r="G658" s="10" t="n">
        <x:f>IF(F658="SÍ",EOMONTH(E658,0)+1,DATE(YEAR(E658),MONTH(E658),1))</x:f>
        <x:v>46296</x:v>
      </x:c>
      <x:c r="H658" t="str">
        <x:f>IF(D658="NO",IF(C658="SÍ","FERIADO","FIN DE SEMANA"),"LABORABLE")&amp;IF(F658="SÍ"," + CIERRE","")</x:f>
        <x:v>LABORABLE</x:v>
      </x:c>
      <x:c r="I658" t="str">
        <x:f>TEXT(G658,"yyyy-mm")</x:f>
        <x:v>2026-10</x:v>
      </x:c>
    </x:row>
    <x:row r="659" ht="19" customHeight="1">
      <x:c r="A659" s="2" t="n">
        <x:v>46315</x:v>
      </x:c>
      <x:c r="B659" t="str">
        <x:f>CHOOSE(WEEKDAY(A659,2),"Lunes","Martes","Miércoles","Jueves","Viernes","Sábado","Domingo")</x:f>
        <x:v>Martes</x:v>
      </x:c>
      <x:c r="C659" t="str">
        <x:f>IF(COUNTIF(FERIADOS!$A$2:$A$250,A659)&gt;0,"SÍ","NO")</x:f>
        <x:v>NO</x:v>
      </x:c>
      <x:c r="D659" t="str">
        <x:f>IF(AND(WEEKDAY(A659,2)&lt;=5,C659="NO"),"SÍ","NO")</x:f>
        <x:v>SÍ</x:v>
      </x:c>
      <x:c r="E659" s="2" t="n">
        <x:f>WORKDAY.INTL(A659-1,1,1,FERIADOS!$A$2:$A$250)</x:f>
        <x:v>46315</x:v>
      </x:c>
      <x:c r="F659" t="str">
        <x:f>IF(E659&gt;=WORKDAY.INTL(EOMONTH(E659,0)+1,-2,1,FERIADOS!$A$2:$A$250),"SÍ","NO")</x:f>
        <x:v>NO</x:v>
      </x:c>
      <x:c r="G659" s="10" t="n">
        <x:f>IF(F659="SÍ",EOMONTH(E659,0)+1,DATE(YEAR(E659),MONTH(E659),1))</x:f>
        <x:v>46296</x:v>
      </x:c>
      <x:c r="H659" t="str">
        <x:f>IF(D659="NO",IF(C659="SÍ","FERIADO","FIN DE SEMANA"),"LABORABLE")&amp;IF(F659="SÍ"," + CIERRE","")</x:f>
        <x:v>LABORABLE</x:v>
      </x:c>
      <x:c r="I659" t="str">
        <x:f>TEXT(G659,"yyyy-mm")</x:f>
        <x:v>2026-10</x:v>
      </x:c>
    </x:row>
    <x:row r="660" ht="19" customHeight="1">
      <x:c r="A660" s="2" t="n">
        <x:v>46316</x:v>
      </x:c>
      <x:c r="B660" t="str">
        <x:f>CHOOSE(WEEKDAY(A660,2),"Lunes","Martes","Miércoles","Jueves","Viernes","Sábado","Domingo")</x:f>
        <x:v>Miércoles</x:v>
      </x:c>
      <x:c r="C660" t="str">
        <x:f>IF(COUNTIF(FERIADOS!$A$2:$A$250,A660)&gt;0,"SÍ","NO")</x:f>
        <x:v>NO</x:v>
      </x:c>
      <x:c r="D660" t="str">
        <x:f>IF(AND(WEEKDAY(A660,2)&lt;=5,C660="NO"),"SÍ","NO")</x:f>
        <x:v>SÍ</x:v>
      </x:c>
      <x:c r="E660" s="2" t="n">
        <x:f>WORKDAY.INTL(A660-1,1,1,FERIADOS!$A$2:$A$250)</x:f>
        <x:v>46316</x:v>
      </x:c>
      <x:c r="F660" t="str">
        <x:f>IF(E660&gt;=WORKDAY.INTL(EOMONTH(E660,0)+1,-2,1,FERIADOS!$A$2:$A$250),"SÍ","NO")</x:f>
        <x:v>NO</x:v>
      </x:c>
      <x:c r="G660" s="10" t="n">
        <x:f>IF(F660="SÍ",EOMONTH(E660,0)+1,DATE(YEAR(E660),MONTH(E660),1))</x:f>
        <x:v>46296</x:v>
      </x:c>
      <x:c r="H660" t="str">
        <x:f>IF(D660="NO",IF(C660="SÍ","FERIADO","FIN DE SEMANA"),"LABORABLE")&amp;IF(F660="SÍ"," + CIERRE","")</x:f>
        <x:v>LABORABLE</x:v>
      </x:c>
      <x:c r="I660" t="str">
        <x:f>TEXT(G660,"yyyy-mm")</x:f>
        <x:v>2026-10</x:v>
      </x:c>
    </x:row>
    <x:row r="661" ht="19" customHeight="1">
      <x:c r="A661" s="2" t="n">
        <x:v>46317</x:v>
      </x:c>
      <x:c r="B661" t="str">
        <x:f>CHOOSE(WEEKDAY(A661,2),"Lunes","Martes","Miércoles","Jueves","Viernes","Sábado","Domingo")</x:f>
        <x:v>Jueves</x:v>
      </x:c>
      <x:c r="C661" t="str">
        <x:f>IF(COUNTIF(FERIADOS!$A$2:$A$250,A661)&gt;0,"SÍ","NO")</x:f>
        <x:v>NO</x:v>
      </x:c>
      <x:c r="D661" t="str">
        <x:f>IF(AND(WEEKDAY(A661,2)&lt;=5,C661="NO"),"SÍ","NO")</x:f>
        <x:v>SÍ</x:v>
      </x:c>
      <x:c r="E661" s="2" t="n">
        <x:f>WORKDAY.INTL(A661-1,1,1,FERIADOS!$A$2:$A$250)</x:f>
        <x:v>46317</x:v>
      </x:c>
      <x:c r="F661" t="str">
        <x:f>IF(E661&gt;=WORKDAY.INTL(EOMONTH(E661,0)+1,-2,1,FERIADOS!$A$2:$A$250),"SÍ","NO")</x:f>
        <x:v>NO</x:v>
      </x:c>
      <x:c r="G661" s="10" t="n">
        <x:f>IF(F661="SÍ",EOMONTH(E661,0)+1,DATE(YEAR(E661),MONTH(E661),1))</x:f>
        <x:v>46296</x:v>
      </x:c>
      <x:c r="H661" t="str">
        <x:f>IF(D661="NO",IF(C661="SÍ","FERIADO","FIN DE SEMANA"),"LABORABLE")&amp;IF(F661="SÍ"," + CIERRE","")</x:f>
        <x:v>LABORABLE</x:v>
      </x:c>
      <x:c r="I661" t="str">
        <x:f>TEXT(G661,"yyyy-mm")</x:f>
        <x:v>2026-10</x:v>
      </x:c>
    </x:row>
    <x:row r="662" ht="19" customHeight="1">
      <x:c r="A662" s="2" t="n">
        <x:v>46318</x:v>
      </x:c>
      <x:c r="B662" t="str">
        <x:f>CHOOSE(WEEKDAY(A662,2),"Lunes","Martes","Miércoles","Jueves","Viernes","Sábado","Domingo")</x:f>
        <x:v>Viernes</x:v>
      </x:c>
      <x:c r="C662" t="str">
        <x:f>IF(COUNTIF(FERIADOS!$A$2:$A$250,A662)&gt;0,"SÍ","NO")</x:f>
        <x:v>NO</x:v>
      </x:c>
      <x:c r="D662" t="str">
        <x:f>IF(AND(WEEKDAY(A662,2)&lt;=5,C662="NO"),"SÍ","NO")</x:f>
        <x:v>SÍ</x:v>
      </x:c>
      <x:c r="E662" s="2" t="n">
        <x:f>WORKDAY.INTL(A662-1,1,1,FERIADOS!$A$2:$A$250)</x:f>
        <x:v>46318</x:v>
      </x:c>
      <x:c r="F662" t="str">
        <x:f>IF(E662&gt;=WORKDAY.INTL(EOMONTH(E662,0)+1,-2,1,FERIADOS!$A$2:$A$250),"SÍ","NO")</x:f>
        <x:v>NO</x:v>
      </x:c>
      <x:c r="G662" s="10" t="n">
        <x:f>IF(F662="SÍ",EOMONTH(E662,0)+1,DATE(YEAR(E662),MONTH(E662),1))</x:f>
        <x:v>46296</x:v>
      </x:c>
      <x:c r="H662" t="str">
        <x:f>IF(D662="NO",IF(C662="SÍ","FERIADO","FIN DE SEMANA"),"LABORABLE")&amp;IF(F662="SÍ"," + CIERRE","")</x:f>
        <x:v>LABORABLE</x:v>
      </x:c>
      <x:c r="I662" t="str">
        <x:f>TEXT(G662,"yyyy-mm")</x:f>
        <x:v>2026-10</x:v>
      </x:c>
    </x:row>
    <x:row r="663" ht="19" customHeight="1">
      <x:c r="A663" s="2" t="n">
        <x:v>46319</x:v>
      </x:c>
      <x:c r="B663" t="str">
        <x:f>CHOOSE(WEEKDAY(A663,2),"Lunes","Martes","Miércoles","Jueves","Viernes","Sábado","Domingo")</x:f>
        <x:v>Sábado</x:v>
      </x:c>
      <x:c r="C663" t="str">
        <x:f>IF(COUNTIF(FERIADOS!$A$2:$A$250,A663)&gt;0,"SÍ","NO")</x:f>
        <x:v>NO</x:v>
      </x:c>
      <x:c r="D663" t="str">
        <x:f>IF(AND(WEEKDAY(A663,2)&lt;=5,C663="NO"),"SÍ","NO")</x:f>
        <x:v>NO</x:v>
      </x:c>
      <x:c r="E663" s="2" t="n">
        <x:f>WORKDAY.INTL(A663-1,1,1,FERIADOS!$A$2:$A$250)</x:f>
        <x:v>46321</x:v>
      </x:c>
      <x:c r="F663" t="str">
        <x:f>IF(E663&gt;=WORKDAY.INTL(EOMONTH(E663,0)+1,-2,1,FERIADOS!$A$2:$A$250),"SÍ","NO")</x:f>
        <x:v>NO</x:v>
      </x:c>
      <x:c r="G663" s="10" t="n">
        <x:f>IF(F663="SÍ",EOMONTH(E663,0)+1,DATE(YEAR(E663),MONTH(E663),1))</x:f>
        <x:v>46296</x:v>
      </x:c>
      <x:c r="H663" t="str">
        <x:f>IF(D663="NO",IF(C663="SÍ","FERIADO","FIN DE SEMANA"),"LABORABLE")&amp;IF(F663="SÍ"," + CIERRE","")</x:f>
        <x:v>FIN DE SEMANA</x:v>
      </x:c>
      <x:c r="I663" t="str">
        <x:f>TEXT(G663,"yyyy-mm")</x:f>
        <x:v>2026-10</x:v>
      </x:c>
    </x:row>
    <x:row r="664" ht="19" customHeight="1">
      <x:c r="A664" s="2" t="n">
        <x:v>46320</x:v>
      </x:c>
      <x:c r="B664" t="str">
        <x:f>CHOOSE(WEEKDAY(A664,2),"Lunes","Martes","Miércoles","Jueves","Viernes","Sábado","Domingo")</x:f>
        <x:v>Domingo</x:v>
      </x:c>
      <x:c r="C664" t="str">
        <x:f>IF(COUNTIF(FERIADOS!$A$2:$A$250,A664)&gt;0,"SÍ","NO")</x:f>
        <x:v>NO</x:v>
      </x:c>
      <x:c r="D664" t="str">
        <x:f>IF(AND(WEEKDAY(A664,2)&lt;=5,C664="NO"),"SÍ","NO")</x:f>
        <x:v>NO</x:v>
      </x:c>
      <x:c r="E664" s="2" t="n">
        <x:f>WORKDAY.INTL(A664-1,1,1,FERIADOS!$A$2:$A$250)</x:f>
        <x:v>46321</x:v>
      </x:c>
      <x:c r="F664" t="str">
        <x:f>IF(E664&gt;=WORKDAY.INTL(EOMONTH(E664,0)+1,-2,1,FERIADOS!$A$2:$A$250),"SÍ","NO")</x:f>
        <x:v>NO</x:v>
      </x:c>
      <x:c r="G664" s="10" t="n">
        <x:f>IF(F664="SÍ",EOMONTH(E664,0)+1,DATE(YEAR(E664),MONTH(E664),1))</x:f>
        <x:v>46296</x:v>
      </x:c>
      <x:c r="H664" t="str">
        <x:f>IF(D664="NO",IF(C664="SÍ","FERIADO","FIN DE SEMANA"),"LABORABLE")&amp;IF(F664="SÍ"," + CIERRE","")</x:f>
        <x:v>FIN DE SEMANA</x:v>
      </x:c>
      <x:c r="I664" t="str">
        <x:f>TEXT(G664,"yyyy-mm")</x:f>
        <x:v>2026-10</x:v>
      </x:c>
    </x:row>
    <x:row r="665" ht="19" customHeight="1">
      <x:c r="A665" s="2" t="n">
        <x:v>46321</x:v>
      </x:c>
      <x:c r="B665" t="str">
        <x:f>CHOOSE(WEEKDAY(A665,2),"Lunes","Martes","Miércoles","Jueves","Viernes","Sábado","Domingo")</x:f>
        <x:v>Lunes</x:v>
      </x:c>
      <x:c r="C665" t="str">
        <x:f>IF(COUNTIF(FERIADOS!$A$2:$A$250,A665)&gt;0,"SÍ","NO")</x:f>
        <x:v>NO</x:v>
      </x:c>
      <x:c r="D665" t="str">
        <x:f>IF(AND(WEEKDAY(A665,2)&lt;=5,C665="NO"),"SÍ","NO")</x:f>
        <x:v>SÍ</x:v>
      </x:c>
      <x:c r="E665" s="2" t="n">
        <x:f>WORKDAY.INTL(A665-1,1,1,FERIADOS!$A$2:$A$250)</x:f>
        <x:v>46321</x:v>
      </x:c>
      <x:c r="F665" t="str">
        <x:f>IF(E665&gt;=WORKDAY.INTL(EOMONTH(E665,0)+1,-2,1,FERIADOS!$A$2:$A$250),"SÍ","NO")</x:f>
        <x:v>NO</x:v>
      </x:c>
      <x:c r="G665" s="10" t="n">
        <x:f>IF(F665="SÍ",EOMONTH(E665,0)+1,DATE(YEAR(E665),MONTH(E665),1))</x:f>
        <x:v>46296</x:v>
      </x:c>
      <x:c r="H665" t="str">
        <x:f>IF(D665="NO",IF(C665="SÍ","FERIADO","FIN DE SEMANA"),"LABORABLE")&amp;IF(F665="SÍ"," + CIERRE","")</x:f>
        <x:v>LABORABLE</x:v>
      </x:c>
      <x:c r="I665" t="str">
        <x:f>TEXT(G665,"yyyy-mm")</x:f>
        <x:v>2026-10</x:v>
      </x:c>
    </x:row>
    <x:row r="666" ht="19" customHeight="1">
      <x:c r="A666" s="2" t="n">
        <x:v>46322</x:v>
      </x:c>
      <x:c r="B666" t="str">
        <x:f>CHOOSE(WEEKDAY(A666,2),"Lunes","Martes","Miércoles","Jueves","Viernes","Sábado","Domingo")</x:f>
        <x:v>Martes</x:v>
      </x:c>
      <x:c r="C666" t="str">
        <x:f>IF(COUNTIF(FERIADOS!$A$2:$A$250,A666)&gt;0,"SÍ","NO")</x:f>
        <x:v>NO</x:v>
      </x:c>
      <x:c r="D666" t="str">
        <x:f>IF(AND(WEEKDAY(A666,2)&lt;=5,C666="NO"),"SÍ","NO")</x:f>
        <x:v>SÍ</x:v>
      </x:c>
      <x:c r="E666" s="2" t="n">
        <x:f>WORKDAY.INTL(A666-1,1,1,FERIADOS!$A$2:$A$250)</x:f>
        <x:v>46322</x:v>
      </x:c>
      <x:c r="F666" t="str">
        <x:f>IF(E666&gt;=WORKDAY.INTL(EOMONTH(E666,0)+1,-2,1,FERIADOS!$A$2:$A$250),"SÍ","NO")</x:f>
        <x:v>NO</x:v>
      </x:c>
      <x:c r="G666" s="10" t="n">
        <x:f>IF(F666="SÍ",EOMONTH(E666,0)+1,DATE(YEAR(E666),MONTH(E666),1))</x:f>
        <x:v>46296</x:v>
      </x:c>
      <x:c r="H666" t="str">
        <x:f>IF(D666="NO",IF(C666="SÍ","FERIADO","FIN DE SEMANA"),"LABORABLE")&amp;IF(F666="SÍ"," + CIERRE","")</x:f>
        <x:v>LABORABLE</x:v>
      </x:c>
      <x:c r="I666" t="str">
        <x:f>TEXT(G666,"yyyy-mm")</x:f>
        <x:v>2026-10</x:v>
      </x:c>
    </x:row>
    <x:row r="667" ht="19" customHeight="1">
      <x:c r="A667" s="2" t="n">
        <x:v>46323</x:v>
      </x:c>
      <x:c r="B667" t="str">
        <x:f>CHOOSE(WEEKDAY(A667,2),"Lunes","Martes","Miércoles","Jueves","Viernes","Sábado","Domingo")</x:f>
        <x:v>Miércoles</x:v>
      </x:c>
      <x:c r="C667" t="str">
        <x:f>IF(COUNTIF(FERIADOS!$A$2:$A$250,A667)&gt;0,"SÍ","NO")</x:f>
        <x:v>NO</x:v>
      </x:c>
      <x:c r="D667" t="str">
        <x:f>IF(AND(WEEKDAY(A667,2)&lt;=5,C667="NO"),"SÍ","NO")</x:f>
        <x:v>SÍ</x:v>
      </x:c>
      <x:c r="E667" s="2" t="n">
        <x:f>WORKDAY.INTL(A667-1,1,1,FERIADOS!$A$2:$A$250)</x:f>
        <x:v>46323</x:v>
      </x:c>
      <x:c r="F667" t="str">
        <x:f>IF(E667&gt;=WORKDAY.INTL(EOMONTH(E667,0)+1,-2,1,FERIADOS!$A$2:$A$250),"SÍ","NO")</x:f>
        <x:v>NO</x:v>
      </x:c>
      <x:c r="G667" s="10" t="n">
        <x:f>IF(F667="SÍ",EOMONTH(E667,0)+1,DATE(YEAR(E667),MONTH(E667),1))</x:f>
        <x:v>46296</x:v>
      </x:c>
      <x:c r="H667" t="str">
        <x:f>IF(D667="NO",IF(C667="SÍ","FERIADO","FIN DE SEMANA"),"LABORABLE")&amp;IF(F667="SÍ"," + CIERRE","")</x:f>
        <x:v>LABORABLE</x:v>
      </x:c>
      <x:c r="I667" t="str">
        <x:f>TEXT(G667,"yyyy-mm")</x:f>
        <x:v>2026-10</x:v>
      </x:c>
    </x:row>
    <x:row r="668" ht="19" customHeight="1">
      <x:c r="A668" s="2" t="n">
        <x:v>46324</x:v>
      </x:c>
      <x:c r="B668" t="str">
        <x:f>CHOOSE(WEEKDAY(A668,2),"Lunes","Martes","Miércoles","Jueves","Viernes","Sábado","Domingo")</x:f>
        <x:v>Jueves</x:v>
      </x:c>
      <x:c r="C668" t="str">
        <x:f>IF(COUNTIF(FERIADOS!$A$2:$A$250,A668)&gt;0,"SÍ","NO")</x:f>
        <x:v>NO</x:v>
      </x:c>
      <x:c r="D668" t="str">
        <x:f>IF(AND(WEEKDAY(A668,2)&lt;=5,C668="NO"),"SÍ","NO")</x:f>
        <x:v>SÍ</x:v>
      </x:c>
      <x:c r="E668" s="2" t="n">
        <x:f>WORKDAY.INTL(A668-1,1,1,FERIADOS!$A$2:$A$250)</x:f>
        <x:v>46324</x:v>
      </x:c>
      <x:c r="F668" t="str">
        <x:f>IF(E668&gt;=WORKDAY.INTL(EOMONTH(E668,0)+1,-2,1,FERIADOS!$A$2:$A$250),"SÍ","NO")</x:f>
        <x:v>SÍ</x:v>
      </x:c>
      <x:c r="G668" s="10" t="n">
        <x:f>IF(F668="SÍ",EOMONTH(E668,0)+1,DATE(YEAR(E668),MONTH(E668),1))</x:f>
        <x:v>46327</x:v>
      </x:c>
      <x:c r="H668" t="str">
        <x:f>IF(D668="NO",IF(C668="SÍ","FERIADO","FIN DE SEMANA"),"LABORABLE")&amp;IF(F668="SÍ"," + CIERRE","")</x:f>
        <x:v>LABORABLE + CIERRE</x:v>
      </x:c>
      <x:c r="I668" t="str">
        <x:f>TEXT(G668,"yyyy-mm")</x:f>
        <x:v>2026-11</x:v>
      </x:c>
    </x:row>
    <x:row r="669" ht="19" customHeight="1">
      <x:c r="A669" s="2" t="n">
        <x:v>46325</x:v>
      </x:c>
      <x:c r="B669" t="str">
        <x:f>CHOOSE(WEEKDAY(A669,2),"Lunes","Martes","Miércoles","Jueves","Viernes","Sábado","Domingo")</x:f>
        <x:v>Viernes</x:v>
      </x:c>
      <x:c r="C669" t="str">
        <x:f>IF(COUNTIF(FERIADOS!$A$2:$A$250,A669)&gt;0,"SÍ","NO")</x:f>
        <x:v>NO</x:v>
      </x:c>
      <x:c r="D669" t="str">
        <x:f>IF(AND(WEEKDAY(A669,2)&lt;=5,C669="NO"),"SÍ","NO")</x:f>
        <x:v>SÍ</x:v>
      </x:c>
      <x:c r="E669" s="2" t="n">
        <x:f>WORKDAY.INTL(A669-1,1,1,FERIADOS!$A$2:$A$250)</x:f>
        <x:v>46325</x:v>
      </x:c>
      <x:c r="F669" t="str">
        <x:f>IF(E669&gt;=WORKDAY.INTL(EOMONTH(E669,0)+1,-2,1,FERIADOS!$A$2:$A$250),"SÍ","NO")</x:f>
        <x:v>SÍ</x:v>
      </x:c>
      <x:c r="G669" s="10" t="n">
        <x:f>IF(F669="SÍ",EOMONTH(E669,0)+1,DATE(YEAR(E669),MONTH(E669),1))</x:f>
        <x:v>46327</x:v>
      </x:c>
      <x:c r="H669" t="str">
        <x:f>IF(D669="NO",IF(C669="SÍ","FERIADO","FIN DE SEMANA"),"LABORABLE")&amp;IF(F669="SÍ"," + CIERRE","")</x:f>
        <x:v>LABORABLE + CIERRE</x:v>
      </x:c>
      <x:c r="I669" t="str">
        <x:f>TEXT(G669,"yyyy-mm")</x:f>
        <x:v>2026-11</x:v>
      </x:c>
    </x:row>
    <x:row r="670" ht="19" customHeight="1">
      <x:c r="A670" s="2" t="n">
        <x:v>46326</x:v>
      </x:c>
      <x:c r="B670" t="str">
        <x:f>CHOOSE(WEEKDAY(A670,2),"Lunes","Martes","Miércoles","Jueves","Viernes","Sábado","Domingo")</x:f>
        <x:v>Sábado</x:v>
      </x:c>
      <x:c r="C670" t="str">
        <x:f>IF(COUNTIF(FERIADOS!$A$2:$A$250,A670)&gt;0,"SÍ","NO")</x:f>
        <x:v>NO</x:v>
      </x:c>
      <x:c r="D670" t="str">
        <x:f>IF(AND(WEEKDAY(A670,2)&lt;=5,C670="NO"),"SÍ","NO")</x:f>
        <x:v>NO</x:v>
      </x:c>
      <x:c r="E670" s="2" t="n">
        <x:f>WORKDAY.INTL(A670-1,1,1,FERIADOS!$A$2:$A$250)</x:f>
        <x:v>46330</x:v>
      </x:c>
      <x:c r="F670" t="str">
        <x:f>IF(E670&gt;=WORKDAY.INTL(EOMONTH(E670,0)+1,-2,1,FERIADOS!$A$2:$A$250),"SÍ","NO")</x:f>
        <x:v>NO</x:v>
      </x:c>
      <x:c r="G670" s="10" t="n">
        <x:f>IF(F670="SÍ",EOMONTH(E670,0)+1,DATE(YEAR(E670),MONTH(E670),1))</x:f>
        <x:v>46327</x:v>
      </x:c>
      <x:c r="H670" t="str">
        <x:f>IF(D670="NO",IF(C670="SÍ","FERIADO","FIN DE SEMANA"),"LABORABLE")&amp;IF(F670="SÍ"," + CIERRE","")</x:f>
        <x:v>FIN DE SEMANA</x:v>
      </x:c>
      <x:c r="I670" t="str">
        <x:f>TEXT(G670,"yyyy-mm")</x:f>
        <x:v>2026-11</x:v>
      </x:c>
    </x:row>
    <x:row r="671" ht="19" customHeight="1">
      <x:c r="A671" s="2" t="n">
        <x:v>46327</x:v>
      </x:c>
      <x:c r="B671" t="str">
        <x:f>CHOOSE(WEEKDAY(A671,2),"Lunes","Martes","Miércoles","Jueves","Viernes","Sábado","Domingo")</x:f>
        <x:v>Domingo</x:v>
      </x:c>
      <x:c r="C671" t="str">
        <x:f>IF(COUNTIF(FERIADOS!$A$2:$A$250,A671)&gt;0,"SÍ","NO")</x:f>
        <x:v>NO</x:v>
      </x:c>
      <x:c r="D671" t="str">
        <x:f>IF(AND(WEEKDAY(A671,2)&lt;=5,C671="NO"),"SÍ","NO")</x:f>
        <x:v>NO</x:v>
      </x:c>
      <x:c r="E671" s="2" t="n">
        <x:f>WORKDAY.INTL(A671-1,1,1,FERIADOS!$A$2:$A$250)</x:f>
        <x:v>46330</x:v>
      </x:c>
      <x:c r="F671" t="str">
        <x:f>IF(E671&gt;=WORKDAY.INTL(EOMONTH(E671,0)+1,-2,1,FERIADOS!$A$2:$A$250),"SÍ","NO")</x:f>
        <x:v>NO</x:v>
      </x:c>
      <x:c r="G671" s="10" t="n">
        <x:f>IF(F671="SÍ",EOMONTH(E671,0)+1,DATE(YEAR(E671),MONTH(E671),1))</x:f>
        <x:v>46327</x:v>
      </x:c>
      <x:c r="H671" t="str">
        <x:f>IF(D671="NO",IF(C671="SÍ","FERIADO","FIN DE SEMANA"),"LABORABLE")&amp;IF(F671="SÍ"," + CIERRE","")</x:f>
        <x:v>FIN DE SEMANA</x:v>
      </x:c>
      <x:c r="I671" t="str">
        <x:f>TEXT(G671,"yyyy-mm")</x:f>
        <x:v>2026-11</x:v>
      </x:c>
    </x:row>
    <x:row r="672" ht="19" customHeight="1">
      <x:c r="A672" s="2" t="n">
        <x:v>46328</x:v>
      </x:c>
      <x:c r="B672" t="str">
        <x:f>CHOOSE(WEEKDAY(A672,2),"Lunes","Martes","Miércoles","Jueves","Viernes","Sábado","Domingo")</x:f>
        <x:v>Lunes</x:v>
      </x:c>
      <x:c r="C672" t="str">
        <x:f>IF(COUNTIF(FERIADOS!$A$2:$A$250,A672)&gt;0,"SÍ","NO")</x:f>
        <x:v>SÍ</x:v>
      </x:c>
      <x:c r="D672" t="str">
        <x:f>IF(AND(WEEKDAY(A672,2)&lt;=5,C672="NO"),"SÍ","NO")</x:f>
        <x:v>NO</x:v>
      </x:c>
      <x:c r="E672" s="2" t="n">
        <x:f>WORKDAY.INTL(A672-1,1,1,FERIADOS!$A$2:$A$250)</x:f>
        <x:v>46330</x:v>
      </x:c>
      <x:c r="F672" t="str">
        <x:f>IF(E672&gt;=WORKDAY.INTL(EOMONTH(E672,0)+1,-2,1,FERIADOS!$A$2:$A$250),"SÍ","NO")</x:f>
        <x:v>NO</x:v>
      </x:c>
      <x:c r="G672" s="10" t="n">
        <x:f>IF(F672="SÍ",EOMONTH(E672,0)+1,DATE(YEAR(E672),MONTH(E672),1))</x:f>
        <x:v>46327</x:v>
      </x:c>
      <x:c r="H672" t="str">
        <x:f>IF(D672="NO",IF(C672="SÍ","FERIADO","FIN DE SEMANA"),"LABORABLE")&amp;IF(F672="SÍ"," + CIERRE","")</x:f>
        <x:v>FERIADO</x:v>
      </x:c>
      <x:c r="I672" t="str">
        <x:f>TEXT(G672,"yyyy-mm")</x:f>
        <x:v>2026-11</x:v>
      </x:c>
    </x:row>
    <x:row r="673" ht="19" customHeight="1">
      <x:c r="A673" s="2" t="n">
        <x:v>46329</x:v>
      </x:c>
      <x:c r="B673" t="str">
        <x:f>CHOOSE(WEEKDAY(A673,2),"Lunes","Martes","Miércoles","Jueves","Viernes","Sábado","Domingo")</x:f>
        <x:v>Martes</x:v>
      </x:c>
      <x:c r="C673" t="str">
        <x:f>IF(COUNTIF(FERIADOS!$A$2:$A$250,A673)&gt;0,"SÍ","NO")</x:f>
        <x:v>SÍ</x:v>
      </x:c>
      <x:c r="D673" t="str">
        <x:f>IF(AND(WEEKDAY(A673,2)&lt;=5,C673="NO"),"SÍ","NO")</x:f>
        <x:v>NO</x:v>
      </x:c>
      <x:c r="E673" s="2" t="n">
        <x:f>WORKDAY.INTL(A673-1,1,1,FERIADOS!$A$2:$A$250)</x:f>
        <x:v>46330</x:v>
      </x:c>
      <x:c r="F673" t="str">
        <x:f>IF(E673&gt;=WORKDAY.INTL(EOMONTH(E673,0)+1,-2,1,FERIADOS!$A$2:$A$250),"SÍ","NO")</x:f>
        <x:v>NO</x:v>
      </x:c>
      <x:c r="G673" s="10" t="n">
        <x:f>IF(F673="SÍ",EOMONTH(E673,0)+1,DATE(YEAR(E673),MONTH(E673),1))</x:f>
        <x:v>46327</x:v>
      </x:c>
      <x:c r="H673" t="str">
        <x:f>IF(D673="NO",IF(C673="SÍ","FERIADO","FIN DE SEMANA"),"LABORABLE")&amp;IF(F673="SÍ"," + CIERRE","")</x:f>
        <x:v>FERIADO</x:v>
      </x:c>
      <x:c r="I673" t="str">
        <x:f>TEXT(G673,"yyyy-mm")</x:f>
        <x:v>2026-11</x:v>
      </x:c>
    </x:row>
    <x:row r="674" ht="19" customHeight="1">
      <x:c r="A674" s="2" t="n">
        <x:v>46330</x:v>
      </x:c>
      <x:c r="B674" t="str">
        <x:f>CHOOSE(WEEKDAY(A674,2),"Lunes","Martes","Miércoles","Jueves","Viernes","Sábado","Domingo")</x:f>
        <x:v>Miércoles</x:v>
      </x:c>
      <x:c r="C674" t="str">
        <x:f>IF(COUNTIF(FERIADOS!$A$2:$A$250,A674)&gt;0,"SÍ","NO")</x:f>
        <x:v>NO</x:v>
      </x:c>
      <x:c r="D674" t="str">
        <x:f>IF(AND(WEEKDAY(A674,2)&lt;=5,C674="NO"),"SÍ","NO")</x:f>
        <x:v>SÍ</x:v>
      </x:c>
      <x:c r="E674" s="2" t="n">
        <x:f>WORKDAY.INTL(A674-1,1,1,FERIADOS!$A$2:$A$250)</x:f>
        <x:v>46330</x:v>
      </x:c>
      <x:c r="F674" t="str">
        <x:f>IF(E674&gt;=WORKDAY.INTL(EOMONTH(E674,0)+1,-2,1,FERIADOS!$A$2:$A$250),"SÍ","NO")</x:f>
        <x:v>NO</x:v>
      </x:c>
      <x:c r="G674" s="10" t="n">
        <x:f>IF(F674="SÍ",EOMONTH(E674,0)+1,DATE(YEAR(E674),MONTH(E674),1))</x:f>
        <x:v>46327</x:v>
      </x:c>
      <x:c r="H674" t="str">
        <x:f>IF(D674="NO",IF(C674="SÍ","FERIADO","FIN DE SEMANA"),"LABORABLE")&amp;IF(F674="SÍ"," + CIERRE","")</x:f>
        <x:v>LABORABLE</x:v>
      </x:c>
      <x:c r="I674" t="str">
        <x:f>TEXT(G674,"yyyy-mm")</x:f>
        <x:v>2026-11</x:v>
      </x:c>
    </x:row>
    <x:row r="675" ht="19" customHeight="1">
      <x:c r="A675" s="2" t="n">
        <x:v>46331</x:v>
      </x:c>
      <x:c r="B675" t="str">
        <x:f>CHOOSE(WEEKDAY(A675,2),"Lunes","Martes","Miércoles","Jueves","Viernes","Sábado","Domingo")</x:f>
        <x:v>Jueves</x:v>
      </x:c>
      <x:c r="C675" t="str">
        <x:f>IF(COUNTIF(FERIADOS!$A$2:$A$250,A675)&gt;0,"SÍ","NO")</x:f>
        <x:v>NO</x:v>
      </x:c>
      <x:c r="D675" t="str">
        <x:f>IF(AND(WEEKDAY(A675,2)&lt;=5,C675="NO"),"SÍ","NO")</x:f>
        <x:v>SÍ</x:v>
      </x:c>
      <x:c r="E675" s="2" t="n">
        <x:f>WORKDAY.INTL(A675-1,1,1,FERIADOS!$A$2:$A$250)</x:f>
        <x:v>46331</x:v>
      </x:c>
      <x:c r="F675" t="str">
        <x:f>IF(E675&gt;=WORKDAY.INTL(EOMONTH(E675,0)+1,-2,1,FERIADOS!$A$2:$A$250),"SÍ","NO")</x:f>
        <x:v>NO</x:v>
      </x:c>
      <x:c r="G675" s="10" t="n">
        <x:f>IF(F675="SÍ",EOMONTH(E675,0)+1,DATE(YEAR(E675),MONTH(E675),1))</x:f>
        <x:v>46327</x:v>
      </x:c>
      <x:c r="H675" t="str">
        <x:f>IF(D675="NO",IF(C675="SÍ","FERIADO","FIN DE SEMANA"),"LABORABLE")&amp;IF(F675="SÍ"," + CIERRE","")</x:f>
        <x:v>LABORABLE</x:v>
      </x:c>
      <x:c r="I675" t="str">
        <x:f>TEXT(G675,"yyyy-mm")</x:f>
        <x:v>2026-11</x:v>
      </x:c>
    </x:row>
    <x:row r="676" ht="19" customHeight="1">
      <x:c r="A676" s="2" t="n">
        <x:v>46332</x:v>
      </x:c>
      <x:c r="B676" t="str">
        <x:f>CHOOSE(WEEKDAY(A676,2),"Lunes","Martes","Miércoles","Jueves","Viernes","Sábado","Domingo")</x:f>
        <x:v>Viernes</x:v>
      </x:c>
      <x:c r="C676" t="str">
        <x:f>IF(COUNTIF(FERIADOS!$A$2:$A$250,A676)&gt;0,"SÍ","NO")</x:f>
        <x:v>NO</x:v>
      </x:c>
      <x:c r="D676" t="str">
        <x:f>IF(AND(WEEKDAY(A676,2)&lt;=5,C676="NO"),"SÍ","NO")</x:f>
        <x:v>SÍ</x:v>
      </x:c>
      <x:c r="E676" s="2" t="n">
        <x:f>WORKDAY.INTL(A676-1,1,1,FERIADOS!$A$2:$A$250)</x:f>
        <x:v>46332</x:v>
      </x:c>
      <x:c r="F676" t="str">
        <x:f>IF(E676&gt;=WORKDAY.INTL(EOMONTH(E676,0)+1,-2,1,FERIADOS!$A$2:$A$250),"SÍ","NO")</x:f>
        <x:v>NO</x:v>
      </x:c>
      <x:c r="G676" s="10" t="n">
        <x:f>IF(F676="SÍ",EOMONTH(E676,0)+1,DATE(YEAR(E676),MONTH(E676),1))</x:f>
        <x:v>46327</x:v>
      </x:c>
      <x:c r="H676" t="str">
        <x:f>IF(D676="NO",IF(C676="SÍ","FERIADO","FIN DE SEMANA"),"LABORABLE")&amp;IF(F676="SÍ"," + CIERRE","")</x:f>
        <x:v>LABORABLE</x:v>
      </x:c>
      <x:c r="I676" t="str">
        <x:f>TEXT(G676,"yyyy-mm")</x:f>
        <x:v>2026-11</x:v>
      </x:c>
    </x:row>
    <x:row r="677" ht="19" customHeight="1">
      <x:c r="A677" s="2" t="n">
        <x:v>46333</x:v>
      </x:c>
      <x:c r="B677" t="str">
        <x:f>CHOOSE(WEEKDAY(A677,2),"Lunes","Martes","Miércoles","Jueves","Viernes","Sábado","Domingo")</x:f>
        <x:v>Sábado</x:v>
      </x:c>
      <x:c r="C677" t="str">
        <x:f>IF(COUNTIF(FERIADOS!$A$2:$A$250,A677)&gt;0,"SÍ","NO")</x:f>
        <x:v>NO</x:v>
      </x:c>
      <x:c r="D677" t="str">
        <x:f>IF(AND(WEEKDAY(A677,2)&lt;=5,C677="NO"),"SÍ","NO")</x:f>
        <x:v>NO</x:v>
      </x:c>
      <x:c r="E677" s="2" t="n">
        <x:f>WORKDAY.INTL(A677-1,1,1,FERIADOS!$A$2:$A$250)</x:f>
        <x:v>46335</x:v>
      </x:c>
      <x:c r="F677" t="str">
        <x:f>IF(E677&gt;=WORKDAY.INTL(EOMONTH(E677,0)+1,-2,1,FERIADOS!$A$2:$A$250),"SÍ","NO")</x:f>
        <x:v>NO</x:v>
      </x:c>
      <x:c r="G677" s="10" t="n">
        <x:f>IF(F677="SÍ",EOMONTH(E677,0)+1,DATE(YEAR(E677),MONTH(E677),1))</x:f>
        <x:v>46327</x:v>
      </x:c>
      <x:c r="H677" t="str">
        <x:f>IF(D677="NO",IF(C677="SÍ","FERIADO","FIN DE SEMANA"),"LABORABLE")&amp;IF(F677="SÍ"," + CIERRE","")</x:f>
        <x:v>FIN DE SEMANA</x:v>
      </x:c>
      <x:c r="I677" t="str">
        <x:f>TEXT(G677,"yyyy-mm")</x:f>
        <x:v>2026-11</x:v>
      </x:c>
    </x:row>
    <x:row r="678" ht="19" customHeight="1">
      <x:c r="A678" s="2" t="n">
        <x:v>46334</x:v>
      </x:c>
      <x:c r="B678" t="str">
        <x:f>CHOOSE(WEEKDAY(A678,2),"Lunes","Martes","Miércoles","Jueves","Viernes","Sábado","Domingo")</x:f>
        <x:v>Domingo</x:v>
      </x:c>
      <x:c r="C678" t="str">
        <x:f>IF(COUNTIF(FERIADOS!$A$2:$A$250,A678)&gt;0,"SÍ","NO")</x:f>
        <x:v>NO</x:v>
      </x:c>
      <x:c r="D678" t="str">
        <x:f>IF(AND(WEEKDAY(A678,2)&lt;=5,C678="NO"),"SÍ","NO")</x:f>
        <x:v>NO</x:v>
      </x:c>
      <x:c r="E678" s="2" t="n">
        <x:f>WORKDAY.INTL(A678-1,1,1,FERIADOS!$A$2:$A$250)</x:f>
        <x:v>46335</x:v>
      </x:c>
      <x:c r="F678" t="str">
        <x:f>IF(E678&gt;=WORKDAY.INTL(EOMONTH(E678,0)+1,-2,1,FERIADOS!$A$2:$A$250),"SÍ","NO")</x:f>
        <x:v>NO</x:v>
      </x:c>
      <x:c r="G678" s="10" t="n">
        <x:f>IF(F678="SÍ",EOMONTH(E678,0)+1,DATE(YEAR(E678),MONTH(E678),1))</x:f>
        <x:v>46327</x:v>
      </x:c>
      <x:c r="H678" t="str">
        <x:f>IF(D678="NO",IF(C678="SÍ","FERIADO","FIN DE SEMANA"),"LABORABLE")&amp;IF(F678="SÍ"," + CIERRE","")</x:f>
        <x:v>FIN DE SEMANA</x:v>
      </x:c>
      <x:c r="I678" t="str">
        <x:f>TEXT(G678,"yyyy-mm")</x:f>
        <x:v>2026-11</x:v>
      </x:c>
    </x:row>
    <x:row r="679" ht="19" customHeight="1">
      <x:c r="A679" s="2" t="n">
        <x:v>46335</x:v>
      </x:c>
      <x:c r="B679" t="str">
        <x:f>CHOOSE(WEEKDAY(A679,2),"Lunes","Martes","Miércoles","Jueves","Viernes","Sábado","Domingo")</x:f>
        <x:v>Lunes</x:v>
      </x:c>
      <x:c r="C679" t="str">
        <x:f>IF(COUNTIF(FERIADOS!$A$2:$A$250,A679)&gt;0,"SÍ","NO")</x:f>
        <x:v>NO</x:v>
      </x:c>
      <x:c r="D679" t="str">
        <x:f>IF(AND(WEEKDAY(A679,2)&lt;=5,C679="NO"),"SÍ","NO")</x:f>
        <x:v>SÍ</x:v>
      </x:c>
      <x:c r="E679" s="2" t="n">
        <x:f>WORKDAY.INTL(A679-1,1,1,FERIADOS!$A$2:$A$250)</x:f>
        <x:v>46335</x:v>
      </x:c>
      <x:c r="F679" t="str">
        <x:f>IF(E679&gt;=WORKDAY.INTL(EOMONTH(E679,0)+1,-2,1,FERIADOS!$A$2:$A$250),"SÍ","NO")</x:f>
        <x:v>NO</x:v>
      </x:c>
      <x:c r="G679" s="10" t="n">
        <x:f>IF(F679="SÍ",EOMONTH(E679,0)+1,DATE(YEAR(E679),MONTH(E679),1))</x:f>
        <x:v>46327</x:v>
      </x:c>
      <x:c r="H679" t="str">
        <x:f>IF(D679="NO",IF(C679="SÍ","FERIADO","FIN DE SEMANA"),"LABORABLE")&amp;IF(F679="SÍ"," + CIERRE","")</x:f>
        <x:v>LABORABLE</x:v>
      </x:c>
      <x:c r="I679" t="str">
        <x:f>TEXT(G679,"yyyy-mm")</x:f>
        <x:v>2026-11</x:v>
      </x:c>
    </x:row>
    <x:row r="680" ht="19" customHeight="1">
      <x:c r="A680" s="2" t="n">
        <x:v>46336</x:v>
      </x:c>
      <x:c r="B680" t="str">
        <x:f>CHOOSE(WEEKDAY(A680,2),"Lunes","Martes","Miércoles","Jueves","Viernes","Sábado","Domingo")</x:f>
        <x:v>Martes</x:v>
      </x:c>
      <x:c r="C680" t="str">
        <x:f>IF(COUNTIF(FERIADOS!$A$2:$A$250,A680)&gt;0,"SÍ","NO")</x:f>
        <x:v>NO</x:v>
      </x:c>
      <x:c r="D680" t="str">
        <x:f>IF(AND(WEEKDAY(A680,2)&lt;=5,C680="NO"),"SÍ","NO")</x:f>
        <x:v>SÍ</x:v>
      </x:c>
      <x:c r="E680" s="2" t="n">
        <x:f>WORKDAY.INTL(A680-1,1,1,FERIADOS!$A$2:$A$250)</x:f>
        <x:v>46336</x:v>
      </x:c>
      <x:c r="F680" t="str">
        <x:f>IF(E680&gt;=WORKDAY.INTL(EOMONTH(E680,0)+1,-2,1,FERIADOS!$A$2:$A$250),"SÍ","NO")</x:f>
        <x:v>NO</x:v>
      </x:c>
      <x:c r="G680" s="10" t="n">
        <x:f>IF(F680="SÍ",EOMONTH(E680,0)+1,DATE(YEAR(E680),MONTH(E680),1))</x:f>
        <x:v>46327</x:v>
      </x:c>
      <x:c r="H680" t="str">
        <x:f>IF(D680="NO",IF(C680="SÍ","FERIADO","FIN DE SEMANA"),"LABORABLE")&amp;IF(F680="SÍ"," + CIERRE","")</x:f>
        <x:v>LABORABLE</x:v>
      </x:c>
      <x:c r="I680" t="str">
        <x:f>TEXT(G680,"yyyy-mm")</x:f>
        <x:v>2026-11</x:v>
      </x:c>
    </x:row>
    <x:row r="681" ht="19" customHeight="1">
      <x:c r="A681" s="2" t="n">
        <x:v>46337</x:v>
      </x:c>
      <x:c r="B681" t="str">
        <x:f>CHOOSE(WEEKDAY(A681,2),"Lunes","Martes","Miércoles","Jueves","Viernes","Sábado","Domingo")</x:f>
        <x:v>Miércoles</x:v>
      </x:c>
      <x:c r="C681" t="str">
        <x:f>IF(COUNTIF(FERIADOS!$A$2:$A$250,A681)&gt;0,"SÍ","NO")</x:f>
        <x:v>NO</x:v>
      </x:c>
      <x:c r="D681" t="str">
        <x:f>IF(AND(WEEKDAY(A681,2)&lt;=5,C681="NO"),"SÍ","NO")</x:f>
        <x:v>SÍ</x:v>
      </x:c>
      <x:c r="E681" s="2" t="n">
        <x:f>WORKDAY.INTL(A681-1,1,1,FERIADOS!$A$2:$A$250)</x:f>
        <x:v>46337</x:v>
      </x:c>
      <x:c r="F681" t="str">
        <x:f>IF(E681&gt;=WORKDAY.INTL(EOMONTH(E681,0)+1,-2,1,FERIADOS!$A$2:$A$250),"SÍ","NO")</x:f>
        <x:v>NO</x:v>
      </x:c>
      <x:c r="G681" s="10" t="n">
        <x:f>IF(F681="SÍ",EOMONTH(E681,0)+1,DATE(YEAR(E681),MONTH(E681),1))</x:f>
        <x:v>46327</x:v>
      </x:c>
      <x:c r="H681" t="str">
        <x:f>IF(D681="NO",IF(C681="SÍ","FERIADO","FIN DE SEMANA"),"LABORABLE")&amp;IF(F681="SÍ"," + CIERRE","")</x:f>
        <x:v>LABORABLE</x:v>
      </x:c>
      <x:c r="I681" t="str">
        <x:f>TEXT(G681,"yyyy-mm")</x:f>
        <x:v>2026-11</x:v>
      </x:c>
    </x:row>
    <x:row r="682" ht="19" customHeight="1">
      <x:c r="A682" s="2" t="n">
        <x:v>46338</x:v>
      </x:c>
      <x:c r="B682" t="str">
        <x:f>CHOOSE(WEEKDAY(A682,2),"Lunes","Martes","Miércoles","Jueves","Viernes","Sábado","Domingo")</x:f>
        <x:v>Jueves</x:v>
      </x:c>
      <x:c r="C682" t="str">
        <x:f>IF(COUNTIF(FERIADOS!$A$2:$A$250,A682)&gt;0,"SÍ","NO")</x:f>
        <x:v>NO</x:v>
      </x:c>
      <x:c r="D682" t="str">
        <x:f>IF(AND(WEEKDAY(A682,2)&lt;=5,C682="NO"),"SÍ","NO")</x:f>
        <x:v>SÍ</x:v>
      </x:c>
      <x:c r="E682" s="2" t="n">
        <x:f>WORKDAY.INTL(A682-1,1,1,FERIADOS!$A$2:$A$250)</x:f>
        <x:v>46338</x:v>
      </x:c>
      <x:c r="F682" t="str">
        <x:f>IF(E682&gt;=WORKDAY.INTL(EOMONTH(E682,0)+1,-2,1,FERIADOS!$A$2:$A$250),"SÍ","NO")</x:f>
        <x:v>NO</x:v>
      </x:c>
      <x:c r="G682" s="10" t="n">
        <x:f>IF(F682="SÍ",EOMONTH(E682,0)+1,DATE(YEAR(E682),MONTH(E682),1))</x:f>
        <x:v>46327</x:v>
      </x:c>
      <x:c r="H682" t="str">
        <x:f>IF(D682="NO",IF(C682="SÍ","FERIADO","FIN DE SEMANA"),"LABORABLE")&amp;IF(F682="SÍ"," + CIERRE","")</x:f>
        <x:v>LABORABLE</x:v>
      </x:c>
      <x:c r="I682" t="str">
        <x:f>TEXT(G682,"yyyy-mm")</x:f>
        <x:v>2026-11</x:v>
      </x:c>
    </x:row>
    <x:row r="683" ht="19" customHeight="1">
      <x:c r="A683" s="2" t="n">
        <x:v>46339</x:v>
      </x:c>
      <x:c r="B683" t="str">
        <x:f>CHOOSE(WEEKDAY(A683,2),"Lunes","Martes","Miércoles","Jueves","Viernes","Sábado","Domingo")</x:f>
        <x:v>Viernes</x:v>
      </x:c>
      <x:c r="C683" t="str">
        <x:f>IF(COUNTIF(FERIADOS!$A$2:$A$250,A683)&gt;0,"SÍ","NO")</x:f>
        <x:v>NO</x:v>
      </x:c>
      <x:c r="D683" t="str">
        <x:f>IF(AND(WEEKDAY(A683,2)&lt;=5,C683="NO"),"SÍ","NO")</x:f>
        <x:v>SÍ</x:v>
      </x:c>
      <x:c r="E683" s="2" t="n">
        <x:f>WORKDAY.INTL(A683-1,1,1,FERIADOS!$A$2:$A$250)</x:f>
        <x:v>46339</x:v>
      </x:c>
      <x:c r="F683" t="str">
        <x:f>IF(E683&gt;=WORKDAY.INTL(EOMONTH(E683,0)+1,-2,1,FERIADOS!$A$2:$A$250),"SÍ","NO")</x:f>
        <x:v>NO</x:v>
      </x:c>
      <x:c r="G683" s="10" t="n">
        <x:f>IF(F683="SÍ",EOMONTH(E683,0)+1,DATE(YEAR(E683),MONTH(E683),1))</x:f>
        <x:v>46327</x:v>
      </x:c>
      <x:c r="H683" t="str">
        <x:f>IF(D683="NO",IF(C683="SÍ","FERIADO","FIN DE SEMANA"),"LABORABLE")&amp;IF(F683="SÍ"," + CIERRE","")</x:f>
        <x:v>LABORABLE</x:v>
      </x:c>
      <x:c r="I683" t="str">
        <x:f>TEXT(G683,"yyyy-mm")</x:f>
        <x:v>2026-11</x:v>
      </x:c>
    </x:row>
    <x:row r="684" ht="19" customHeight="1">
      <x:c r="A684" s="2" t="n">
        <x:v>46340</x:v>
      </x:c>
      <x:c r="B684" t="str">
        <x:f>CHOOSE(WEEKDAY(A684,2),"Lunes","Martes","Miércoles","Jueves","Viernes","Sábado","Domingo")</x:f>
        <x:v>Sábado</x:v>
      </x:c>
      <x:c r="C684" t="str">
        <x:f>IF(COUNTIF(FERIADOS!$A$2:$A$250,A684)&gt;0,"SÍ","NO")</x:f>
        <x:v>NO</x:v>
      </x:c>
      <x:c r="D684" t="str">
        <x:f>IF(AND(WEEKDAY(A684,2)&lt;=5,C684="NO"),"SÍ","NO")</x:f>
        <x:v>NO</x:v>
      </x:c>
      <x:c r="E684" s="2" t="n">
        <x:f>WORKDAY.INTL(A684-1,1,1,FERIADOS!$A$2:$A$250)</x:f>
        <x:v>46342</x:v>
      </x:c>
      <x:c r="F684" t="str">
        <x:f>IF(E684&gt;=WORKDAY.INTL(EOMONTH(E684,0)+1,-2,1,FERIADOS!$A$2:$A$250),"SÍ","NO")</x:f>
        <x:v>NO</x:v>
      </x:c>
      <x:c r="G684" s="10" t="n">
        <x:f>IF(F684="SÍ",EOMONTH(E684,0)+1,DATE(YEAR(E684),MONTH(E684),1))</x:f>
        <x:v>46327</x:v>
      </x:c>
      <x:c r="H684" t="str">
        <x:f>IF(D684="NO",IF(C684="SÍ","FERIADO","FIN DE SEMANA"),"LABORABLE")&amp;IF(F684="SÍ"," + CIERRE","")</x:f>
        <x:v>FIN DE SEMANA</x:v>
      </x:c>
      <x:c r="I684" t="str">
        <x:f>TEXT(G684,"yyyy-mm")</x:f>
        <x:v>2026-11</x:v>
      </x:c>
    </x:row>
    <x:row r="685" ht="19" customHeight="1">
      <x:c r="A685" s="2" t="n">
        <x:v>46341</x:v>
      </x:c>
      <x:c r="B685" t="str">
        <x:f>CHOOSE(WEEKDAY(A685,2),"Lunes","Martes","Miércoles","Jueves","Viernes","Sábado","Domingo")</x:f>
        <x:v>Domingo</x:v>
      </x:c>
      <x:c r="C685" t="str">
        <x:f>IF(COUNTIF(FERIADOS!$A$2:$A$250,A685)&gt;0,"SÍ","NO")</x:f>
        <x:v>NO</x:v>
      </x:c>
      <x:c r="D685" t="str">
        <x:f>IF(AND(WEEKDAY(A685,2)&lt;=5,C685="NO"),"SÍ","NO")</x:f>
        <x:v>NO</x:v>
      </x:c>
      <x:c r="E685" s="2" t="n">
        <x:f>WORKDAY.INTL(A685-1,1,1,FERIADOS!$A$2:$A$250)</x:f>
        <x:v>46342</x:v>
      </x:c>
      <x:c r="F685" t="str">
        <x:f>IF(E685&gt;=WORKDAY.INTL(EOMONTH(E685,0)+1,-2,1,FERIADOS!$A$2:$A$250),"SÍ","NO")</x:f>
        <x:v>NO</x:v>
      </x:c>
      <x:c r="G685" s="10" t="n">
        <x:f>IF(F685="SÍ",EOMONTH(E685,0)+1,DATE(YEAR(E685),MONTH(E685),1))</x:f>
        <x:v>46327</x:v>
      </x:c>
      <x:c r="H685" t="str">
        <x:f>IF(D685="NO",IF(C685="SÍ","FERIADO","FIN DE SEMANA"),"LABORABLE")&amp;IF(F685="SÍ"," + CIERRE","")</x:f>
        <x:v>FIN DE SEMANA</x:v>
      </x:c>
      <x:c r="I685" t="str">
        <x:f>TEXT(G685,"yyyy-mm")</x:f>
        <x:v>2026-11</x:v>
      </x:c>
    </x:row>
    <x:row r="686" ht="19" customHeight="1">
      <x:c r="A686" s="2" t="n">
        <x:v>46342</x:v>
      </x:c>
      <x:c r="B686" t="str">
        <x:f>CHOOSE(WEEKDAY(A686,2),"Lunes","Martes","Miércoles","Jueves","Viernes","Sábado","Domingo")</x:f>
        <x:v>Lunes</x:v>
      </x:c>
      <x:c r="C686" t="str">
        <x:f>IF(COUNTIF(FERIADOS!$A$2:$A$250,A686)&gt;0,"SÍ","NO")</x:f>
        <x:v>NO</x:v>
      </x:c>
      <x:c r="D686" t="str">
        <x:f>IF(AND(WEEKDAY(A686,2)&lt;=5,C686="NO"),"SÍ","NO")</x:f>
        <x:v>SÍ</x:v>
      </x:c>
      <x:c r="E686" s="2" t="n">
        <x:f>WORKDAY.INTL(A686-1,1,1,FERIADOS!$A$2:$A$250)</x:f>
        <x:v>46342</x:v>
      </x:c>
      <x:c r="F686" t="str">
        <x:f>IF(E686&gt;=WORKDAY.INTL(EOMONTH(E686,0)+1,-2,1,FERIADOS!$A$2:$A$250),"SÍ","NO")</x:f>
        <x:v>NO</x:v>
      </x:c>
      <x:c r="G686" s="10" t="n">
        <x:f>IF(F686="SÍ",EOMONTH(E686,0)+1,DATE(YEAR(E686),MONTH(E686),1))</x:f>
        <x:v>46327</x:v>
      </x:c>
      <x:c r="H686" t="str">
        <x:f>IF(D686="NO",IF(C686="SÍ","FERIADO","FIN DE SEMANA"),"LABORABLE")&amp;IF(F686="SÍ"," + CIERRE","")</x:f>
        <x:v>LABORABLE</x:v>
      </x:c>
      <x:c r="I686" t="str">
        <x:f>TEXT(G686,"yyyy-mm")</x:f>
        <x:v>2026-11</x:v>
      </x:c>
    </x:row>
    <x:row r="687" ht="19" customHeight="1">
      <x:c r="A687" s="2" t="n">
        <x:v>46343</x:v>
      </x:c>
      <x:c r="B687" t="str">
        <x:f>CHOOSE(WEEKDAY(A687,2),"Lunes","Martes","Miércoles","Jueves","Viernes","Sábado","Domingo")</x:f>
        <x:v>Martes</x:v>
      </x:c>
      <x:c r="C687" t="str">
        <x:f>IF(COUNTIF(FERIADOS!$A$2:$A$250,A687)&gt;0,"SÍ","NO")</x:f>
        <x:v>NO</x:v>
      </x:c>
      <x:c r="D687" t="str">
        <x:f>IF(AND(WEEKDAY(A687,2)&lt;=5,C687="NO"),"SÍ","NO")</x:f>
        <x:v>SÍ</x:v>
      </x:c>
      <x:c r="E687" s="2" t="n">
        <x:f>WORKDAY.INTL(A687-1,1,1,FERIADOS!$A$2:$A$250)</x:f>
        <x:v>46343</x:v>
      </x:c>
      <x:c r="F687" t="str">
        <x:f>IF(E687&gt;=WORKDAY.INTL(EOMONTH(E687,0)+1,-2,1,FERIADOS!$A$2:$A$250),"SÍ","NO")</x:f>
        <x:v>NO</x:v>
      </x:c>
      <x:c r="G687" s="10" t="n">
        <x:f>IF(F687="SÍ",EOMONTH(E687,0)+1,DATE(YEAR(E687),MONTH(E687),1))</x:f>
        <x:v>46327</x:v>
      </x:c>
      <x:c r="H687" t="str">
        <x:f>IF(D687="NO",IF(C687="SÍ","FERIADO","FIN DE SEMANA"),"LABORABLE")&amp;IF(F687="SÍ"," + CIERRE","")</x:f>
        <x:v>LABORABLE</x:v>
      </x:c>
      <x:c r="I687" t="str">
        <x:f>TEXT(G687,"yyyy-mm")</x:f>
        <x:v>2026-11</x:v>
      </x:c>
    </x:row>
    <x:row r="688" ht="19" customHeight="1">
      <x:c r="A688" s="2" t="n">
        <x:v>46344</x:v>
      </x:c>
      <x:c r="B688" t="str">
        <x:f>CHOOSE(WEEKDAY(A688,2),"Lunes","Martes","Miércoles","Jueves","Viernes","Sábado","Domingo")</x:f>
        <x:v>Miércoles</x:v>
      </x:c>
      <x:c r="C688" t="str">
        <x:f>IF(COUNTIF(FERIADOS!$A$2:$A$250,A688)&gt;0,"SÍ","NO")</x:f>
        <x:v>NO</x:v>
      </x:c>
      <x:c r="D688" t="str">
        <x:f>IF(AND(WEEKDAY(A688,2)&lt;=5,C688="NO"),"SÍ","NO")</x:f>
        <x:v>SÍ</x:v>
      </x:c>
      <x:c r="E688" s="2" t="n">
        <x:f>WORKDAY.INTL(A688-1,1,1,FERIADOS!$A$2:$A$250)</x:f>
        <x:v>46344</x:v>
      </x:c>
      <x:c r="F688" t="str">
        <x:f>IF(E688&gt;=WORKDAY.INTL(EOMONTH(E688,0)+1,-2,1,FERIADOS!$A$2:$A$250),"SÍ","NO")</x:f>
        <x:v>NO</x:v>
      </x:c>
      <x:c r="G688" s="10" t="n">
        <x:f>IF(F688="SÍ",EOMONTH(E688,0)+1,DATE(YEAR(E688),MONTH(E688),1))</x:f>
        <x:v>46327</x:v>
      </x:c>
      <x:c r="H688" t="str">
        <x:f>IF(D688="NO",IF(C688="SÍ","FERIADO","FIN DE SEMANA"),"LABORABLE")&amp;IF(F688="SÍ"," + CIERRE","")</x:f>
        <x:v>LABORABLE</x:v>
      </x:c>
      <x:c r="I688" t="str">
        <x:f>TEXT(G688,"yyyy-mm")</x:f>
        <x:v>2026-11</x:v>
      </x:c>
    </x:row>
    <x:row r="689" ht="19" customHeight="1">
      <x:c r="A689" s="2" t="n">
        <x:v>46345</x:v>
      </x:c>
      <x:c r="B689" t="str">
        <x:f>CHOOSE(WEEKDAY(A689,2),"Lunes","Martes","Miércoles","Jueves","Viernes","Sábado","Domingo")</x:f>
        <x:v>Jueves</x:v>
      </x:c>
      <x:c r="C689" t="str">
        <x:f>IF(COUNTIF(FERIADOS!$A$2:$A$250,A689)&gt;0,"SÍ","NO")</x:f>
        <x:v>NO</x:v>
      </x:c>
      <x:c r="D689" t="str">
        <x:f>IF(AND(WEEKDAY(A689,2)&lt;=5,C689="NO"),"SÍ","NO")</x:f>
        <x:v>SÍ</x:v>
      </x:c>
      <x:c r="E689" s="2" t="n">
        <x:f>WORKDAY.INTL(A689-1,1,1,FERIADOS!$A$2:$A$250)</x:f>
        <x:v>46345</x:v>
      </x:c>
      <x:c r="F689" t="str">
        <x:f>IF(E689&gt;=WORKDAY.INTL(EOMONTH(E689,0)+1,-2,1,FERIADOS!$A$2:$A$250),"SÍ","NO")</x:f>
        <x:v>NO</x:v>
      </x:c>
      <x:c r="G689" s="10" t="n">
        <x:f>IF(F689="SÍ",EOMONTH(E689,0)+1,DATE(YEAR(E689),MONTH(E689),1))</x:f>
        <x:v>46327</x:v>
      </x:c>
      <x:c r="H689" t="str">
        <x:f>IF(D689="NO",IF(C689="SÍ","FERIADO","FIN DE SEMANA"),"LABORABLE")&amp;IF(F689="SÍ"," + CIERRE","")</x:f>
        <x:v>LABORABLE</x:v>
      </x:c>
      <x:c r="I689" t="str">
        <x:f>TEXT(G689,"yyyy-mm")</x:f>
        <x:v>2026-11</x:v>
      </x:c>
    </x:row>
    <x:row r="690" ht="19" customHeight="1">
      <x:c r="A690" s="2" t="n">
        <x:v>46346</x:v>
      </x:c>
      <x:c r="B690" t="str">
        <x:f>CHOOSE(WEEKDAY(A690,2),"Lunes","Martes","Miércoles","Jueves","Viernes","Sábado","Domingo")</x:f>
        <x:v>Viernes</x:v>
      </x:c>
      <x:c r="C690" t="str">
        <x:f>IF(COUNTIF(FERIADOS!$A$2:$A$250,A690)&gt;0,"SÍ","NO")</x:f>
        <x:v>SÍ</x:v>
      </x:c>
      <x:c r="D690" t="str">
        <x:f>IF(AND(WEEKDAY(A690,2)&lt;=5,C690="NO"),"SÍ","NO")</x:f>
        <x:v>NO</x:v>
      </x:c>
      <x:c r="E690" s="2" t="n">
        <x:f>WORKDAY.INTL(A690-1,1,1,FERIADOS!$A$2:$A$250)</x:f>
        <x:v>46349</x:v>
      </x:c>
      <x:c r="F690" t="str">
        <x:f>IF(E690&gt;=WORKDAY.INTL(EOMONTH(E690,0)+1,-2,1,FERIADOS!$A$2:$A$250),"SÍ","NO")</x:f>
        <x:v>NO</x:v>
      </x:c>
      <x:c r="G690" s="10" t="n">
        <x:f>IF(F690="SÍ",EOMONTH(E690,0)+1,DATE(YEAR(E690),MONTH(E690),1))</x:f>
        <x:v>46327</x:v>
      </x:c>
      <x:c r="H690" t="str">
        <x:f>IF(D690="NO",IF(C690="SÍ","FERIADO","FIN DE SEMANA"),"LABORABLE")&amp;IF(F690="SÍ"," + CIERRE","")</x:f>
        <x:v>FERIADO</x:v>
      </x:c>
      <x:c r="I690" t="str">
        <x:f>TEXT(G690,"yyyy-mm")</x:f>
        <x:v>2026-11</x:v>
      </x:c>
    </x:row>
    <x:row r="691" ht="19" customHeight="1">
      <x:c r="A691" s="2" t="n">
        <x:v>46347</x:v>
      </x:c>
      <x:c r="B691" t="str">
        <x:f>CHOOSE(WEEKDAY(A691,2),"Lunes","Martes","Miércoles","Jueves","Viernes","Sábado","Domingo")</x:f>
        <x:v>Sábado</x:v>
      </x:c>
      <x:c r="C691" t="str">
        <x:f>IF(COUNTIF(FERIADOS!$A$2:$A$250,A691)&gt;0,"SÍ","NO")</x:f>
        <x:v>NO</x:v>
      </x:c>
      <x:c r="D691" t="str">
        <x:f>IF(AND(WEEKDAY(A691,2)&lt;=5,C691="NO"),"SÍ","NO")</x:f>
        <x:v>NO</x:v>
      </x:c>
      <x:c r="E691" s="2" t="n">
        <x:f>WORKDAY.INTL(A691-1,1,1,FERIADOS!$A$2:$A$250)</x:f>
        <x:v>46349</x:v>
      </x:c>
      <x:c r="F691" t="str">
        <x:f>IF(E691&gt;=WORKDAY.INTL(EOMONTH(E691,0)+1,-2,1,FERIADOS!$A$2:$A$250),"SÍ","NO")</x:f>
        <x:v>NO</x:v>
      </x:c>
      <x:c r="G691" s="10" t="n">
        <x:f>IF(F691="SÍ",EOMONTH(E691,0)+1,DATE(YEAR(E691),MONTH(E691),1))</x:f>
        <x:v>46327</x:v>
      </x:c>
      <x:c r="H691" t="str">
        <x:f>IF(D691="NO",IF(C691="SÍ","FERIADO","FIN DE SEMANA"),"LABORABLE")&amp;IF(F691="SÍ"," + CIERRE","")</x:f>
        <x:v>FIN DE SEMANA</x:v>
      </x:c>
      <x:c r="I691" t="str">
        <x:f>TEXT(G691,"yyyy-mm")</x:f>
        <x:v>2026-11</x:v>
      </x:c>
    </x:row>
    <x:row r="692" ht="19" customHeight="1">
      <x:c r="A692" s="2" t="n">
        <x:v>46348</x:v>
      </x:c>
      <x:c r="B692" t="str">
        <x:f>CHOOSE(WEEKDAY(A692,2),"Lunes","Martes","Miércoles","Jueves","Viernes","Sábado","Domingo")</x:f>
        <x:v>Domingo</x:v>
      </x:c>
      <x:c r="C692" t="str">
        <x:f>IF(COUNTIF(FERIADOS!$A$2:$A$250,A692)&gt;0,"SÍ","NO")</x:f>
        <x:v>NO</x:v>
      </x:c>
      <x:c r="D692" t="str">
        <x:f>IF(AND(WEEKDAY(A692,2)&lt;=5,C692="NO"),"SÍ","NO")</x:f>
        <x:v>NO</x:v>
      </x:c>
      <x:c r="E692" s="2" t="n">
        <x:f>WORKDAY.INTL(A692-1,1,1,FERIADOS!$A$2:$A$250)</x:f>
        <x:v>46349</x:v>
      </x:c>
      <x:c r="F692" t="str">
        <x:f>IF(E692&gt;=WORKDAY.INTL(EOMONTH(E692,0)+1,-2,1,FERIADOS!$A$2:$A$250),"SÍ","NO")</x:f>
        <x:v>NO</x:v>
      </x:c>
      <x:c r="G692" s="10" t="n">
        <x:f>IF(F692="SÍ",EOMONTH(E692,0)+1,DATE(YEAR(E692),MONTH(E692),1))</x:f>
        <x:v>46327</x:v>
      </x:c>
      <x:c r="H692" t="str">
        <x:f>IF(D692="NO",IF(C692="SÍ","FERIADO","FIN DE SEMANA"),"LABORABLE")&amp;IF(F692="SÍ"," + CIERRE","")</x:f>
        <x:v>FIN DE SEMANA</x:v>
      </x:c>
      <x:c r="I692" t="str">
        <x:f>TEXT(G692,"yyyy-mm")</x:f>
        <x:v>2026-11</x:v>
      </x:c>
    </x:row>
    <x:row r="693" ht="19" customHeight="1">
      <x:c r="A693" s="2" t="n">
        <x:v>46349</x:v>
      </x:c>
      <x:c r="B693" t="str">
        <x:f>CHOOSE(WEEKDAY(A693,2),"Lunes","Martes","Miércoles","Jueves","Viernes","Sábado","Domingo")</x:f>
        <x:v>Lunes</x:v>
      </x:c>
      <x:c r="C693" t="str">
        <x:f>IF(COUNTIF(FERIADOS!$A$2:$A$250,A693)&gt;0,"SÍ","NO")</x:f>
        <x:v>NO</x:v>
      </x:c>
      <x:c r="D693" t="str">
        <x:f>IF(AND(WEEKDAY(A693,2)&lt;=5,C693="NO"),"SÍ","NO")</x:f>
        <x:v>SÍ</x:v>
      </x:c>
      <x:c r="E693" s="2" t="n">
        <x:f>WORKDAY.INTL(A693-1,1,1,FERIADOS!$A$2:$A$250)</x:f>
        <x:v>46349</x:v>
      </x:c>
      <x:c r="F693" t="str">
        <x:f>IF(E693&gt;=WORKDAY.INTL(EOMONTH(E693,0)+1,-2,1,FERIADOS!$A$2:$A$250),"SÍ","NO")</x:f>
        <x:v>NO</x:v>
      </x:c>
      <x:c r="G693" s="10" t="n">
        <x:f>IF(F693="SÍ",EOMONTH(E693,0)+1,DATE(YEAR(E693),MONTH(E693),1))</x:f>
        <x:v>46327</x:v>
      </x:c>
      <x:c r="H693" t="str">
        <x:f>IF(D693="NO",IF(C693="SÍ","FERIADO","FIN DE SEMANA"),"LABORABLE")&amp;IF(F693="SÍ"," + CIERRE","")</x:f>
        <x:v>LABORABLE</x:v>
      </x:c>
      <x:c r="I693" t="str">
        <x:f>TEXT(G693,"yyyy-mm")</x:f>
        <x:v>2026-11</x:v>
      </x:c>
    </x:row>
    <x:row r="694" ht="19" customHeight="1">
      <x:c r="A694" s="2" t="n">
        <x:v>46350</x:v>
      </x:c>
      <x:c r="B694" t="str">
        <x:f>CHOOSE(WEEKDAY(A694,2),"Lunes","Martes","Miércoles","Jueves","Viernes","Sábado","Domingo")</x:f>
        <x:v>Martes</x:v>
      </x:c>
      <x:c r="C694" t="str">
        <x:f>IF(COUNTIF(FERIADOS!$A$2:$A$250,A694)&gt;0,"SÍ","NO")</x:f>
        <x:v>NO</x:v>
      </x:c>
      <x:c r="D694" t="str">
        <x:f>IF(AND(WEEKDAY(A694,2)&lt;=5,C694="NO"),"SÍ","NO")</x:f>
        <x:v>SÍ</x:v>
      </x:c>
      <x:c r="E694" s="2" t="n">
        <x:f>WORKDAY.INTL(A694-1,1,1,FERIADOS!$A$2:$A$250)</x:f>
        <x:v>46350</x:v>
      </x:c>
      <x:c r="F694" t="str">
        <x:f>IF(E694&gt;=WORKDAY.INTL(EOMONTH(E694,0)+1,-2,1,FERIADOS!$A$2:$A$250),"SÍ","NO")</x:f>
        <x:v>NO</x:v>
      </x:c>
      <x:c r="G694" s="10" t="n">
        <x:f>IF(F694="SÍ",EOMONTH(E694,0)+1,DATE(YEAR(E694),MONTH(E694),1))</x:f>
        <x:v>46327</x:v>
      </x:c>
      <x:c r="H694" t="str">
        <x:f>IF(D694="NO",IF(C694="SÍ","FERIADO","FIN DE SEMANA"),"LABORABLE")&amp;IF(F694="SÍ"," + CIERRE","")</x:f>
        <x:v>LABORABLE</x:v>
      </x:c>
      <x:c r="I694" t="str">
        <x:f>TEXT(G694,"yyyy-mm")</x:f>
        <x:v>2026-11</x:v>
      </x:c>
    </x:row>
    <x:row r="695" ht="19" customHeight="1">
      <x:c r="A695" s="2" t="n">
        <x:v>46351</x:v>
      </x:c>
      <x:c r="B695" t="str">
        <x:f>CHOOSE(WEEKDAY(A695,2),"Lunes","Martes","Miércoles","Jueves","Viernes","Sábado","Domingo")</x:f>
        <x:v>Miércoles</x:v>
      </x:c>
      <x:c r="C695" t="str">
        <x:f>IF(COUNTIF(FERIADOS!$A$2:$A$250,A695)&gt;0,"SÍ","NO")</x:f>
        <x:v>NO</x:v>
      </x:c>
      <x:c r="D695" t="str">
        <x:f>IF(AND(WEEKDAY(A695,2)&lt;=5,C695="NO"),"SÍ","NO")</x:f>
        <x:v>SÍ</x:v>
      </x:c>
      <x:c r="E695" s="2" t="n">
        <x:f>WORKDAY.INTL(A695-1,1,1,FERIADOS!$A$2:$A$250)</x:f>
        <x:v>46351</x:v>
      </x:c>
      <x:c r="F695" t="str">
        <x:f>IF(E695&gt;=WORKDAY.INTL(EOMONTH(E695,0)+1,-2,1,FERIADOS!$A$2:$A$250),"SÍ","NO")</x:f>
        <x:v>NO</x:v>
      </x:c>
      <x:c r="G695" s="10" t="n">
        <x:f>IF(F695="SÍ",EOMONTH(E695,0)+1,DATE(YEAR(E695),MONTH(E695),1))</x:f>
        <x:v>46327</x:v>
      </x:c>
      <x:c r="H695" t="str">
        <x:f>IF(D695="NO",IF(C695="SÍ","FERIADO","FIN DE SEMANA"),"LABORABLE")&amp;IF(F695="SÍ"," + CIERRE","")</x:f>
        <x:v>LABORABLE</x:v>
      </x:c>
      <x:c r="I695" t="str">
        <x:f>TEXT(G695,"yyyy-mm")</x:f>
        <x:v>2026-11</x:v>
      </x:c>
    </x:row>
    <x:row r="696" ht="19" customHeight="1">
      <x:c r="A696" s="2" t="n">
        <x:v>46352</x:v>
      </x:c>
      <x:c r="B696" t="str">
        <x:f>CHOOSE(WEEKDAY(A696,2),"Lunes","Martes","Miércoles","Jueves","Viernes","Sábado","Domingo")</x:f>
        <x:v>Jueves</x:v>
      </x:c>
      <x:c r="C696" t="str">
        <x:f>IF(COUNTIF(FERIADOS!$A$2:$A$250,A696)&gt;0,"SÍ","NO")</x:f>
        <x:v>NO</x:v>
      </x:c>
      <x:c r="D696" t="str">
        <x:f>IF(AND(WEEKDAY(A696,2)&lt;=5,C696="NO"),"SÍ","NO")</x:f>
        <x:v>SÍ</x:v>
      </x:c>
      <x:c r="E696" s="2" t="n">
        <x:f>WORKDAY.INTL(A696-1,1,1,FERIADOS!$A$2:$A$250)</x:f>
        <x:v>46352</x:v>
      </x:c>
      <x:c r="F696" t="str">
        <x:f>IF(E696&gt;=WORKDAY.INTL(EOMONTH(E696,0)+1,-2,1,FERIADOS!$A$2:$A$250),"SÍ","NO")</x:f>
        <x:v>NO</x:v>
      </x:c>
      <x:c r="G696" s="10" t="n">
        <x:f>IF(F696="SÍ",EOMONTH(E696,0)+1,DATE(YEAR(E696),MONTH(E696),1))</x:f>
        <x:v>46327</x:v>
      </x:c>
      <x:c r="H696" t="str">
        <x:f>IF(D696="NO",IF(C696="SÍ","FERIADO","FIN DE SEMANA"),"LABORABLE")&amp;IF(F696="SÍ"," + CIERRE","")</x:f>
        <x:v>LABORABLE</x:v>
      </x:c>
      <x:c r="I696" t="str">
        <x:f>TEXT(G696,"yyyy-mm")</x:f>
        <x:v>2026-11</x:v>
      </x:c>
    </x:row>
    <x:row r="697" ht="19" customHeight="1">
      <x:c r="A697" s="2" t="n">
        <x:v>46353</x:v>
      </x:c>
      <x:c r="B697" t="str">
        <x:f>CHOOSE(WEEKDAY(A697,2),"Lunes","Martes","Miércoles","Jueves","Viernes","Sábado","Domingo")</x:f>
        <x:v>Viernes</x:v>
      </x:c>
      <x:c r="C697" t="str">
        <x:f>IF(COUNTIF(FERIADOS!$A$2:$A$250,A697)&gt;0,"SÍ","NO")</x:f>
        <x:v>NO</x:v>
      </x:c>
      <x:c r="D697" t="str">
        <x:f>IF(AND(WEEKDAY(A697,2)&lt;=5,C697="NO"),"SÍ","NO")</x:f>
        <x:v>SÍ</x:v>
      </x:c>
      <x:c r="E697" s="2" t="n">
        <x:f>WORKDAY.INTL(A697-1,1,1,FERIADOS!$A$2:$A$250)</x:f>
        <x:v>46353</x:v>
      </x:c>
      <x:c r="F697" t="str">
        <x:f>IF(E697&gt;=WORKDAY.INTL(EOMONTH(E697,0)+1,-2,1,FERIADOS!$A$2:$A$250),"SÍ","NO")</x:f>
        <x:v>SÍ</x:v>
      </x:c>
      <x:c r="G697" s="10" t="n">
        <x:f>IF(F697="SÍ",EOMONTH(E697,0)+1,DATE(YEAR(E697),MONTH(E697),1))</x:f>
        <x:v>46357</x:v>
      </x:c>
      <x:c r="H697" t="str">
        <x:f>IF(D697="NO",IF(C697="SÍ","FERIADO","FIN DE SEMANA"),"LABORABLE")&amp;IF(F697="SÍ"," + CIERRE","")</x:f>
        <x:v>LABORABLE + CIERRE</x:v>
      </x:c>
      <x:c r="I697" t="str">
        <x:f>TEXT(G697,"yyyy-mm")</x:f>
        <x:v>2026-12</x:v>
      </x:c>
    </x:row>
    <x:row r="698" ht="19" customHeight="1">
      <x:c r="A698" s="2" t="n">
        <x:v>46354</x:v>
      </x:c>
      <x:c r="B698" t="str">
        <x:f>CHOOSE(WEEKDAY(A698,2),"Lunes","Martes","Miércoles","Jueves","Viernes","Sábado","Domingo")</x:f>
        <x:v>Sábado</x:v>
      </x:c>
      <x:c r="C698" t="str">
        <x:f>IF(COUNTIF(FERIADOS!$A$2:$A$250,A698)&gt;0,"SÍ","NO")</x:f>
        <x:v>NO</x:v>
      </x:c>
      <x:c r="D698" t="str">
        <x:f>IF(AND(WEEKDAY(A698,2)&lt;=5,C698="NO"),"SÍ","NO")</x:f>
        <x:v>NO</x:v>
      </x:c>
      <x:c r="E698" s="2" t="n">
        <x:f>WORKDAY.INTL(A698-1,1,1,FERIADOS!$A$2:$A$250)</x:f>
        <x:v>46356</x:v>
      </x:c>
      <x:c r="F698" t="str">
        <x:f>IF(E698&gt;=WORKDAY.INTL(EOMONTH(E698,0)+1,-2,1,FERIADOS!$A$2:$A$250),"SÍ","NO")</x:f>
        <x:v>SÍ</x:v>
      </x:c>
      <x:c r="G698" s="10" t="n">
        <x:f>IF(F698="SÍ",EOMONTH(E698,0)+1,DATE(YEAR(E698),MONTH(E698),1))</x:f>
        <x:v>46357</x:v>
      </x:c>
      <x:c r="H698" t="str">
        <x:f>IF(D698="NO",IF(C698="SÍ","FERIADO","FIN DE SEMANA"),"LABORABLE")&amp;IF(F698="SÍ"," + CIERRE","")</x:f>
        <x:v>FIN DE SEMANA + CIERRE</x:v>
      </x:c>
      <x:c r="I698" t="str">
        <x:f>TEXT(G698,"yyyy-mm")</x:f>
        <x:v>2026-12</x:v>
      </x:c>
    </x:row>
    <x:row r="699" ht="19" customHeight="1">
      <x:c r="A699" s="2" t="n">
        <x:v>46355</x:v>
      </x:c>
      <x:c r="B699" t="str">
        <x:f>CHOOSE(WEEKDAY(A699,2),"Lunes","Martes","Miércoles","Jueves","Viernes","Sábado","Domingo")</x:f>
        <x:v>Domingo</x:v>
      </x:c>
      <x:c r="C699" t="str">
        <x:f>IF(COUNTIF(FERIADOS!$A$2:$A$250,A699)&gt;0,"SÍ","NO")</x:f>
        <x:v>NO</x:v>
      </x:c>
      <x:c r="D699" t="str">
        <x:f>IF(AND(WEEKDAY(A699,2)&lt;=5,C699="NO"),"SÍ","NO")</x:f>
        <x:v>NO</x:v>
      </x:c>
      <x:c r="E699" s="2" t="n">
        <x:f>WORKDAY.INTL(A699-1,1,1,FERIADOS!$A$2:$A$250)</x:f>
        <x:v>46356</x:v>
      </x:c>
      <x:c r="F699" t="str">
        <x:f>IF(E699&gt;=WORKDAY.INTL(EOMONTH(E699,0)+1,-2,1,FERIADOS!$A$2:$A$250),"SÍ","NO")</x:f>
        <x:v>SÍ</x:v>
      </x:c>
      <x:c r="G699" s="10" t="n">
        <x:f>IF(F699="SÍ",EOMONTH(E699,0)+1,DATE(YEAR(E699),MONTH(E699),1))</x:f>
        <x:v>46357</x:v>
      </x:c>
      <x:c r="H699" t="str">
        <x:f>IF(D699="NO",IF(C699="SÍ","FERIADO","FIN DE SEMANA"),"LABORABLE")&amp;IF(F699="SÍ"," + CIERRE","")</x:f>
        <x:v>FIN DE SEMANA + CIERRE</x:v>
      </x:c>
      <x:c r="I699" t="str">
        <x:f>TEXT(G699,"yyyy-mm")</x:f>
        <x:v>2026-12</x:v>
      </x:c>
    </x:row>
    <x:row r="700" ht="19" customHeight="1">
      <x:c r="A700" s="2" t="n">
        <x:v>46356</x:v>
      </x:c>
      <x:c r="B700" t="str">
        <x:f>CHOOSE(WEEKDAY(A700,2),"Lunes","Martes","Miércoles","Jueves","Viernes","Sábado","Domingo")</x:f>
        <x:v>Lunes</x:v>
      </x:c>
      <x:c r="C700" t="str">
        <x:f>IF(COUNTIF(FERIADOS!$A$2:$A$250,A700)&gt;0,"SÍ","NO")</x:f>
        <x:v>NO</x:v>
      </x:c>
      <x:c r="D700" t="str">
        <x:f>IF(AND(WEEKDAY(A700,2)&lt;=5,C700="NO"),"SÍ","NO")</x:f>
        <x:v>SÍ</x:v>
      </x:c>
      <x:c r="E700" s="2" t="n">
        <x:f>WORKDAY.INTL(A700-1,1,1,FERIADOS!$A$2:$A$250)</x:f>
        <x:v>46356</x:v>
      </x:c>
      <x:c r="F700" t="str">
        <x:f>IF(E700&gt;=WORKDAY.INTL(EOMONTH(E700,0)+1,-2,1,FERIADOS!$A$2:$A$250),"SÍ","NO")</x:f>
        <x:v>SÍ</x:v>
      </x:c>
      <x:c r="G700" s="10" t="n">
        <x:f>IF(F700="SÍ",EOMONTH(E700,0)+1,DATE(YEAR(E700),MONTH(E700),1))</x:f>
        <x:v>46357</x:v>
      </x:c>
      <x:c r="H700" t="str">
        <x:f>IF(D700="NO",IF(C700="SÍ","FERIADO","FIN DE SEMANA"),"LABORABLE")&amp;IF(F700="SÍ"," + CIERRE","")</x:f>
        <x:v>LABORABLE + CIERRE</x:v>
      </x:c>
      <x:c r="I700" t="str">
        <x:f>TEXT(G700,"yyyy-mm")</x:f>
        <x:v>2026-12</x:v>
      </x:c>
    </x:row>
    <x:row r="701" ht="19" customHeight="1">
      <x:c r="A701" s="2" t="n">
        <x:v>46357</x:v>
      </x:c>
      <x:c r="B701" t="str">
        <x:f>CHOOSE(WEEKDAY(A701,2),"Lunes","Martes","Miércoles","Jueves","Viernes","Sábado","Domingo")</x:f>
        <x:v>Martes</x:v>
      </x:c>
      <x:c r="C701" t="str">
        <x:f>IF(COUNTIF(FERIADOS!$A$2:$A$250,A701)&gt;0,"SÍ","NO")</x:f>
        <x:v>NO</x:v>
      </x:c>
      <x:c r="D701" t="str">
        <x:f>IF(AND(WEEKDAY(A701,2)&lt;=5,C701="NO"),"SÍ","NO")</x:f>
        <x:v>SÍ</x:v>
      </x:c>
      <x:c r="E701" s="2" t="n">
        <x:f>WORKDAY.INTL(A701-1,1,1,FERIADOS!$A$2:$A$250)</x:f>
        <x:v>46357</x:v>
      </x:c>
      <x:c r="F701" t="str">
        <x:f>IF(E701&gt;=WORKDAY.INTL(EOMONTH(E701,0)+1,-2,1,FERIADOS!$A$2:$A$250),"SÍ","NO")</x:f>
        <x:v>NO</x:v>
      </x:c>
      <x:c r="G701" s="10" t="n">
        <x:f>IF(F701="SÍ",EOMONTH(E701,0)+1,DATE(YEAR(E701),MONTH(E701),1))</x:f>
        <x:v>46357</x:v>
      </x:c>
      <x:c r="H701" t="str">
        <x:f>IF(D701="NO",IF(C701="SÍ","FERIADO","FIN DE SEMANA"),"LABORABLE")&amp;IF(F701="SÍ"," + CIERRE","")</x:f>
        <x:v>LABORABLE</x:v>
      </x:c>
      <x:c r="I701" t="str">
        <x:f>TEXT(G701,"yyyy-mm")</x:f>
        <x:v>2026-12</x:v>
      </x:c>
    </x:row>
    <x:row r="702" ht="19" customHeight="1">
      <x:c r="A702" s="2" t="n">
        <x:v>46358</x:v>
      </x:c>
      <x:c r="B702" t="str">
        <x:f>CHOOSE(WEEKDAY(A702,2),"Lunes","Martes","Miércoles","Jueves","Viernes","Sábado","Domingo")</x:f>
        <x:v>Miércoles</x:v>
      </x:c>
      <x:c r="C702" t="str">
        <x:f>IF(COUNTIF(FERIADOS!$A$2:$A$250,A702)&gt;0,"SÍ","NO")</x:f>
        <x:v>NO</x:v>
      </x:c>
      <x:c r="D702" t="str">
        <x:f>IF(AND(WEEKDAY(A702,2)&lt;=5,C702="NO"),"SÍ","NO")</x:f>
        <x:v>SÍ</x:v>
      </x:c>
      <x:c r="E702" s="2" t="n">
        <x:f>WORKDAY.INTL(A702-1,1,1,FERIADOS!$A$2:$A$250)</x:f>
        <x:v>46358</x:v>
      </x:c>
      <x:c r="F702" t="str">
        <x:f>IF(E702&gt;=WORKDAY.INTL(EOMONTH(E702,0)+1,-2,1,FERIADOS!$A$2:$A$250),"SÍ","NO")</x:f>
        <x:v>NO</x:v>
      </x:c>
      <x:c r="G702" s="10" t="n">
        <x:f>IF(F702="SÍ",EOMONTH(E702,0)+1,DATE(YEAR(E702),MONTH(E702),1))</x:f>
        <x:v>46357</x:v>
      </x:c>
      <x:c r="H702" t="str">
        <x:f>IF(D702="NO",IF(C702="SÍ","FERIADO","FIN DE SEMANA"),"LABORABLE")&amp;IF(F702="SÍ"," + CIERRE","")</x:f>
        <x:v>LABORABLE</x:v>
      </x:c>
      <x:c r="I702" t="str">
        <x:f>TEXT(G702,"yyyy-mm")</x:f>
        <x:v>2026-12</x:v>
      </x:c>
    </x:row>
    <x:row r="703" ht="19" customHeight="1">
      <x:c r="A703" s="2" t="n">
        <x:v>46359</x:v>
      </x:c>
      <x:c r="B703" t="str">
        <x:f>CHOOSE(WEEKDAY(A703,2),"Lunes","Martes","Miércoles","Jueves","Viernes","Sábado","Domingo")</x:f>
        <x:v>Jueves</x:v>
      </x:c>
      <x:c r="C703" t="str">
        <x:f>IF(COUNTIF(FERIADOS!$A$2:$A$250,A703)&gt;0,"SÍ","NO")</x:f>
        <x:v>NO</x:v>
      </x:c>
      <x:c r="D703" t="str">
        <x:f>IF(AND(WEEKDAY(A703,2)&lt;=5,C703="NO"),"SÍ","NO")</x:f>
        <x:v>SÍ</x:v>
      </x:c>
      <x:c r="E703" s="2" t="n">
        <x:f>WORKDAY.INTL(A703-1,1,1,FERIADOS!$A$2:$A$250)</x:f>
        <x:v>46359</x:v>
      </x:c>
      <x:c r="F703" t="str">
        <x:f>IF(E703&gt;=WORKDAY.INTL(EOMONTH(E703,0)+1,-2,1,FERIADOS!$A$2:$A$250),"SÍ","NO")</x:f>
        <x:v>NO</x:v>
      </x:c>
      <x:c r="G703" s="10" t="n">
        <x:f>IF(F703="SÍ",EOMONTH(E703,0)+1,DATE(YEAR(E703),MONTH(E703),1))</x:f>
        <x:v>46357</x:v>
      </x:c>
      <x:c r="H703" t="str">
        <x:f>IF(D703="NO",IF(C703="SÍ","FERIADO","FIN DE SEMANA"),"LABORABLE")&amp;IF(F703="SÍ"," + CIERRE","")</x:f>
        <x:v>LABORABLE</x:v>
      </x:c>
      <x:c r="I703" t="str">
        <x:f>TEXT(G703,"yyyy-mm")</x:f>
        <x:v>2026-12</x:v>
      </x:c>
    </x:row>
    <x:row r="704" ht="19" customHeight="1">
      <x:c r="A704" s="2" t="n">
        <x:v>46360</x:v>
      </x:c>
      <x:c r="B704" t="str">
        <x:f>CHOOSE(WEEKDAY(A704,2),"Lunes","Martes","Miércoles","Jueves","Viernes","Sábado","Domingo")</x:f>
        <x:v>Viernes</x:v>
      </x:c>
      <x:c r="C704" t="str">
        <x:f>IF(COUNTIF(FERIADOS!$A$2:$A$250,A704)&gt;0,"SÍ","NO")</x:f>
        <x:v>NO</x:v>
      </x:c>
      <x:c r="D704" t="str">
        <x:f>IF(AND(WEEKDAY(A704,2)&lt;=5,C704="NO"),"SÍ","NO")</x:f>
        <x:v>SÍ</x:v>
      </x:c>
      <x:c r="E704" s="2" t="n">
        <x:f>WORKDAY.INTL(A704-1,1,1,FERIADOS!$A$2:$A$250)</x:f>
        <x:v>46360</x:v>
      </x:c>
      <x:c r="F704" t="str">
        <x:f>IF(E704&gt;=WORKDAY.INTL(EOMONTH(E704,0)+1,-2,1,FERIADOS!$A$2:$A$250),"SÍ","NO")</x:f>
        <x:v>NO</x:v>
      </x:c>
      <x:c r="G704" s="10" t="n">
        <x:f>IF(F704="SÍ",EOMONTH(E704,0)+1,DATE(YEAR(E704),MONTH(E704),1))</x:f>
        <x:v>46357</x:v>
      </x:c>
      <x:c r="H704" t="str">
        <x:f>IF(D704="NO",IF(C704="SÍ","FERIADO","FIN DE SEMANA"),"LABORABLE")&amp;IF(F704="SÍ"," + CIERRE","")</x:f>
        <x:v>LABORABLE</x:v>
      </x:c>
      <x:c r="I704" t="str">
        <x:f>TEXT(G704,"yyyy-mm")</x:f>
        <x:v>2026-12</x:v>
      </x:c>
    </x:row>
    <x:row r="705" ht="19" customHeight="1">
      <x:c r="A705" s="2" t="n">
        <x:v>46361</x:v>
      </x:c>
      <x:c r="B705" t="str">
        <x:f>CHOOSE(WEEKDAY(A705,2),"Lunes","Martes","Miércoles","Jueves","Viernes","Sábado","Domingo")</x:f>
        <x:v>Sábado</x:v>
      </x:c>
      <x:c r="C705" t="str">
        <x:f>IF(COUNTIF(FERIADOS!$A$2:$A$250,A705)&gt;0,"SÍ","NO")</x:f>
        <x:v>NO</x:v>
      </x:c>
      <x:c r="D705" t="str">
        <x:f>IF(AND(WEEKDAY(A705,2)&lt;=5,C705="NO"),"SÍ","NO")</x:f>
        <x:v>NO</x:v>
      </x:c>
      <x:c r="E705" s="2" t="n">
        <x:f>WORKDAY.INTL(A705-1,1,1,FERIADOS!$A$2:$A$250)</x:f>
        <x:v>46363</x:v>
      </x:c>
      <x:c r="F705" t="str">
        <x:f>IF(E705&gt;=WORKDAY.INTL(EOMONTH(E705,0)+1,-2,1,FERIADOS!$A$2:$A$250),"SÍ","NO")</x:f>
        <x:v>NO</x:v>
      </x:c>
      <x:c r="G705" s="10" t="n">
        <x:f>IF(F705="SÍ",EOMONTH(E705,0)+1,DATE(YEAR(E705),MONTH(E705),1))</x:f>
        <x:v>46357</x:v>
      </x:c>
      <x:c r="H705" t="str">
        <x:f>IF(D705="NO",IF(C705="SÍ","FERIADO","FIN DE SEMANA"),"LABORABLE")&amp;IF(F705="SÍ"," + CIERRE","")</x:f>
        <x:v>FIN DE SEMANA</x:v>
      </x:c>
      <x:c r="I705" t="str">
        <x:f>TEXT(G705,"yyyy-mm")</x:f>
        <x:v>2026-12</x:v>
      </x:c>
    </x:row>
    <x:row r="706" ht="19" customHeight="1">
      <x:c r="A706" s="2" t="n">
        <x:v>46362</x:v>
      </x:c>
      <x:c r="B706" t="str">
        <x:f>CHOOSE(WEEKDAY(A706,2),"Lunes","Martes","Miércoles","Jueves","Viernes","Sábado","Domingo")</x:f>
        <x:v>Domingo</x:v>
      </x:c>
      <x:c r="C706" t="str">
        <x:f>IF(COUNTIF(FERIADOS!$A$2:$A$250,A706)&gt;0,"SÍ","NO")</x:f>
        <x:v>NO</x:v>
      </x:c>
      <x:c r="D706" t="str">
        <x:f>IF(AND(WEEKDAY(A706,2)&lt;=5,C706="NO"),"SÍ","NO")</x:f>
        <x:v>NO</x:v>
      </x:c>
      <x:c r="E706" s="2" t="n">
        <x:f>WORKDAY.INTL(A706-1,1,1,FERIADOS!$A$2:$A$250)</x:f>
        <x:v>46363</x:v>
      </x:c>
      <x:c r="F706" t="str">
        <x:f>IF(E706&gt;=WORKDAY.INTL(EOMONTH(E706,0)+1,-2,1,FERIADOS!$A$2:$A$250),"SÍ","NO")</x:f>
        <x:v>NO</x:v>
      </x:c>
      <x:c r="G706" s="10" t="n">
        <x:f>IF(F706="SÍ",EOMONTH(E706,0)+1,DATE(YEAR(E706),MONTH(E706),1))</x:f>
        <x:v>46357</x:v>
      </x:c>
      <x:c r="H706" t="str">
        <x:f>IF(D706="NO",IF(C706="SÍ","FERIADO","FIN DE SEMANA"),"LABORABLE")&amp;IF(F706="SÍ"," + CIERRE","")</x:f>
        <x:v>FIN DE SEMANA</x:v>
      </x:c>
      <x:c r="I706" t="str">
        <x:f>TEXT(G706,"yyyy-mm")</x:f>
        <x:v>2026-12</x:v>
      </x:c>
    </x:row>
    <x:row r="707" ht="19" customHeight="1">
      <x:c r="A707" s="2" t="n">
        <x:v>46363</x:v>
      </x:c>
      <x:c r="B707" t="str">
        <x:f>CHOOSE(WEEKDAY(A707,2),"Lunes","Martes","Miércoles","Jueves","Viernes","Sábado","Domingo")</x:f>
        <x:v>Lunes</x:v>
      </x:c>
      <x:c r="C707" t="str">
        <x:f>IF(COUNTIF(FERIADOS!$A$2:$A$250,A707)&gt;0,"SÍ","NO")</x:f>
        <x:v>NO</x:v>
      </x:c>
      <x:c r="D707" t="str">
        <x:f>IF(AND(WEEKDAY(A707,2)&lt;=5,C707="NO"),"SÍ","NO")</x:f>
        <x:v>SÍ</x:v>
      </x:c>
      <x:c r="E707" s="2" t="n">
        <x:f>WORKDAY.INTL(A707-1,1,1,FERIADOS!$A$2:$A$250)</x:f>
        <x:v>46363</x:v>
      </x:c>
      <x:c r="F707" t="str">
        <x:f>IF(E707&gt;=WORKDAY.INTL(EOMONTH(E707,0)+1,-2,1,FERIADOS!$A$2:$A$250),"SÍ","NO")</x:f>
        <x:v>NO</x:v>
      </x:c>
      <x:c r="G707" s="10" t="n">
        <x:f>IF(F707="SÍ",EOMONTH(E707,0)+1,DATE(YEAR(E707),MONTH(E707),1))</x:f>
        <x:v>46357</x:v>
      </x:c>
      <x:c r="H707" t="str">
        <x:f>IF(D707="NO",IF(C707="SÍ","FERIADO","FIN DE SEMANA"),"LABORABLE")&amp;IF(F707="SÍ"," + CIERRE","")</x:f>
        <x:v>LABORABLE</x:v>
      </x:c>
      <x:c r="I707" t="str">
        <x:f>TEXT(G707,"yyyy-mm")</x:f>
        <x:v>2026-12</x:v>
      </x:c>
    </x:row>
    <x:row r="708" ht="19" customHeight="1">
      <x:c r="A708" s="2" t="n">
        <x:v>46364</x:v>
      </x:c>
      <x:c r="B708" t="str">
        <x:f>CHOOSE(WEEKDAY(A708,2),"Lunes","Martes","Miércoles","Jueves","Viernes","Sábado","Domingo")</x:f>
        <x:v>Martes</x:v>
      </x:c>
      <x:c r="C708" t="str">
        <x:f>IF(COUNTIF(FERIADOS!$A$2:$A$250,A708)&gt;0,"SÍ","NO")</x:f>
        <x:v>NO</x:v>
      </x:c>
      <x:c r="D708" t="str">
        <x:f>IF(AND(WEEKDAY(A708,2)&lt;=5,C708="NO"),"SÍ","NO")</x:f>
        <x:v>SÍ</x:v>
      </x:c>
      <x:c r="E708" s="2" t="n">
        <x:f>WORKDAY.INTL(A708-1,1,1,FERIADOS!$A$2:$A$250)</x:f>
        <x:v>46364</x:v>
      </x:c>
      <x:c r="F708" t="str">
        <x:f>IF(E708&gt;=WORKDAY.INTL(EOMONTH(E708,0)+1,-2,1,FERIADOS!$A$2:$A$250),"SÍ","NO")</x:f>
        <x:v>NO</x:v>
      </x:c>
      <x:c r="G708" s="10" t="n">
        <x:f>IF(F708="SÍ",EOMONTH(E708,0)+1,DATE(YEAR(E708),MONTH(E708),1))</x:f>
        <x:v>46357</x:v>
      </x:c>
      <x:c r="H708" t="str">
        <x:f>IF(D708="NO",IF(C708="SÍ","FERIADO","FIN DE SEMANA"),"LABORABLE")&amp;IF(F708="SÍ"," + CIERRE","")</x:f>
        <x:v>LABORABLE</x:v>
      </x:c>
      <x:c r="I708" t="str">
        <x:f>TEXT(G708,"yyyy-mm")</x:f>
        <x:v>2026-12</x:v>
      </x:c>
    </x:row>
    <x:row r="709" ht="19" customHeight="1">
      <x:c r="A709" s="2" t="n">
        <x:v>46365</x:v>
      </x:c>
      <x:c r="B709" t="str">
        <x:f>CHOOSE(WEEKDAY(A709,2),"Lunes","Martes","Miércoles","Jueves","Viernes","Sábado","Domingo")</x:f>
        <x:v>Miércoles</x:v>
      </x:c>
      <x:c r="C709" t="str">
        <x:f>IF(COUNTIF(FERIADOS!$A$2:$A$250,A709)&gt;0,"SÍ","NO")</x:f>
        <x:v>NO</x:v>
      </x:c>
      <x:c r="D709" t="str">
        <x:f>IF(AND(WEEKDAY(A709,2)&lt;=5,C709="NO"),"SÍ","NO")</x:f>
        <x:v>SÍ</x:v>
      </x:c>
      <x:c r="E709" s="2" t="n">
        <x:f>WORKDAY.INTL(A709-1,1,1,FERIADOS!$A$2:$A$250)</x:f>
        <x:v>46365</x:v>
      </x:c>
      <x:c r="F709" t="str">
        <x:f>IF(E709&gt;=WORKDAY.INTL(EOMONTH(E709,0)+1,-2,1,FERIADOS!$A$2:$A$250),"SÍ","NO")</x:f>
        <x:v>NO</x:v>
      </x:c>
      <x:c r="G709" s="10" t="n">
        <x:f>IF(F709="SÍ",EOMONTH(E709,0)+1,DATE(YEAR(E709),MONTH(E709),1))</x:f>
        <x:v>46357</x:v>
      </x:c>
      <x:c r="H709" t="str">
        <x:f>IF(D709="NO",IF(C709="SÍ","FERIADO","FIN DE SEMANA"),"LABORABLE")&amp;IF(F709="SÍ"," + CIERRE","")</x:f>
        <x:v>LABORABLE</x:v>
      </x:c>
      <x:c r="I709" t="str">
        <x:f>TEXT(G709,"yyyy-mm")</x:f>
        <x:v>2026-12</x:v>
      </x:c>
    </x:row>
    <x:row r="710" ht="19" customHeight="1">
      <x:c r="A710" s="2" t="n">
        <x:v>46366</x:v>
      </x:c>
      <x:c r="B710" t="str">
        <x:f>CHOOSE(WEEKDAY(A710,2),"Lunes","Martes","Miércoles","Jueves","Viernes","Sábado","Domingo")</x:f>
        <x:v>Jueves</x:v>
      </x:c>
      <x:c r="C710" t="str">
        <x:f>IF(COUNTIF(FERIADOS!$A$2:$A$250,A710)&gt;0,"SÍ","NO")</x:f>
        <x:v>NO</x:v>
      </x:c>
      <x:c r="D710" t="str">
        <x:f>IF(AND(WEEKDAY(A710,2)&lt;=5,C710="NO"),"SÍ","NO")</x:f>
        <x:v>SÍ</x:v>
      </x:c>
      <x:c r="E710" s="2" t="n">
        <x:f>WORKDAY.INTL(A710-1,1,1,FERIADOS!$A$2:$A$250)</x:f>
        <x:v>46366</x:v>
      </x:c>
      <x:c r="F710" t="str">
        <x:f>IF(E710&gt;=WORKDAY.INTL(EOMONTH(E710,0)+1,-2,1,FERIADOS!$A$2:$A$250),"SÍ","NO")</x:f>
        <x:v>NO</x:v>
      </x:c>
      <x:c r="G710" s="10" t="n">
        <x:f>IF(F710="SÍ",EOMONTH(E710,0)+1,DATE(YEAR(E710),MONTH(E710),1))</x:f>
        <x:v>46357</x:v>
      </x:c>
      <x:c r="H710" t="str">
        <x:f>IF(D710="NO",IF(C710="SÍ","FERIADO","FIN DE SEMANA"),"LABORABLE")&amp;IF(F710="SÍ"," + CIERRE","")</x:f>
        <x:v>LABORABLE</x:v>
      </x:c>
      <x:c r="I710" t="str">
        <x:f>TEXT(G710,"yyyy-mm")</x:f>
        <x:v>2026-12</x:v>
      </x:c>
    </x:row>
    <x:row r="711" ht="19" customHeight="1">
      <x:c r="A711" s="2" t="n">
        <x:v>46367</x:v>
      </x:c>
      <x:c r="B711" t="str">
        <x:f>CHOOSE(WEEKDAY(A711,2),"Lunes","Martes","Miércoles","Jueves","Viernes","Sábado","Domingo")</x:f>
        <x:v>Viernes</x:v>
      </x:c>
      <x:c r="C711" t="str">
        <x:f>IF(COUNTIF(FERIADOS!$A$2:$A$250,A711)&gt;0,"SÍ","NO")</x:f>
        <x:v>NO</x:v>
      </x:c>
      <x:c r="D711" t="str">
        <x:f>IF(AND(WEEKDAY(A711,2)&lt;=5,C711="NO"),"SÍ","NO")</x:f>
        <x:v>SÍ</x:v>
      </x:c>
      <x:c r="E711" s="2" t="n">
        <x:f>WORKDAY.INTL(A711-1,1,1,FERIADOS!$A$2:$A$250)</x:f>
        <x:v>46367</x:v>
      </x:c>
      <x:c r="F711" t="str">
        <x:f>IF(E711&gt;=WORKDAY.INTL(EOMONTH(E711,0)+1,-2,1,FERIADOS!$A$2:$A$250),"SÍ","NO")</x:f>
        <x:v>NO</x:v>
      </x:c>
      <x:c r="G711" s="10" t="n">
        <x:f>IF(F711="SÍ",EOMONTH(E711,0)+1,DATE(YEAR(E711),MONTH(E711),1))</x:f>
        <x:v>46357</x:v>
      </x:c>
      <x:c r="H711" t="str">
        <x:f>IF(D711="NO",IF(C711="SÍ","FERIADO","FIN DE SEMANA"),"LABORABLE")&amp;IF(F711="SÍ"," + CIERRE","")</x:f>
        <x:v>LABORABLE</x:v>
      </x:c>
      <x:c r="I711" t="str">
        <x:f>TEXT(G711,"yyyy-mm")</x:f>
        <x:v>2026-12</x:v>
      </x:c>
    </x:row>
    <x:row r="712" ht="19" customHeight="1">
      <x:c r="A712" s="2" t="n">
        <x:v>46368</x:v>
      </x:c>
      <x:c r="B712" t="str">
        <x:f>CHOOSE(WEEKDAY(A712,2),"Lunes","Martes","Miércoles","Jueves","Viernes","Sábado","Domingo")</x:f>
        <x:v>Sábado</x:v>
      </x:c>
      <x:c r="C712" t="str">
        <x:f>IF(COUNTIF(FERIADOS!$A$2:$A$250,A712)&gt;0,"SÍ","NO")</x:f>
        <x:v>NO</x:v>
      </x:c>
      <x:c r="D712" t="str">
        <x:f>IF(AND(WEEKDAY(A712,2)&lt;=5,C712="NO"),"SÍ","NO")</x:f>
        <x:v>NO</x:v>
      </x:c>
      <x:c r="E712" s="2" t="n">
        <x:f>WORKDAY.INTL(A712-1,1,1,FERIADOS!$A$2:$A$250)</x:f>
        <x:v>46370</x:v>
      </x:c>
      <x:c r="F712" t="str">
        <x:f>IF(E712&gt;=WORKDAY.INTL(EOMONTH(E712,0)+1,-2,1,FERIADOS!$A$2:$A$250),"SÍ","NO")</x:f>
        <x:v>NO</x:v>
      </x:c>
      <x:c r="G712" s="10" t="n">
        <x:f>IF(F712="SÍ",EOMONTH(E712,0)+1,DATE(YEAR(E712),MONTH(E712),1))</x:f>
        <x:v>46357</x:v>
      </x:c>
      <x:c r="H712" t="str">
        <x:f>IF(D712="NO",IF(C712="SÍ","FERIADO","FIN DE SEMANA"),"LABORABLE")&amp;IF(F712="SÍ"," + CIERRE","")</x:f>
        <x:v>FIN DE SEMANA</x:v>
      </x:c>
      <x:c r="I712" t="str">
        <x:f>TEXT(G712,"yyyy-mm")</x:f>
        <x:v>2026-12</x:v>
      </x:c>
    </x:row>
    <x:row r="713" ht="19" customHeight="1">
      <x:c r="A713" s="2" t="n">
        <x:v>46369</x:v>
      </x:c>
      <x:c r="B713" t="str">
        <x:f>CHOOSE(WEEKDAY(A713,2),"Lunes","Martes","Miércoles","Jueves","Viernes","Sábado","Domingo")</x:f>
        <x:v>Domingo</x:v>
      </x:c>
      <x:c r="C713" t="str">
        <x:f>IF(COUNTIF(FERIADOS!$A$2:$A$250,A713)&gt;0,"SÍ","NO")</x:f>
        <x:v>NO</x:v>
      </x:c>
      <x:c r="D713" t="str">
        <x:f>IF(AND(WEEKDAY(A713,2)&lt;=5,C713="NO"),"SÍ","NO")</x:f>
        <x:v>NO</x:v>
      </x:c>
      <x:c r="E713" s="2" t="n">
        <x:f>WORKDAY.INTL(A713-1,1,1,FERIADOS!$A$2:$A$250)</x:f>
        <x:v>46370</x:v>
      </x:c>
      <x:c r="F713" t="str">
        <x:f>IF(E713&gt;=WORKDAY.INTL(EOMONTH(E713,0)+1,-2,1,FERIADOS!$A$2:$A$250),"SÍ","NO")</x:f>
        <x:v>NO</x:v>
      </x:c>
      <x:c r="G713" s="10" t="n">
        <x:f>IF(F713="SÍ",EOMONTH(E713,0)+1,DATE(YEAR(E713),MONTH(E713),1))</x:f>
        <x:v>46357</x:v>
      </x:c>
      <x:c r="H713" t="str">
        <x:f>IF(D713="NO",IF(C713="SÍ","FERIADO","FIN DE SEMANA"),"LABORABLE")&amp;IF(F713="SÍ"," + CIERRE","")</x:f>
        <x:v>FIN DE SEMANA</x:v>
      </x:c>
      <x:c r="I713" t="str">
        <x:f>TEXT(G713,"yyyy-mm")</x:f>
        <x:v>2026-12</x:v>
      </x:c>
    </x:row>
    <x:row r="714" ht="19" customHeight="1">
      <x:c r="A714" s="2" t="n">
        <x:v>46370</x:v>
      </x:c>
      <x:c r="B714" t="str">
        <x:f>CHOOSE(WEEKDAY(A714,2),"Lunes","Martes","Miércoles","Jueves","Viernes","Sábado","Domingo")</x:f>
        <x:v>Lunes</x:v>
      </x:c>
      <x:c r="C714" t="str">
        <x:f>IF(COUNTIF(FERIADOS!$A$2:$A$250,A714)&gt;0,"SÍ","NO")</x:f>
        <x:v>NO</x:v>
      </x:c>
      <x:c r="D714" t="str">
        <x:f>IF(AND(WEEKDAY(A714,2)&lt;=5,C714="NO"),"SÍ","NO")</x:f>
        <x:v>SÍ</x:v>
      </x:c>
      <x:c r="E714" s="2" t="n">
        <x:f>WORKDAY.INTL(A714-1,1,1,FERIADOS!$A$2:$A$250)</x:f>
        <x:v>46370</x:v>
      </x:c>
      <x:c r="F714" t="str">
        <x:f>IF(E714&gt;=WORKDAY.INTL(EOMONTH(E714,0)+1,-2,1,FERIADOS!$A$2:$A$250),"SÍ","NO")</x:f>
        <x:v>NO</x:v>
      </x:c>
      <x:c r="G714" s="10" t="n">
        <x:f>IF(F714="SÍ",EOMONTH(E714,0)+1,DATE(YEAR(E714),MONTH(E714),1))</x:f>
        <x:v>46357</x:v>
      </x:c>
      <x:c r="H714" t="str">
        <x:f>IF(D714="NO",IF(C714="SÍ","FERIADO","FIN DE SEMANA"),"LABORABLE")&amp;IF(F714="SÍ"," + CIERRE","")</x:f>
        <x:v>LABORABLE</x:v>
      </x:c>
      <x:c r="I714" t="str">
        <x:f>TEXT(G714,"yyyy-mm")</x:f>
        <x:v>2026-12</x:v>
      </x:c>
    </x:row>
    <x:row r="715" ht="19" customHeight="1">
      <x:c r="A715" s="2" t="n">
        <x:v>46371</x:v>
      </x:c>
      <x:c r="B715" t="str">
        <x:f>CHOOSE(WEEKDAY(A715,2),"Lunes","Martes","Miércoles","Jueves","Viernes","Sábado","Domingo")</x:f>
        <x:v>Martes</x:v>
      </x:c>
      <x:c r="C715" t="str">
        <x:f>IF(COUNTIF(FERIADOS!$A$2:$A$250,A715)&gt;0,"SÍ","NO")</x:f>
        <x:v>NO</x:v>
      </x:c>
      <x:c r="D715" t="str">
        <x:f>IF(AND(WEEKDAY(A715,2)&lt;=5,C715="NO"),"SÍ","NO")</x:f>
        <x:v>SÍ</x:v>
      </x:c>
      <x:c r="E715" s="2" t="n">
        <x:f>WORKDAY.INTL(A715-1,1,1,FERIADOS!$A$2:$A$250)</x:f>
        <x:v>46371</x:v>
      </x:c>
      <x:c r="F715" t="str">
        <x:f>IF(E715&gt;=WORKDAY.INTL(EOMONTH(E715,0)+1,-2,1,FERIADOS!$A$2:$A$250),"SÍ","NO")</x:f>
        <x:v>NO</x:v>
      </x:c>
      <x:c r="G715" s="10" t="n">
        <x:f>IF(F715="SÍ",EOMONTH(E715,0)+1,DATE(YEAR(E715),MONTH(E715),1))</x:f>
        <x:v>46357</x:v>
      </x:c>
      <x:c r="H715" t="str">
        <x:f>IF(D715="NO",IF(C715="SÍ","FERIADO","FIN DE SEMANA"),"LABORABLE")&amp;IF(F715="SÍ"," + CIERRE","")</x:f>
        <x:v>LABORABLE</x:v>
      </x:c>
      <x:c r="I715" t="str">
        <x:f>TEXT(G715,"yyyy-mm")</x:f>
        <x:v>2026-12</x:v>
      </x:c>
    </x:row>
    <x:row r="716" ht="19" customHeight="1">
      <x:c r="A716" s="2" t="n">
        <x:v>46372</x:v>
      </x:c>
      <x:c r="B716" t="str">
        <x:f>CHOOSE(WEEKDAY(A716,2),"Lunes","Martes","Miércoles","Jueves","Viernes","Sábado","Domingo")</x:f>
        <x:v>Miércoles</x:v>
      </x:c>
      <x:c r="C716" t="str">
        <x:f>IF(COUNTIF(FERIADOS!$A$2:$A$250,A716)&gt;0,"SÍ","NO")</x:f>
        <x:v>NO</x:v>
      </x:c>
      <x:c r="D716" t="str">
        <x:f>IF(AND(WEEKDAY(A716,2)&lt;=5,C716="NO"),"SÍ","NO")</x:f>
        <x:v>SÍ</x:v>
      </x:c>
      <x:c r="E716" s="2" t="n">
        <x:f>WORKDAY.INTL(A716-1,1,1,FERIADOS!$A$2:$A$250)</x:f>
        <x:v>46372</x:v>
      </x:c>
      <x:c r="F716" t="str">
        <x:f>IF(E716&gt;=WORKDAY.INTL(EOMONTH(E716,0)+1,-2,1,FERIADOS!$A$2:$A$250),"SÍ","NO")</x:f>
        <x:v>NO</x:v>
      </x:c>
      <x:c r="G716" s="10" t="n">
        <x:f>IF(F716="SÍ",EOMONTH(E716,0)+1,DATE(YEAR(E716),MONTH(E716),1))</x:f>
        <x:v>46357</x:v>
      </x:c>
      <x:c r="H716" t="str">
        <x:f>IF(D716="NO",IF(C716="SÍ","FERIADO","FIN DE SEMANA"),"LABORABLE")&amp;IF(F716="SÍ"," + CIERRE","")</x:f>
        <x:v>LABORABLE</x:v>
      </x:c>
      <x:c r="I716" t="str">
        <x:f>TEXT(G716,"yyyy-mm")</x:f>
        <x:v>2026-12</x:v>
      </x:c>
    </x:row>
    <x:row r="717" ht="19" customHeight="1">
      <x:c r="A717" s="2" t="n">
        <x:v>46373</x:v>
      </x:c>
      <x:c r="B717" t="str">
        <x:f>CHOOSE(WEEKDAY(A717,2),"Lunes","Martes","Miércoles","Jueves","Viernes","Sábado","Domingo")</x:f>
        <x:v>Jueves</x:v>
      </x:c>
      <x:c r="C717" t="str">
        <x:f>IF(COUNTIF(FERIADOS!$A$2:$A$250,A717)&gt;0,"SÍ","NO")</x:f>
        <x:v>NO</x:v>
      </x:c>
      <x:c r="D717" t="str">
        <x:f>IF(AND(WEEKDAY(A717,2)&lt;=5,C717="NO"),"SÍ","NO")</x:f>
        <x:v>SÍ</x:v>
      </x:c>
      <x:c r="E717" s="2" t="n">
        <x:f>WORKDAY.INTL(A717-1,1,1,FERIADOS!$A$2:$A$250)</x:f>
        <x:v>46373</x:v>
      </x:c>
      <x:c r="F717" t="str">
        <x:f>IF(E717&gt;=WORKDAY.INTL(EOMONTH(E717,0)+1,-2,1,FERIADOS!$A$2:$A$250),"SÍ","NO")</x:f>
        <x:v>NO</x:v>
      </x:c>
      <x:c r="G717" s="10" t="n">
        <x:f>IF(F717="SÍ",EOMONTH(E717,0)+1,DATE(YEAR(E717),MONTH(E717),1))</x:f>
        <x:v>46357</x:v>
      </x:c>
      <x:c r="H717" t="str">
        <x:f>IF(D717="NO",IF(C717="SÍ","FERIADO","FIN DE SEMANA"),"LABORABLE")&amp;IF(F717="SÍ"," + CIERRE","")</x:f>
        <x:v>LABORABLE</x:v>
      </x:c>
      <x:c r="I717" t="str">
        <x:f>TEXT(G717,"yyyy-mm")</x:f>
        <x:v>2026-12</x:v>
      </x:c>
    </x:row>
    <x:row r="718" ht="19" customHeight="1">
      <x:c r="A718" s="2" t="n">
        <x:v>46374</x:v>
      </x:c>
      <x:c r="B718" t="str">
        <x:f>CHOOSE(WEEKDAY(A718,2),"Lunes","Martes","Miércoles","Jueves","Viernes","Sábado","Domingo")</x:f>
        <x:v>Viernes</x:v>
      </x:c>
      <x:c r="C718" t="str">
        <x:f>IF(COUNTIF(FERIADOS!$A$2:$A$250,A718)&gt;0,"SÍ","NO")</x:f>
        <x:v>NO</x:v>
      </x:c>
      <x:c r="D718" t="str">
        <x:f>IF(AND(WEEKDAY(A718,2)&lt;=5,C718="NO"),"SÍ","NO")</x:f>
        <x:v>SÍ</x:v>
      </x:c>
      <x:c r="E718" s="2" t="n">
        <x:f>WORKDAY.INTL(A718-1,1,1,FERIADOS!$A$2:$A$250)</x:f>
        <x:v>46374</x:v>
      </x:c>
      <x:c r="F718" t="str">
        <x:f>IF(E718&gt;=WORKDAY.INTL(EOMONTH(E718,0)+1,-2,1,FERIADOS!$A$2:$A$250),"SÍ","NO")</x:f>
        <x:v>NO</x:v>
      </x:c>
      <x:c r="G718" s="10" t="n">
        <x:f>IF(F718="SÍ",EOMONTH(E718,0)+1,DATE(YEAR(E718),MONTH(E718),1))</x:f>
        <x:v>46357</x:v>
      </x:c>
      <x:c r="H718" t="str">
        <x:f>IF(D718="NO",IF(C718="SÍ","FERIADO","FIN DE SEMANA"),"LABORABLE")&amp;IF(F718="SÍ"," + CIERRE","")</x:f>
        <x:v>LABORABLE</x:v>
      </x:c>
      <x:c r="I718" t="str">
        <x:f>TEXT(G718,"yyyy-mm")</x:f>
        <x:v>2026-12</x:v>
      </x:c>
    </x:row>
    <x:row r="719" ht="19" customHeight="1">
      <x:c r="A719" s="2" t="n">
        <x:v>46375</x:v>
      </x:c>
      <x:c r="B719" t="str">
        <x:f>CHOOSE(WEEKDAY(A719,2),"Lunes","Martes","Miércoles","Jueves","Viernes","Sábado","Domingo")</x:f>
        <x:v>Sábado</x:v>
      </x:c>
      <x:c r="C719" t="str">
        <x:f>IF(COUNTIF(FERIADOS!$A$2:$A$250,A719)&gt;0,"SÍ","NO")</x:f>
        <x:v>NO</x:v>
      </x:c>
      <x:c r="D719" t="str">
        <x:f>IF(AND(WEEKDAY(A719,2)&lt;=5,C719="NO"),"SÍ","NO")</x:f>
        <x:v>NO</x:v>
      </x:c>
      <x:c r="E719" s="2" t="n">
        <x:f>WORKDAY.INTL(A719-1,1,1,FERIADOS!$A$2:$A$250)</x:f>
        <x:v>46377</x:v>
      </x:c>
      <x:c r="F719" t="str">
        <x:f>IF(E719&gt;=WORKDAY.INTL(EOMONTH(E719,0)+1,-2,1,FERIADOS!$A$2:$A$250),"SÍ","NO")</x:f>
        <x:v>NO</x:v>
      </x:c>
      <x:c r="G719" s="10" t="n">
        <x:f>IF(F719="SÍ",EOMONTH(E719,0)+1,DATE(YEAR(E719),MONTH(E719),1))</x:f>
        <x:v>46357</x:v>
      </x:c>
      <x:c r="H719" t="str">
        <x:f>IF(D719="NO",IF(C719="SÍ","FERIADO","FIN DE SEMANA"),"LABORABLE")&amp;IF(F719="SÍ"," + CIERRE","")</x:f>
        <x:v>FIN DE SEMANA</x:v>
      </x:c>
      <x:c r="I719" t="str">
        <x:f>TEXT(G719,"yyyy-mm")</x:f>
        <x:v>2026-12</x:v>
      </x:c>
    </x:row>
    <x:row r="720" ht="19" customHeight="1">
      <x:c r="A720" s="2" t="n">
        <x:v>46376</x:v>
      </x:c>
      <x:c r="B720" t="str">
        <x:f>CHOOSE(WEEKDAY(A720,2),"Lunes","Martes","Miércoles","Jueves","Viernes","Sábado","Domingo")</x:f>
        <x:v>Domingo</x:v>
      </x:c>
      <x:c r="C720" t="str">
        <x:f>IF(COUNTIF(FERIADOS!$A$2:$A$250,A720)&gt;0,"SÍ","NO")</x:f>
        <x:v>NO</x:v>
      </x:c>
      <x:c r="D720" t="str">
        <x:f>IF(AND(WEEKDAY(A720,2)&lt;=5,C720="NO"),"SÍ","NO")</x:f>
        <x:v>NO</x:v>
      </x:c>
      <x:c r="E720" s="2" t="n">
        <x:f>WORKDAY.INTL(A720-1,1,1,FERIADOS!$A$2:$A$250)</x:f>
        <x:v>46377</x:v>
      </x:c>
      <x:c r="F720" t="str">
        <x:f>IF(E720&gt;=WORKDAY.INTL(EOMONTH(E720,0)+1,-2,1,FERIADOS!$A$2:$A$250),"SÍ","NO")</x:f>
        <x:v>NO</x:v>
      </x:c>
      <x:c r="G720" s="10" t="n">
        <x:f>IF(F720="SÍ",EOMONTH(E720,0)+1,DATE(YEAR(E720),MONTH(E720),1))</x:f>
        <x:v>46357</x:v>
      </x:c>
      <x:c r="H720" t="str">
        <x:f>IF(D720="NO",IF(C720="SÍ","FERIADO","FIN DE SEMANA"),"LABORABLE")&amp;IF(F720="SÍ"," + CIERRE","")</x:f>
        <x:v>FIN DE SEMANA</x:v>
      </x:c>
      <x:c r="I720" t="str">
        <x:f>TEXT(G720,"yyyy-mm")</x:f>
        <x:v>2026-12</x:v>
      </x:c>
    </x:row>
    <x:row r="721" ht="19" customHeight="1">
      <x:c r="A721" s="2" t="n">
        <x:v>46377</x:v>
      </x:c>
      <x:c r="B721" t="str">
        <x:f>CHOOSE(WEEKDAY(A721,2),"Lunes","Martes","Miércoles","Jueves","Viernes","Sábado","Domingo")</x:f>
        <x:v>Lunes</x:v>
      </x:c>
      <x:c r="C721" t="str">
        <x:f>IF(COUNTIF(FERIADOS!$A$2:$A$250,A721)&gt;0,"SÍ","NO")</x:f>
        <x:v>NO</x:v>
      </x:c>
      <x:c r="D721" t="str">
        <x:f>IF(AND(WEEKDAY(A721,2)&lt;=5,C721="NO"),"SÍ","NO")</x:f>
        <x:v>SÍ</x:v>
      </x:c>
      <x:c r="E721" s="2" t="n">
        <x:f>WORKDAY.INTL(A721-1,1,1,FERIADOS!$A$2:$A$250)</x:f>
        <x:v>46377</x:v>
      </x:c>
      <x:c r="F721" t="str">
        <x:f>IF(E721&gt;=WORKDAY.INTL(EOMONTH(E721,0)+1,-2,1,FERIADOS!$A$2:$A$250),"SÍ","NO")</x:f>
        <x:v>NO</x:v>
      </x:c>
      <x:c r="G721" s="10" t="n">
        <x:f>IF(F721="SÍ",EOMONTH(E721,0)+1,DATE(YEAR(E721),MONTH(E721),1))</x:f>
        <x:v>46357</x:v>
      </x:c>
      <x:c r="H721" t="str">
        <x:f>IF(D721="NO",IF(C721="SÍ","FERIADO","FIN DE SEMANA"),"LABORABLE")&amp;IF(F721="SÍ"," + CIERRE","")</x:f>
        <x:v>LABORABLE</x:v>
      </x:c>
      <x:c r="I721" t="str">
        <x:f>TEXT(G721,"yyyy-mm")</x:f>
        <x:v>2026-12</x:v>
      </x:c>
    </x:row>
    <x:row r="722" ht="19" customHeight="1">
      <x:c r="A722" s="2" t="n">
        <x:v>46378</x:v>
      </x:c>
      <x:c r="B722" t="str">
        <x:f>CHOOSE(WEEKDAY(A722,2),"Lunes","Martes","Miércoles","Jueves","Viernes","Sábado","Domingo")</x:f>
        <x:v>Martes</x:v>
      </x:c>
      <x:c r="C722" t="str">
        <x:f>IF(COUNTIF(FERIADOS!$A$2:$A$250,A722)&gt;0,"SÍ","NO")</x:f>
        <x:v>NO</x:v>
      </x:c>
      <x:c r="D722" t="str">
        <x:f>IF(AND(WEEKDAY(A722,2)&lt;=5,C722="NO"),"SÍ","NO")</x:f>
        <x:v>SÍ</x:v>
      </x:c>
      <x:c r="E722" s="2" t="n">
        <x:f>WORKDAY.INTL(A722-1,1,1,FERIADOS!$A$2:$A$250)</x:f>
        <x:v>46378</x:v>
      </x:c>
      <x:c r="F722" t="str">
        <x:f>IF(E722&gt;=WORKDAY.INTL(EOMONTH(E722,0)+1,-2,1,FERIADOS!$A$2:$A$250),"SÍ","NO")</x:f>
        <x:v>NO</x:v>
      </x:c>
      <x:c r="G722" s="10" t="n">
        <x:f>IF(F722="SÍ",EOMONTH(E722,0)+1,DATE(YEAR(E722),MONTH(E722),1))</x:f>
        <x:v>46357</x:v>
      </x:c>
      <x:c r="H722" t="str">
        <x:f>IF(D722="NO",IF(C722="SÍ","FERIADO","FIN DE SEMANA"),"LABORABLE")&amp;IF(F722="SÍ"," + CIERRE","")</x:f>
        <x:v>LABORABLE</x:v>
      </x:c>
      <x:c r="I722" t="str">
        <x:f>TEXT(G722,"yyyy-mm")</x:f>
        <x:v>2026-12</x:v>
      </x:c>
    </x:row>
    <x:row r="723" ht="19" customHeight="1">
      <x:c r="A723" s="2" t="n">
        <x:v>46379</x:v>
      </x:c>
      <x:c r="B723" t="str">
        <x:f>CHOOSE(WEEKDAY(A723,2),"Lunes","Martes","Miércoles","Jueves","Viernes","Sábado","Domingo")</x:f>
        <x:v>Miércoles</x:v>
      </x:c>
      <x:c r="C723" t="str">
        <x:f>IF(COUNTIF(FERIADOS!$A$2:$A$250,A723)&gt;0,"SÍ","NO")</x:f>
        <x:v>NO</x:v>
      </x:c>
      <x:c r="D723" t="str">
        <x:f>IF(AND(WEEKDAY(A723,2)&lt;=5,C723="NO"),"SÍ","NO")</x:f>
        <x:v>SÍ</x:v>
      </x:c>
      <x:c r="E723" s="2" t="n">
        <x:f>WORKDAY.INTL(A723-1,1,1,FERIADOS!$A$2:$A$250)</x:f>
        <x:v>46379</x:v>
      </x:c>
      <x:c r="F723" t="str">
        <x:f>IF(E723&gt;=WORKDAY.INTL(EOMONTH(E723,0)+1,-2,1,FERIADOS!$A$2:$A$250),"SÍ","NO")</x:f>
        <x:v>NO</x:v>
      </x:c>
      <x:c r="G723" s="10" t="n">
        <x:f>IF(F723="SÍ",EOMONTH(E723,0)+1,DATE(YEAR(E723),MONTH(E723),1))</x:f>
        <x:v>46357</x:v>
      </x:c>
      <x:c r="H723" t="str">
        <x:f>IF(D723="NO",IF(C723="SÍ","FERIADO","FIN DE SEMANA"),"LABORABLE")&amp;IF(F723="SÍ"," + CIERRE","")</x:f>
        <x:v>LABORABLE</x:v>
      </x:c>
      <x:c r="I723" t="str">
        <x:f>TEXT(G723,"yyyy-mm")</x:f>
        <x:v>2026-12</x:v>
      </x:c>
    </x:row>
    <x:row r="724" ht="19" customHeight="1">
      <x:c r="A724" s="2" t="n">
        <x:v>46380</x:v>
      </x:c>
      <x:c r="B724" t="str">
        <x:f>CHOOSE(WEEKDAY(A724,2),"Lunes","Martes","Miércoles","Jueves","Viernes","Sábado","Domingo")</x:f>
        <x:v>Jueves</x:v>
      </x:c>
      <x:c r="C724" t="str">
        <x:f>IF(COUNTIF(FERIADOS!$A$2:$A$250,A724)&gt;0,"SÍ","NO")</x:f>
        <x:v>NO</x:v>
      </x:c>
      <x:c r="D724" t="str">
        <x:f>IF(AND(WEEKDAY(A724,2)&lt;=5,C724="NO"),"SÍ","NO")</x:f>
        <x:v>SÍ</x:v>
      </x:c>
      <x:c r="E724" s="2" t="n">
        <x:f>WORKDAY.INTL(A724-1,1,1,FERIADOS!$A$2:$A$250)</x:f>
        <x:v>46380</x:v>
      </x:c>
      <x:c r="F724" t="str">
        <x:f>IF(E724&gt;=WORKDAY.INTL(EOMONTH(E724,0)+1,-2,1,FERIADOS!$A$2:$A$250),"SÍ","NO")</x:f>
        <x:v>NO</x:v>
      </x:c>
      <x:c r="G724" s="10" t="n">
        <x:f>IF(F724="SÍ",EOMONTH(E724,0)+1,DATE(YEAR(E724),MONTH(E724),1))</x:f>
        <x:v>46357</x:v>
      </x:c>
      <x:c r="H724" t="str">
        <x:f>IF(D724="NO",IF(C724="SÍ","FERIADO","FIN DE SEMANA"),"LABORABLE")&amp;IF(F724="SÍ"," + CIERRE","")</x:f>
        <x:v>LABORABLE</x:v>
      </x:c>
      <x:c r="I724" t="str">
        <x:f>TEXT(G724,"yyyy-mm")</x:f>
        <x:v>2026-12</x:v>
      </x:c>
    </x:row>
    <x:row r="725" ht="19" customHeight="1">
      <x:c r="A725" s="2" t="n">
        <x:v>46381</x:v>
      </x:c>
      <x:c r="B725" t="str">
        <x:f>CHOOSE(WEEKDAY(A725,2),"Lunes","Martes","Miércoles","Jueves","Viernes","Sábado","Domingo")</x:f>
        <x:v>Viernes</x:v>
      </x:c>
      <x:c r="C725" t="str">
        <x:f>IF(COUNTIF(FERIADOS!$A$2:$A$250,A725)&gt;0,"SÍ","NO")</x:f>
        <x:v>SÍ</x:v>
      </x:c>
      <x:c r="D725" t="str">
        <x:f>IF(AND(WEEKDAY(A725,2)&lt;=5,C725="NO"),"SÍ","NO")</x:f>
        <x:v>NO</x:v>
      </x:c>
      <x:c r="E725" s="2" t="n">
        <x:f>WORKDAY.INTL(A725-1,1,1,FERIADOS!$A$2:$A$250)</x:f>
        <x:v>46384</x:v>
      </x:c>
      <x:c r="F725" t="str">
        <x:f>IF(E725&gt;=WORKDAY.INTL(EOMONTH(E725,0)+1,-2,1,FERIADOS!$A$2:$A$250),"SÍ","NO")</x:f>
        <x:v>NO</x:v>
      </x:c>
      <x:c r="G725" s="10" t="n">
        <x:f>IF(F725="SÍ",EOMONTH(E725,0)+1,DATE(YEAR(E725),MONTH(E725),1))</x:f>
        <x:v>46357</x:v>
      </x:c>
      <x:c r="H725" t="str">
        <x:f>IF(D725="NO",IF(C725="SÍ","FERIADO","FIN DE SEMANA"),"LABORABLE")&amp;IF(F725="SÍ"," + CIERRE","")</x:f>
        <x:v>FERIADO</x:v>
      </x:c>
      <x:c r="I725" t="str">
        <x:f>TEXT(G725,"yyyy-mm")</x:f>
        <x:v>2026-12</x:v>
      </x:c>
    </x:row>
    <x:row r="726" ht="19" customHeight="1">
      <x:c r="A726" s="2" t="n">
        <x:v>46382</x:v>
      </x:c>
      <x:c r="B726" t="str">
        <x:f>CHOOSE(WEEKDAY(A726,2),"Lunes","Martes","Miércoles","Jueves","Viernes","Sábado","Domingo")</x:f>
        <x:v>Sábado</x:v>
      </x:c>
      <x:c r="C726" t="str">
        <x:f>IF(COUNTIF(FERIADOS!$A$2:$A$250,A726)&gt;0,"SÍ","NO")</x:f>
        <x:v>NO</x:v>
      </x:c>
      <x:c r="D726" t="str">
        <x:f>IF(AND(WEEKDAY(A726,2)&lt;=5,C726="NO"),"SÍ","NO")</x:f>
        <x:v>NO</x:v>
      </x:c>
      <x:c r="E726" s="2" t="n">
        <x:f>WORKDAY.INTL(A726-1,1,1,FERIADOS!$A$2:$A$250)</x:f>
        <x:v>46384</x:v>
      </x:c>
      <x:c r="F726" t="str">
        <x:f>IF(E726&gt;=WORKDAY.INTL(EOMONTH(E726,0)+1,-2,1,FERIADOS!$A$2:$A$250),"SÍ","NO")</x:f>
        <x:v>NO</x:v>
      </x:c>
      <x:c r="G726" s="10" t="n">
        <x:f>IF(F726="SÍ",EOMONTH(E726,0)+1,DATE(YEAR(E726),MONTH(E726),1))</x:f>
        <x:v>46357</x:v>
      </x:c>
      <x:c r="H726" t="str">
        <x:f>IF(D726="NO",IF(C726="SÍ","FERIADO","FIN DE SEMANA"),"LABORABLE")&amp;IF(F726="SÍ"," + CIERRE","")</x:f>
        <x:v>FIN DE SEMANA</x:v>
      </x:c>
      <x:c r="I726" t="str">
        <x:f>TEXT(G726,"yyyy-mm")</x:f>
        <x:v>2026-12</x:v>
      </x:c>
    </x:row>
    <x:row r="727" ht="19" customHeight="1">
      <x:c r="A727" s="2" t="n">
        <x:v>46383</x:v>
      </x:c>
      <x:c r="B727" t="str">
        <x:f>CHOOSE(WEEKDAY(A727,2),"Lunes","Martes","Miércoles","Jueves","Viernes","Sábado","Domingo")</x:f>
        <x:v>Domingo</x:v>
      </x:c>
      <x:c r="C727" t="str">
        <x:f>IF(COUNTIF(FERIADOS!$A$2:$A$250,A727)&gt;0,"SÍ","NO")</x:f>
        <x:v>NO</x:v>
      </x:c>
      <x:c r="D727" t="str">
        <x:f>IF(AND(WEEKDAY(A727,2)&lt;=5,C727="NO"),"SÍ","NO")</x:f>
        <x:v>NO</x:v>
      </x:c>
      <x:c r="E727" s="2" t="n">
        <x:f>WORKDAY.INTL(A727-1,1,1,FERIADOS!$A$2:$A$250)</x:f>
        <x:v>46384</x:v>
      </x:c>
      <x:c r="F727" t="str">
        <x:f>IF(E727&gt;=WORKDAY.INTL(EOMONTH(E727,0)+1,-2,1,FERIADOS!$A$2:$A$250),"SÍ","NO")</x:f>
        <x:v>NO</x:v>
      </x:c>
      <x:c r="G727" s="10" t="n">
        <x:f>IF(F727="SÍ",EOMONTH(E727,0)+1,DATE(YEAR(E727),MONTH(E727),1))</x:f>
        <x:v>46357</x:v>
      </x:c>
      <x:c r="H727" t="str">
        <x:f>IF(D727="NO",IF(C727="SÍ","FERIADO","FIN DE SEMANA"),"LABORABLE")&amp;IF(F727="SÍ"," + CIERRE","")</x:f>
        <x:v>FIN DE SEMANA</x:v>
      </x:c>
      <x:c r="I727" t="str">
        <x:f>TEXT(G727,"yyyy-mm")</x:f>
        <x:v>2026-12</x:v>
      </x:c>
    </x:row>
    <x:row r="728" ht="19" customHeight="1">
      <x:c r="A728" s="2" t="n">
        <x:v>46384</x:v>
      </x:c>
      <x:c r="B728" t="str">
        <x:f>CHOOSE(WEEKDAY(A728,2),"Lunes","Martes","Miércoles","Jueves","Viernes","Sábado","Domingo")</x:f>
        <x:v>Lunes</x:v>
      </x:c>
      <x:c r="C728" t="str">
        <x:f>IF(COUNTIF(FERIADOS!$A$2:$A$250,A728)&gt;0,"SÍ","NO")</x:f>
        <x:v>NO</x:v>
      </x:c>
      <x:c r="D728" t="str">
        <x:f>IF(AND(WEEKDAY(A728,2)&lt;=5,C728="NO"),"SÍ","NO")</x:f>
        <x:v>SÍ</x:v>
      </x:c>
      <x:c r="E728" s="2" t="n">
        <x:f>WORKDAY.INTL(A728-1,1,1,FERIADOS!$A$2:$A$250)</x:f>
        <x:v>46384</x:v>
      </x:c>
      <x:c r="F728" t="str">
        <x:f>IF(E728&gt;=WORKDAY.INTL(EOMONTH(E728,0)+1,-2,1,FERIADOS!$A$2:$A$250),"SÍ","NO")</x:f>
        <x:v>NO</x:v>
      </x:c>
      <x:c r="G728" s="10" t="n">
        <x:f>IF(F728="SÍ",EOMONTH(E728,0)+1,DATE(YEAR(E728),MONTH(E728),1))</x:f>
        <x:v>46357</x:v>
      </x:c>
      <x:c r="H728" t="str">
        <x:f>IF(D728="NO",IF(C728="SÍ","FERIADO","FIN DE SEMANA"),"LABORABLE")&amp;IF(F728="SÍ"," + CIERRE","")</x:f>
        <x:v>LABORABLE</x:v>
      </x:c>
      <x:c r="I728" t="str">
        <x:f>TEXT(G728,"yyyy-mm")</x:f>
        <x:v>2026-12</x:v>
      </x:c>
    </x:row>
    <x:row r="729" ht="19" customHeight="1">
      <x:c r="A729" s="2" t="n">
        <x:v>46385</x:v>
      </x:c>
      <x:c r="B729" t="str">
        <x:f>CHOOSE(WEEKDAY(A729,2),"Lunes","Martes","Miércoles","Jueves","Viernes","Sábado","Domingo")</x:f>
        <x:v>Martes</x:v>
      </x:c>
      <x:c r="C729" t="str">
        <x:f>IF(COUNTIF(FERIADOS!$A$2:$A$250,A729)&gt;0,"SÍ","NO")</x:f>
        <x:v>NO</x:v>
      </x:c>
      <x:c r="D729" t="str">
        <x:f>IF(AND(WEEKDAY(A729,2)&lt;=5,C729="NO"),"SÍ","NO")</x:f>
        <x:v>SÍ</x:v>
      </x:c>
      <x:c r="E729" s="2" t="n">
        <x:f>WORKDAY.INTL(A729-1,1,1,FERIADOS!$A$2:$A$250)</x:f>
        <x:v>46385</x:v>
      </x:c>
      <x:c r="F729" t="str">
        <x:f>IF(E729&gt;=WORKDAY.INTL(EOMONTH(E729,0)+1,-2,1,FERIADOS!$A$2:$A$250),"SÍ","NO")</x:f>
        <x:v>NO</x:v>
      </x:c>
      <x:c r="G729" s="10" t="n">
        <x:f>IF(F729="SÍ",EOMONTH(E729,0)+1,DATE(YEAR(E729),MONTH(E729),1))</x:f>
        <x:v>46357</x:v>
      </x:c>
      <x:c r="H729" t="str">
        <x:f>IF(D729="NO",IF(C729="SÍ","FERIADO","FIN DE SEMANA"),"LABORABLE")&amp;IF(F729="SÍ"," + CIERRE","")</x:f>
        <x:v>LABORABLE</x:v>
      </x:c>
      <x:c r="I729" t="str">
        <x:f>TEXT(G729,"yyyy-mm")</x:f>
        <x:v>2026-12</x:v>
      </x:c>
    </x:row>
    <x:row r="730" ht="19" customHeight="1">
      <x:c r="A730" s="2" t="n">
        <x:v>46386</x:v>
      </x:c>
      <x:c r="B730" t="str">
        <x:f>CHOOSE(WEEKDAY(A730,2),"Lunes","Martes","Miércoles","Jueves","Viernes","Sábado","Domingo")</x:f>
        <x:v>Miércoles</x:v>
      </x:c>
      <x:c r="C730" t="str">
        <x:f>IF(COUNTIF(FERIADOS!$A$2:$A$250,A730)&gt;0,"SÍ","NO")</x:f>
        <x:v>NO</x:v>
      </x:c>
      <x:c r="D730" t="str">
        <x:f>IF(AND(WEEKDAY(A730,2)&lt;=5,C730="NO"),"SÍ","NO")</x:f>
        <x:v>SÍ</x:v>
      </x:c>
      <x:c r="E730" s="2" t="n">
        <x:f>WORKDAY.INTL(A730-1,1,1,FERIADOS!$A$2:$A$250)</x:f>
        <x:v>46386</x:v>
      </x:c>
      <x:c r="F730" t="str">
        <x:f>IF(E730&gt;=WORKDAY.INTL(EOMONTH(E730,0)+1,-2,1,FERIADOS!$A$2:$A$250),"SÍ","NO")</x:f>
        <x:v>SÍ</x:v>
      </x:c>
      <x:c r="G730" s="10" t="n">
        <x:f>IF(F730="SÍ",EOMONTH(E730,0)+1,DATE(YEAR(E730),MONTH(E730),1))</x:f>
        <x:v>46388</x:v>
      </x:c>
      <x:c r="H730" t="str">
        <x:f>IF(D730="NO",IF(C730="SÍ","FERIADO","FIN DE SEMANA"),"LABORABLE")&amp;IF(F730="SÍ"," + CIERRE","")</x:f>
        <x:v>LABORABLE + CIERRE</x:v>
      </x:c>
      <x:c r="I730" t="str">
        <x:f>TEXT(G730,"yyyy-mm")</x:f>
        <x:v>2027-01</x:v>
      </x:c>
    </x:row>
    <x:row r="731" ht="19" customHeight="1">
      <x:c r="A731" s="2" t="n">
        <x:v>46387</x:v>
      </x:c>
      <x:c r="B731" t="str">
        <x:f>CHOOSE(WEEKDAY(A731,2),"Lunes","Martes","Miércoles","Jueves","Viernes","Sábado","Domingo")</x:f>
        <x:v>Jueves</x:v>
      </x:c>
      <x:c r="C731" t="str">
        <x:f>IF(COUNTIF(FERIADOS!$A$2:$A$250,A731)&gt;0,"SÍ","NO")</x:f>
        <x:v>NO</x:v>
      </x:c>
      <x:c r="D731" t="str">
        <x:f>IF(AND(WEEKDAY(A731,2)&lt;=5,C731="NO"),"SÍ","NO")</x:f>
        <x:v>SÍ</x:v>
      </x:c>
      <x:c r="E731" s="2" t="n">
        <x:f>WORKDAY.INTL(A731-1,1,1,FERIADOS!$A$2:$A$250)</x:f>
        <x:v>46387</x:v>
      </x:c>
      <x:c r="F731" t="str">
        <x:f>IF(E731&gt;=WORKDAY.INTL(EOMONTH(E731,0)+1,-2,1,FERIADOS!$A$2:$A$250),"SÍ","NO")</x:f>
        <x:v>SÍ</x:v>
      </x:c>
      <x:c r="G731" s="10" t="n">
        <x:f>IF(F731="SÍ",EOMONTH(E731,0)+1,DATE(YEAR(E731),MONTH(E731),1))</x:f>
        <x:v>46388</x:v>
      </x:c>
      <x:c r="H731" t="str">
        <x:f>IF(D731="NO",IF(C731="SÍ","FERIADO","FIN DE SEMANA"),"LABORABLE")&amp;IF(F731="SÍ"," + CIERRE","")</x:f>
        <x:v>LABORABLE + CIERRE</x:v>
      </x:c>
      <x:c r="I731" t="str">
        <x:f>TEXT(G731,"yyyy-mm")</x:f>
        <x:v>2027-01</x:v>
      </x:c>
    </x:row>
    <x:row r="732" ht="19" customHeight="1">
      <x:c r="A732" s="2" t="n">
        <x:v>46388</x:v>
      </x:c>
      <x:c r="B732" t="str">
        <x:f>CHOOSE(WEEKDAY(A732,2),"Lunes","Martes","Miércoles","Jueves","Viernes","Sábado","Domingo")</x:f>
        <x:v>Viernes</x:v>
      </x:c>
      <x:c r="C732" t="str">
        <x:f>IF(COUNTIF(FERIADOS!$A$2:$A$250,A732)&gt;0,"SÍ","NO")</x:f>
        <x:v>SÍ</x:v>
      </x:c>
      <x:c r="D732" t="str">
        <x:f>IF(AND(WEEKDAY(A732,2)&lt;=5,C732="NO"),"SÍ","NO")</x:f>
        <x:v>NO</x:v>
      </x:c>
      <x:c r="E732" s="2" t="n">
        <x:f>WORKDAY.INTL(A732-1,1,1,FERIADOS!$A$2:$A$250)</x:f>
        <x:v>46391</x:v>
      </x:c>
      <x:c r="F732" t="str">
        <x:f>IF(E732&gt;=WORKDAY.INTL(EOMONTH(E732,0)+1,-2,1,FERIADOS!$A$2:$A$250),"SÍ","NO")</x:f>
        <x:v>NO</x:v>
      </x:c>
      <x:c r="G732" s="10" t="n">
        <x:f>IF(F732="SÍ",EOMONTH(E732,0)+1,DATE(YEAR(E732),MONTH(E732),1))</x:f>
        <x:v>46388</x:v>
      </x:c>
      <x:c r="H732" t="str">
        <x:f>IF(D732="NO",IF(C732="SÍ","FERIADO","FIN DE SEMANA"),"LABORABLE")&amp;IF(F732="SÍ"," + CIERRE","")</x:f>
        <x:v>FERIADO</x:v>
      </x:c>
      <x:c r="I732" t="str">
        <x:f>TEXT(G732,"yyyy-mm")</x:f>
        <x:v>2027-01</x:v>
      </x:c>
    </x:row>
    <x:row r="733" ht="19" customHeight="1">
      <x:c r="A733" s="2" t="n">
        <x:v>46389</x:v>
      </x:c>
      <x:c r="B733" t="str">
        <x:f>CHOOSE(WEEKDAY(A733,2),"Lunes","Martes","Miércoles","Jueves","Viernes","Sábado","Domingo")</x:f>
        <x:v>Sábado</x:v>
      </x:c>
      <x:c r="C733" t="str">
        <x:f>IF(COUNTIF(FERIADOS!$A$2:$A$250,A733)&gt;0,"SÍ","NO")</x:f>
        <x:v>NO</x:v>
      </x:c>
      <x:c r="D733" t="str">
        <x:f>IF(AND(WEEKDAY(A733,2)&lt;=5,C733="NO"),"SÍ","NO")</x:f>
        <x:v>NO</x:v>
      </x:c>
      <x:c r="E733" s="2" t="n">
        <x:f>WORKDAY.INTL(A733-1,1,1,FERIADOS!$A$2:$A$250)</x:f>
        <x:v>46391</x:v>
      </x:c>
      <x:c r="F733" t="str">
        <x:f>IF(E733&gt;=WORKDAY.INTL(EOMONTH(E733,0)+1,-2,1,FERIADOS!$A$2:$A$250),"SÍ","NO")</x:f>
        <x:v>NO</x:v>
      </x:c>
      <x:c r="G733" s="10" t="n">
        <x:f>IF(F733="SÍ",EOMONTH(E733,0)+1,DATE(YEAR(E733),MONTH(E733),1))</x:f>
        <x:v>46388</x:v>
      </x:c>
      <x:c r="H733" t="str">
        <x:f>IF(D733="NO",IF(C733="SÍ","FERIADO","FIN DE SEMANA"),"LABORABLE")&amp;IF(F733="SÍ"," + CIERRE","")</x:f>
        <x:v>FIN DE SEMANA</x:v>
      </x:c>
      <x:c r="I733" t="str">
        <x:f>TEXT(G733,"yyyy-mm")</x:f>
        <x:v>2027-01</x:v>
      </x:c>
    </x:row>
    <x:row r="734" ht="19" customHeight="1">
      <x:c r="A734" s="2" t="n">
        <x:v>46390</x:v>
      </x:c>
      <x:c r="B734" t="str">
        <x:f>CHOOSE(WEEKDAY(A734,2),"Lunes","Martes","Miércoles","Jueves","Viernes","Sábado","Domingo")</x:f>
        <x:v>Domingo</x:v>
      </x:c>
      <x:c r="C734" t="str">
        <x:f>IF(COUNTIF(FERIADOS!$A$2:$A$250,A734)&gt;0,"SÍ","NO")</x:f>
        <x:v>NO</x:v>
      </x:c>
      <x:c r="D734" t="str">
        <x:f>IF(AND(WEEKDAY(A734,2)&lt;=5,C734="NO"),"SÍ","NO")</x:f>
        <x:v>NO</x:v>
      </x:c>
      <x:c r="E734" s="2" t="n">
        <x:f>WORKDAY.INTL(A734-1,1,1,FERIADOS!$A$2:$A$250)</x:f>
        <x:v>46391</x:v>
      </x:c>
      <x:c r="F734" t="str">
        <x:f>IF(E734&gt;=WORKDAY.INTL(EOMONTH(E734,0)+1,-2,1,FERIADOS!$A$2:$A$250),"SÍ","NO")</x:f>
        <x:v>NO</x:v>
      </x:c>
      <x:c r="G734" s="10" t="n">
        <x:f>IF(F734="SÍ",EOMONTH(E734,0)+1,DATE(YEAR(E734),MONTH(E734),1))</x:f>
        <x:v>46388</x:v>
      </x:c>
      <x:c r="H734" t="str">
        <x:f>IF(D734="NO",IF(C734="SÍ","FERIADO","FIN DE SEMANA"),"LABORABLE")&amp;IF(F734="SÍ"," + CIERRE","")</x:f>
        <x:v>FIN DE SEMANA</x:v>
      </x:c>
      <x:c r="I734" t="str">
        <x:f>TEXT(G734,"yyyy-mm")</x:f>
        <x:v>2027-01</x:v>
      </x:c>
    </x:row>
    <x:row r="735" ht="19" customHeight="1">
      <x:c r="A735" s="2" t="n">
        <x:v>46391</x:v>
      </x:c>
      <x:c r="B735" t="str">
        <x:f>CHOOSE(WEEKDAY(A735,2),"Lunes","Martes","Miércoles","Jueves","Viernes","Sábado","Domingo")</x:f>
        <x:v>Lunes</x:v>
      </x:c>
      <x:c r="C735" t="str">
        <x:f>IF(COUNTIF(FERIADOS!$A$2:$A$250,A735)&gt;0,"SÍ","NO")</x:f>
        <x:v>NO</x:v>
      </x:c>
      <x:c r="D735" t="str">
        <x:f>IF(AND(WEEKDAY(A735,2)&lt;=5,C735="NO"),"SÍ","NO")</x:f>
        <x:v>SÍ</x:v>
      </x:c>
      <x:c r="E735" s="2" t="n">
        <x:f>WORKDAY.INTL(A735-1,1,1,FERIADOS!$A$2:$A$250)</x:f>
        <x:v>46391</x:v>
      </x:c>
      <x:c r="F735" t="str">
        <x:f>IF(E735&gt;=WORKDAY.INTL(EOMONTH(E735,0)+1,-2,1,FERIADOS!$A$2:$A$250),"SÍ","NO")</x:f>
        <x:v>NO</x:v>
      </x:c>
      <x:c r="G735" s="10" t="n">
        <x:f>IF(F735="SÍ",EOMONTH(E735,0)+1,DATE(YEAR(E735),MONTH(E735),1))</x:f>
        <x:v>46388</x:v>
      </x:c>
      <x:c r="H735" t="str">
        <x:f>IF(D735="NO",IF(C735="SÍ","FERIADO","FIN DE SEMANA"),"LABORABLE")&amp;IF(F735="SÍ"," + CIERRE","")</x:f>
        <x:v>LABORABLE</x:v>
      </x:c>
      <x:c r="I735" t="str">
        <x:f>TEXT(G735,"yyyy-mm")</x:f>
        <x:v>2027-01</x:v>
      </x:c>
    </x:row>
    <x:row r="736" ht="19" customHeight="1">
      <x:c r="A736" s="2" t="n">
        <x:v>46392</x:v>
      </x:c>
      <x:c r="B736" t="str">
        <x:f>CHOOSE(WEEKDAY(A736,2),"Lunes","Martes","Miércoles","Jueves","Viernes","Sábado","Domingo")</x:f>
        <x:v>Martes</x:v>
      </x:c>
      <x:c r="C736" t="str">
        <x:f>IF(COUNTIF(FERIADOS!$A$2:$A$250,A736)&gt;0,"SÍ","NO")</x:f>
        <x:v>NO</x:v>
      </x:c>
      <x:c r="D736" t="str">
        <x:f>IF(AND(WEEKDAY(A736,2)&lt;=5,C736="NO"),"SÍ","NO")</x:f>
        <x:v>SÍ</x:v>
      </x:c>
      <x:c r="E736" s="2" t="n">
        <x:f>WORKDAY.INTL(A736-1,1,1,FERIADOS!$A$2:$A$250)</x:f>
        <x:v>46392</x:v>
      </x:c>
      <x:c r="F736" t="str">
        <x:f>IF(E736&gt;=WORKDAY.INTL(EOMONTH(E736,0)+1,-2,1,FERIADOS!$A$2:$A$250),"SÍ","NO")</x:f>
        <x:v>NO</x:v>
      </x:c>
      <x:c r="G736" s="10" t="n">
        <x:f>IF(F736="SÍ",EOMONTH(E736,0)+1,DATE(YEAR(E736),MONTH(E736),1))</x:f>
        <x:v>46388</x:v>
      </x:c>
      <x:c r="H736" t="str">
        <x:f>IF(D736="NO",IF(C736="SÍ","FERIADO","FIN DE SEMANA"),"LABORABLE")&amp;IF(F736="SÍ"," + CIERRE","")</x:f>
        <x:v>LABORABLE</x:v>
      </x:c>
      <x:c r="I736" t="str">
        <x:f>TEXT(G736,"yyyy-mm")</x:f>
        <x:v>2027-01</x:v>
      </x:c>
    </x:row>
    <x:row r="737" ht="19" customHeight="1">
      <x:c r="A737" s="2" t="n">
        <x:v>46393</x:v>
      </x:c>
      <x:c r="B737" t="str">
        <x:f>CHOOSE(WEEKDAY(A737,2),"Lunes","Martes","Miércoles","Jueves","Viernes","Sábado","Domingo")</x:f>
        <x:v>Miércoles</x:v>
      </x:c>
      <x:c r="C737" t="str">
        <x:f>IF(COUNTIF(FERIADOS!$A$2:$A$250,A737)&gt;0,"SÍ","NO")</x:f>
        <x:v>NO</x:v>
      </x:c>
      <x:c r="D737" t="str">
        <x:f>IF(AND(WEEKDAY(A737,2)&lt;=5,C737="NO"),"SÍ","NO")</x:f>
        <x:v>SÍ</x:v>
      </x:c>
      <x:c r="E737" s="2" t="n">
        <x:f>WORKDAY.INTL(A737-1,1,1,FERIADOS!$A$2:$A$250)</x:f>
        <x:v>46393</x:v>
      </x:c>
      <x:c r="F737" t="str">
        <x:f>IF(E737&gt;=WORKDAY.INTL(EOMONTH(E737,0)+1,-2,1,FERIADOS!$A$2:$A$250),"SÍ","NO")</x:f>
        <x:v>NO</x:v>
      </x:c>
      <x:c r="G737" s="10" t="n">
        <x:f>IF(F737="SÍ",EOMONTH(E737,0)+1,DATE(YEAR(E737),MONTH(E737),1))</x:f>
        <x:v>46388</x:v>
      </x:c>
      <x:c r="H737" t="str">
        <x:f>IF(D737="NO",IF(C737="SÍ","FERIADO","FIN DE SEMANA"),"LABORABLE")&amp;IF(F737="SÍ"," + CIERRE","")</x:f>
        <x:v>LABORABLE</x:v>
      </x:c>
      <x:c r="I737" t="str">
        <x:f>TEXT(G737,"yyyy-mm")</x:f>
        <x:v>2027-01</x:v>
      </x:c>
    </x:row>
    <x:row r="738" ht="19" customHeight="1">
      <x:c r="A738" s="2" t="n">
        <x:v>46394</x:v>
      </x:c>
      <x:c r="B738" t="str">
        <x:f>CHOOSE(WEEKDAY(A738,2),"Lunes","Martes","Miércoles","Jueves","Viernes","Sábado","Domingo")</x:f>
        <x:v>Jueves</x:v>
      </x:c>
      <x:c r="C738" t="str">
        <x:f>IF(COUNTIF(FERIADOS!$A$2:$A$250,A738)&gt;0,"SÍ","NO")</x:f>
        <x:v>NO</x:v>
      </x:c>
      <x:c r="D738" t="str">
        <x:f>IF(AND(WEEKDAY(A738,2)&lt;=5,C738="NO"),"SÍ","NO")</x:f>
        <x:v>SÍ</x:v>
      </x:c>
      <x:c r="E738" s="2" t="n">
        <x:f>WORKDAY.INTL(A738-1,1,1,FERIADOS!$A$2:$A$250)</x:f>
        <x:v>46394</x:v>
      </x:c>
      <x:c r="F738" t="str">
        <x:f>IF(E738&gt;=WORKDAY.INTL(EOMONTH(E738,0)+1,-2,1,FERIADOS!$A$2:$A$250),"SÍ","NO")</x:f>
        <x:v>NO</x:v>
      </x:c>
      <x:c r="G738" s="10" t="n">
        <x:f>IF(F738="SÍ",EOMONTH(E738,0)+1,DATE(YEAR(E738),MONTH(E738),1))</x:f>
        <x:v>46388</x:v>
      </x:c>
      <x:c r="H738" t="str">
        <x:f>IF(D738="NO",IF(C738="SÍ","FERIADO","FIN DE SEMANA"),"LABORABLE")&amp;IF(F738="SÍ"," + CIERRE","")</x:f>
        <x:v>LABORABLE</x:v>
      </x:c>
      <x:c r="I738" t="str">
        <x:f>TEXT(G738,"yyyy-mm")</x:f>
        <x:v>2027-01</x:v>
      </x:c>
    </x:row>
    <x:row r="739" ht="19" customHeight="1">
      <x:c r="A739" s="2" t="n">
        <x:v>46395</x:v>
      </x:c>
      <x:c r="B739" t="str">
        <x:f>CHOOSE(WEEKDAY(A739,2),"Lunes","Martes","Miércoles","Jueves","Viernes","Sábado","Domingo")</x:f>
        <x:v>Viernes</x:v>
      </x:c>
      <x:c r="C739" t="str">
        <x:f>IF(COUNTIF(FERIADOS!$A$2:$A$250,A739)&gt;0,"SÍ","NO")</x:f>
        <x:v>NO</x:v>
      </x:c>
      <x:c r="D739" t="str">
        <x:f>IF(AND(WEEKDAY(A739,2)&lt;=5,C739="NO"),"SÍ","NO")</x:f>
        <x:v>SÍ</x:v>
      </x:c>
      <x:c r="E739" s="2" t="n">
        <x:f>WORKDAY.INTL(A739-1,1,1,FERIADOS!$A$2:$A$250)</x:f>
        <x:v>46395</x:v>
      </x:c>
      <x:c r="F739" t="str">
        <x:f>IF(E739&gt;=WORKDAY.INTL(EOMONTH(E739,0)+1,-2,1,FERIADOS!$A$2:$A$250),"SÍ","NO")</x:f>
        <x:v>NO</x:v>
      </x:c>
      <x:c r="G739" s="10" t="n">
        <x:f>IF(F739="SÍ",EOMONTH(E739,0)+1,DATE(YEAR(E739),MONTH(E739),1))</x:f>
        <x:v>46388</x:v>
      </x:c>
      <x:c r="H739" t="str">
        <x:f>IF(D739="NO",IF(C739="SÍ","FERIADO","FIN DE SEMANA"),"LABORABLE")&amp;IF(F739="SÍ"," + CIERRE","")</x:f>
        <x:v>LABORABLE</x:v>
      </x:c>
      <x:c r="I739" t="str">
        <x:f>TEXT(G739,"yyyy-mm")</x:f>
        <x:v>2027-01</x:v>
      </x:c>
    </x:row>
    <x:row r="740" ht="19" customHeight="1">
      <x:c r="A740" s="2" t="n">
        <x:v>46396</x:v>
      </x:c>
      <x:c r="B740" t="str">
        <x:f>CHOOSE(WEEKDAY(A740,2),"Lunes","Martes","Miércoles","Jueves","Viernes","Sábado","Domingo")</x:f>
        <x:v>Sábado</x:v>
      </x:c>
      <x:c r="C740" t="str">
        <x:f>IF(COUNTIF(FERIADOS!$A$2:$A$250,A740)&gt;0,"SÍ","NO")</x:f>
        <x:v>NO</x:v>
      </x:c>
      <x:c r="D740" t="str">
        <x:f>IF(AND(WEEKDAY(A740,2)&lt;=5,C740="NO"),"SÍ","NO")</x:f>
        <x:v>NO</x:v>
      </x:c>
      <x:c r="E740" s="2" t="n">
        <x:f>WORKDAY.INTL(A740-1,1,1,FERIADOS!$A$2:$A$250)</x:f>
        <x:v>46398</x:v>
      </x:c>
      <x:c r="F740" t="str">
        <x:f>IF(E740&gt;=WORKDAY.INTL(EOMONTH(E740,0)+1,-2,1,FERIADOS!$A$2:$A$250),"SÍ","NO")</x:f>
        <x:v>NO</x:v>
      </x:c>
      <x:c r="G740" s="10" t="n">
        <x:f>IF(F740="SÍ",EOMONTH(E740,0)+1,DATE(YEAR(E740),MONTH(E740),1))</x:f>
        <x:v>46388</x:v>
      </x:c>
      <x:c r="H740" t="str">
        <x:f>IF(D740="NO",IF(C740="SÍ","FERIADO","FIN DE SEMANA"),"LABORABLE")&amp;IF(F740="SÍ"," + CIERRE","")</x:f>
        <x:v>FIN DE SEMANA</x:v>
      </x:c>
      <x:c r="I740" t="str">
        <x:f>TEXT(G740,"yyyy-mm")</x:f>
        <x:v>2027-01</x:v>
      </x:c>
    </x:row>
    <x:row r="741" ht="19" customHeight="1">
      <x:c r="A741" s="2" t="n">
        <x:v>46397</x:v>
      </x:c>
      <x:c r="B741" t="str">
        <x:f>CHOOSE(WEEKDAY(A741,2),"Lunes","Martes","Miércoles","Jueves","Viernes","Sábado","Domingo")</x:f>
        <x:v>Domingo</x:v>
      </x:c>
      <x:c r="C741" t="str">
        <x:f>IF(COUNTIF(FERIADOS!$A$2:$A$250,A741)&gt;0,"SÍ","NO")</x:f>
        <x:v>NO</x:v>
      </x:c>
      <x:c r="D741" t="str">
        <x:f>IF(AND(WEEKDAY(A741,2)&lt;=5,C741="NO"),"SÍ","NO")</x:f>
        <x:v>NO</x:v>
      </x:c>
      <x:c r="E741" s="2" t="n">
        <x:f>WORKDAY.INTL(A741-1,1,1,FERIADOS!$A$2:$A$250)</x:f>
        <x:v>46398</x:v>
      </x:c>
      <x:c r="F741" t="str">
        <x:f>IF(E741&gt;=WORKDAY.INTL(EOMONTH(E741,0)+1,-2,1,FERIADOS!$A$2:$A$250),"SÍ","NO")</x:f>
        <x:v>NO</x:v>
      </x:c>
      <x:c r="G741" s="10" t="n">
        <x:f>IF(F741="SÍ",EOMONTH(E741,0)+1,DATE(YEAR(E741),MONTH(E741),1))</x:f>
        <x:v>46388</x:v>
      </x:c>
      <x:c r="H741" t="str">
        <x:f>IF(D741="NO",IF(C741="SÍ","FERIADO","FIN DE SEMANA"),"LABORABLE")&amp;IF(F741="SÍ"," + CIERRE","")</x:f>
        <x:v>FIN DE SEMANA</x:v>
      </x:c>
      <x:c r="I741" t="str">
        <x:f>TEXT(G741,"yyyy-mm")</x:f>
        <x:v>2027-01</x:v>
      </x:c>
    </x:row>
    <x:row r="742" ht="19" customHeight="1">
      <x:c r="A742" s="2" t="n">
        <x:v>46398</x:v>
      </x:c>
      <x:c r="B742" t="str">
        <x:f>CHOOSE(WEEKDAY(A742,2),"Lunes","Martes","Miércoles","Jueves","Viernes","Sábado","Domingo")</x:f>
        <x:v>Lunes</x:v>
      </x:c>
      <x:c r="C742" t="str">
        <x:f>IF(COUNTIF(FERIADOS!$A$2:$A$250,A742)&gt;0,"SÍ","NO")</x:f>
        <x:v>NO</x:v>
      </x:c>
      <x:c r="D742" t="str">
        <x:f>IF(AND(WEEKDAY(A742,2)&lt;=5,C742="NO"),"SÍ","NO")</x:f>
        <x:v>SÍ</x:v>
      </x:c>
      <x:c r="E742" s="2" t="n">
        <x:f>WORKDAY.INTL(A742-1,1,1,FERIADOS!$A$2:$A$250)</x:f>
        <x:v>46398</x:v>
      </x:c>
      <x:c r="F742" t="str">
        <x:f>IF(E742&gt;=WORKDAY.INTL(EOMONTH(E742,0)+1,-2,1,FERIADOS!$A$2:$A$250),"SÍ","NO")</x:f>
        <x:v>NO</x:v>
      </x:c>
      <x:c r="G742" s="10" t="n">
        <x:f>IF(F742="SÍ",EOMONTH(E742,0)+1,DATE(YEAR(E742),MONTH(E742),1))</x:f>
        <x:v>46388</x:v>
      </x:c>
      <x:c r="H742" t="str">
        <x:f>IF(D742="NO",IF(C742="SÍ","FERIADO","FIN DE SEMANA"),"LABORABLE")&amp;IF(F742="SÍ"," + CIERRE","")</x:f>
        <x:v>LABORABLE</x:v>
      </x:c>
      <x:c r="I742" t="str">
        <x:f>TEXT(G742,"yyyy-mm")</x:f>
        <x:v>2027-01</x:v>
      </x:c>
    </x:row>
    <x:row r="743" ht="19" customHeight="1">
      <x:c r="A743" s="2" t="n">
        <x:v>46399</x:v>
      </x:c>
      <x:c r="B743" t="str">
        <x:f>CHOOSE(WEEKDAY(A743,2),"Lunes","Martes","Miércoles","Jueves","Viernes","Sábado","Domingo")</x:f>
        <x:v>Martes</x:v>
      </x:c>
      <x:c r="C743" t="str">
        <x:f>IF(COUNTIF(FERIADOS!$A$2:$A$250,A743)&gt;0,"SÍ","NO")</x:f>
        <x:v>NO</x:v>
      </x:c>
      <x:c r="D743" t="str">
        <x:f>IF(AND(WEEKDAY(A743,2)&lt;=5,C743="NO"),"SÍ","NO")</x:f>
        <x:v>SÍ</x:v>
      </x:c>
      <x:c r="E743" s="2" t="n">
        <x:f>WORKDAY.INTL(A743-1,1,1,FERIADOS!$A$2:$A$250)</x:f>
        <x:v>46399</x:v>
      </x:c>
      <x:c r="F743" t="str">
        <x:f>IF(E743&gt;=WORKDAY.INTL(EOMONTH(E743,0)+1,-2,1,FERIADOS!$A$2:$A$250),"SÍ","NO")</x:f>
        <x:v>NO</x:v>
      </x:c>
      <x:c r="G743" s="10" t="n">
        <x:f>IF(F743="SÍ",EOMONTH(E743,0)+1,DATE(YEAR(E743),MONTH(E743),1))</x:f>
        <x:v>46388</x:v>
      </x:c>
      <x:c r="H743" t="str">
        <x:f>IF(D743="NO",IF(C743="SÍ","FERIADO","FIN DE SEMANA"),"LABORABLE")&amp;IF(F743="SÍ"," + CIERRE","")</x:f>
        <x:v>LABORABLE</x:v>
      </x:c>
      <x:c r="I743" t="str">
        <x:f>TEXT(G743,"yyyy-mm")</x:f>
        <x:v>2027-01</x:v>
      </x:c>
    </x:row>
    <x:row r="744" ht="19" customHeight="1">
      <x:c r="A744" s="2" t="n">
        <x:v>46400</x:v>
      </x:c>
      <x:c r="B744" t="str">
        <x:f>CHOOSE(WEEKDAY(A744,2),"Lunes","Martes","Miércoles","Jueves","Viernes","Sábado","Domingo")</x:f>
        <x:v>Miércoles</x:v>
      </x:c>
      <x:c r="C744" t="str">
        <x:f>IF(COUNTIF(FERIADOS!$A$2:$A$250,A744)&gt;0,"SÍ","NO")</x:f>
        <x:v>NO</x:v>
      </x:c>
      <x:c r="D744" t="str">
        <x:f>IF(AND(WEEKDAY(A744,2)&lt;=5,C744="NO"),"SÍ","NO")</x:f>
        <x:v>SÍ</x:v>
      </x:c>
      <x:c r="E744" s="2" t="n">
        <x:f>WORKDAY.INTL(A744-1,1,1,FERIADOS!$A$2:$A$250)</x:f>
        <x:v>46400</x:v>
      </x:c>
      <x:c r="F744" t="str">
        <x:f>IF(E744&gt;=WORKDAY.INTL(EOMONTH(E744,0)+1,-2,1,FERIADOS!$A$2:$A$250),"SÍ","NO")</x:f>
        <x:v>NO</x:v>
      </x:c>
      <x:c r="G744" s="10" t="n">
        <x:f>IF(F744="SÍ",EOMONTH(E744,0)+1,DATE(YEAR(E744),MONTH(E744),1))</x:f>
        <x:v>46388</x:v>
      </x:c>
      <x:c r="H744" t="str">
        <x:f>IF(D744="NO",IF(C744="SÍ","FERIADO","FIN DE SEMANA"),"LABORABLE")&amp;IF(F744="SÍ"," + CIERRE","")</x:f>
        <x:v>LABORABLE</x:v>
      </x:c>
      <x:c r="I744" t="str">
        <x:f>TEXT(G744,"yyyy-mm")</x:f>
        <x:v>2027-01</x:v>
      </x:c>
    </x:row>
    <x:row r="745" ht="19" customHeight="1">
      <x:c r="A745" s="2" t="n">
        <x:v>46401</x:v>
      </x:c>
      <x:c r="B745" t="str">
        <x:f>CHOOSE(WEEKDAY(A745,2),"Lunes","Martes","Miércoles","Jueves","Viernes","Sábado","Domingo")</x:f>
        <x:v>Jueves</x:v>
      </x:c>
      <x:c r="C745" t="str">
        <x:f>IF(COUNTIF(FERIADOS!$A$2:$A$250,A745)&gt;0,"SÍ","NO")</x:f>
        <x:v>NO</x:v>
      </x:c>
      <x:c r="D745" t="str">
        <x:f>IF(AND(WEEKDAY(A745,2)&lt;=5,C745="NO"),"SÍ","NO")</x:f>
        <x:v>SÍ</x:v>
      </x:c>
      <x:c r="E745" s="2" t="n">
        <x:f>WORKDAY.INTL(A745-1,1,1,FERIADOS!$A$2:$A$250)</x:f>
        <x:v>46401</x:v>
      </x:c>
      <x:c r="F745" t="str">
        <x:f>IF(E745&gt;=WORKDAY.INTL(EOMONTH(E745,0)+1,-2,1,FERIADOS!$A$2:$A$250),"SÍ","NO")</x:f>
        <x:v>NO</x:v>
      </x:c>
      <x:c r="G745" s="10" t="n">
        <x:f>IF(F745="SÍ",EOMONTH(E745,0)+1,DATE(YEAR(E745),MONTH(E745),1))</x:f>
        <x:v>46388</x:v>
      </x:c>
      <x:c r="H745" t="str">
        <x:f>IF(D745="NO",IF(C745="SÍ","FERIADO","FIN DE SEMANA"),"LABORABLE")&amp;IF(F745="SÍ"," + CIERRE","")</x:f>
        <x:v>LABORABLE</x:v>
      </x:c>
      <x:c r="I745" t="str">
        <x:f>TEXT(G745,"yyyy-mm")</x:f>
        <x:v>2027-01</x:v>
      </x:c>
    </x:row>
    <x:row r="746" ht="19" customHeight="1">
      <x:c r="A746" s="2" t="n">
        <x:v>46402</x:v>
      </x:c>
      <x:c r="B746" t="str">
        <x:f>CHOOSE(WEEKDAY(A746,2),"Lunes","Martes","Miércoles","Jueves","Viernes","Sábado","Domingo")</x:f>
        <x:v>Viernes</x:v>
      </x:c>
      <x:c r="C746" t="str">
        <x:f>IF(COUNTIF(FERIADOS!$A$2:$A$250,A746)&gt;0,"SÍ","NO")</x:f>
        <x:v>NO</x:v>
      </x:c>
      <x:c r="D746" t="str">
        <x:f>IF(AND(WEEKDAY(A746,2)&lt;=5,C746="NO"),"SÍ","NO")</x:f>
        <x:v>SÍ</x:v>
      </x:c>
      <x:c r="E746" s="2" t="n">
        <x:f>WORKDAY.INTL(A746-1,1,1,FERIADOS!$A$2:$A$250)</x:f>
        <x:v>46402</x:v>
      </x:c>
      <x:c r="F746" t="str">
        <x:f>IF(E746&gt;=WORKDAY.INTL(EOMONTH(E746,0)+1,-2,1,FERIADOS!$A$2:$A$250),"SÍ","NO")</x:f>
        <x:v>NO</x:v>
      </x:c>
      <x:c r="G746" s="10" t="n">
        <x:f>IF(F746="SÍ",EOMONTH(E746,0)+1,DATE(YEAR(E746),MONTH(E746),1))</x:f>
        <x:v>46388</x:v>
      </x:c>
      <x:c r="H746" t="str">
        <x:f>IF(D746="NO",IF(C746="SÍ","FERIADO","FIN DE SEMANA"),"LABORABLE")&amp;IF(F746="SÍ"," + CIERRE","")</x:f>
        <x:v>LABORABLE</x:v>
      </x:c>
      <x:c r="I746" t="str">
        <x:f>TEXT(G746,"yyyy-mm")</x:f>
        <x:v>2027-01</x:v>
      </x:c>
    </x:row>
    <x:row r="747" ht="19" customHeight="1">
      <x:c r="A747" s="2" t="n">
        <x:v>46403</x:v>
      </x:c>
      <x:c r="B747" t="str">
        <x:f>CHOOSE(WEEKDAY(A747,2),"Lunes","Martes","Miércoles","Jueves","Viernes","Sábado","Domingo")</x:f>
        <x:v>Sábado</x:v>
      </x:c>
      <x:c r="C747" t="str">
        <x:f>IF(COUNTIF(FERIADOS!$A$2:$A$250,A747)&gt;0,"SÍ","NO")</x:f>
        <x:v>NO</x:v>
      </x:c>
      <x:c r="D747" t="str">
        <x:f>IF(AND(WEEKDAY(A747,2)&lt;=5,C747="NO"),"SÍ","NO")</x:f>
        <x:v>NO</x:v>
      </x:c>
      <x:c r="E747" s="2" t="n">
        <x:f>WORKDAY.INTL(A747-1,1,1,FERIADOS!$A$2:$A$250)</x:f>
        <x:v>46405</x:v>
      </x:c>
      <x:c r="F747" t="str">
        <x:f>IF(E747&gt;=WORKDAY.INTL(EOMONTH(E747,0)+1,-2,1,FERIADOS!$A$2:$A$250),"SÍ","NO")</x:f>
        <x:v>NO</x:v>
      </x:c>
      <x:c r="G747" s="10" t="n">
        <x:f>IF(F747="SÍ",EOMONTH(E747,0)+1,DATE(YEAR(E747),MONTH(E747),1))</x:f>
        <x:v>46388</x:v>
      </x:c>
      <x:c r="H747" t="str">
        <x:f>IF(D747="NO",IF(C747="SÍ","FERIADO","FIN DE SEMANA"),"LABORABLE")&amp;IF(F747="SÍ"," + CIERRE","")</x:f>
        <x:v>FIN DE SEMANA</x:v>
      </x:c>
      <x:c r="I747" t="str">
        <x:f>TEXT(G747,"yyyy-mm")</x:f>
        <x:v>2027-01</x:v>
      </x:c>
    </x:row>
    <x:row r="748" ht="19" customHeight="1">
      <x:c r="A748" s="2" t="n">
        <x:v>46404</x:v>
      </x:c>
      <x:c r="B748" t="str">
        <x:f>CHOOSE(WEEKDAY(A748,2),"Lunes","Martes","Miércoles","Jueves","Viernes","Sábado","Domingo")</x:f>
        <x:v>Domingo</x:v>
      </x:c>
      <x:c r="C748" t="str">
        <x:f>IF(COUNTIF(FERIADOS!$A$2:$A$250,A748)&gt;0,"SÍ","NO")</x:f>
        <x:v>NO</x:v>
      </x:c>
      <x:c r="D748" t="str">
        <x:f>IF(AND(WEEKDAY(A748,2)&lt;=5,C748="NO"),"SÍ","NO")</x:f>
        <x:v>NO</x:v>
      </x:c>
      <x:c r="E748" s="2" t="n">
        <x:f>WORKDAY.INTL(A748-1,1,1,FERIADOS!$A$2:$A$250)</x:f>
        <x:v>46405</x:v>
      </x:c>
      <x:c r="F748" t="str">
        <x:f>IF(E748&gt;=WORKDAY.INTL(EOMONTH(E748,0)+1,-2,1,FERIADOS!$A$2:$A$250),"SÍ","NO")</x:f>
        <x:v>NO</x:v>
      </x:c>
      <x:c r="G748" s="10" t="n">
        <x:f>IF(F748="SÍ",EOMONTH(E748,0)+1,DATE(YEAR(E748),MONTH(E748),1))</x:f>
        <x:v>46388</x:v>
      </x:c>
      <x:c r="H748" t="str">
        <x:f>IF(D748="NO",IF(C748="SÍ","FERIADO","FIN DE SEMANA"),"LABORABLE")&amp;IF(F748="SÍ"," + CIERRE","")</x:f>
        <x:v>FIN DE SEMANA</x:v>
      </x:c>
      <x:c r="I748" t="str">
        <x:f>TEXT(G748,"yyyy-mm")</x:f>
        <x:v>2027-01</x:v>
      </x:c>
    </x:row>
    <x:row r="749" ht="19" customHeight="1">
      <x:c r="A749" s="2" t="n">
        <x:v>46405</x:v>
      </x:c>
      <x:c r="B749" t="str">
        <x:f>CHOOSE(WEEKDAY(A749,2),"Lunes","Martes","Miércoles","Jueves","Viernes","Sábado","Domingo")</x:f>
        <x:v>Lunes</x:v>
      </x:c>
      <x:c r="C749" t="str">
        <x:f>IF(COUNTIF(FERIADOS!$A$2:$A$250,A749)&gt;0,"SÍ","NO")</x:f>
        <x:v>NO</x:v>
      </x:c>
      <x:c r="D749" t="str">
        <x:f>IF(AND(WEEKDAY(A749,2)&lt;=5,C749="NO"),"SÍ","NO")</x:f>
        <x:v>SÍ</x:v>
      </x:c>
      <x:c r="E749" s="2" t="n">
        <x:f>WORKDAY.INTL(A749-1,1,1,FERIADOS!$A$2:$A$250)</x:f>
        <x:v>46405</x:v>
      </x:c>
      <x:c r="F749" t="str">
        <x:f>IF(E749&gt;=WORKDAY.INTL(EOMONTH(E749,0)+1,-2,1,FERIADOS!$A$2:$A$250),"SÍ","NO")</x:f>
        <x:v>NO</x:v>
      </x:c>
      <x:c r="G749" s="10" t="n">
        <x:f>IF(F749="SÍ",EOMONTH(E749,0)+1,DATE(YEAR(E749),MONTH(E749),1))</x:f>
        <x:v>46388</x:v>
      </x:c>
      <x:c r="H749" t="str">
        <x:f>IF(D749="NO",IF(C749="SÍ","FERIADO","FIN DE SEMANA"),"LABORABLE")&amp;IF(F749="SÍ"," + CIERRE","")</x:f>
        <x:v>LABORABLE</x:v>
      </x:c>
      <x:c r="I749" t="str">
        <x:f>TEXT(G749,"yyyy-mm")</x:f>
        <x:v>2027-01</x:v>
      </x:c>
    </x:row>
    <x:row r="750" ht="19" customHeight="1">
      <x:c r="A750" s="2" t="n">
        <x:v>46406</x:v>
      </x:c>
      <x:c r="B750" t="str">
        <x:f>CHOOSE(WEEKDAY(A750,2),"Lunes","Martes","Miércoles","Jueves","Viernes","Sábado","Domingo")</x:f>
        <x:v>Martes</x:v>
      </x:c>
      <x:c r="C750" t="str">
        <x:f>IF(COUNTIF(FERIADOS!$A$2:$A$250,A750)&gt;0,"SÍ","NO")</x:f>
        <x:v>NO</x:v>
      </x:c>
      <x:c r="D750" t="str">
        <x:f>IF(AND(WEEKDAY(A750,2)&lt;=5,C750="NO"),"SÍ","NO")</x:f>
        <x:v>SÍ</x:v>
      </x:c>
      <x:c r="E750" s="2" t="n">
        <x:f>WORKDAY.INTL(A750-1,1,1,FERIADOS!$A$2:$A$250)</x:f>
        <x:v>46406</x:v>
      </x:c>
      <x:c r="F750" t="str">
        <x:f>IF(E750&gt;=WORKDAY.INTL(EOMONTH(E750,0)+1,-2,1,FERIADOS!$A$2:$A$250),"SÍ","NO")</x:f>
        <x:v>NO</x:v>
      </x:c>
      <x:c r="G750" s="10" t="n">
        <x:f>IF(F750="SÍ",EOMONTH(E750,0)+1,DATE(YEAR(E750),MONTH(E750),1))</x:f>
        <x:v>46388</x:v>
      </x:c>
      <x:c r="H750" t="str">
        <x:f>IF(D750="NO",IF(C750="SÍ","FERIADO","FIN DE SEMANA"),"LABORABLE")&amp;IF(F750="SÍ"," + CIERRE","")</x:f>
        <x:v>LABORABLE</x:v>
      </x:c>
      <x:c r="I750" t="str">
        <x:f>TEXT(G750,"yyyy-mm")</x:f>
        <x:v>2027-01</x:v>
      </x:c>
    </x:row>
    <x:row r="751" ht="19" customHeight="1">
      <x:c r="A751" s="2" t="n">
        <x:v>46407</x:v>
      </x:c>
      <x:c r="B751" t="str">
        <x:f>CHOOSE(WEEKDAY(A751,2),"Lunes","Martes","Miércoles","Jueves","Viernes","Sábado","Domingo")</x:f>
        <x:v>Miércoles</x:v>
      </x:c>
      <x:c r="C751" t="str">
        <x:f>IF(COUNTIF(FERIADOS!$A$2:$A$250,A751)&gt;0,"SÍ","NO")</x:f>
        <x:v>NO</x:v>
      </x:c>
      <x:c r="D751" t="str">
        <x:f>IF(AND(WEEKDAY(A751,2)&lt;=5,C751="NO"),"SÍ","NO")</x:f>
        <x:v>SÍ</x:v>
      </x:c>
      <x:c r="E751" s="2" t="n">
        <x:f>WORKDAY.INTL(A751-1,1,1,FERIADOS!$A$2:$A$250)</x:f>
        <x:v>46407</x:v>
      </x:c>
      <x:c r="F751" t="str">
        <x:f>IF(E751&gt;=WORKDAY.INTL(EOMONTH(E751,0)+1,-2,1,FERIADOS!$A$2:$A$250),"SÍ","NO")</x:f>
        <x:v>NO</x:v>
      </x:c>
      <x:c r="G751" s="10" t="n">
        <x:f>IF(F751="SÍ",EOMONTH(E751,0)+1,DATE(YEAR(E751),MONTH(E751),1))</x:f>
        <x:v>46388</x:v>
      </x:c>
      <x:c r="H751" t="str">
        <x:f>IF(D751="NO",IF(C751="SÍ","FERIADO","FIN DE SEMANA"),"LABORABLE")&amp;IF(F751="SÍ"," + CIERRE","")</x:f>
        <x:v>LABORABLE</x:v>
      </x:c>
      <x:c r="I751" t="str">
        <x:f>TEXT(G751,"yyyy-mm")</x:f>
        <x:v>2027-01</x:v>
      </x:c>
    </x:row>
    <x:row r="752" ht="19" customHeight="1">
      <x:c r="A752" s="2" t="n">
        <x:v>46408</x:v>
      </x:c>
      <x:c r="B752" t="str">
        <x:f>CHOOSE(WEEKDAY(A752,2),"Lunes","Martes","Miércoles","Jueves","Viernes","Sábado","Domingo")</x:f>
        <x:v>Jueves</x:v>
      </x:c>
      <x:c r="C752" t="str">
        <x:f>IF(COUNTIF(FERIADOS!$A$2:$A$250,A752)&gt;0,"SÍ","NO")</x:f>
        <x:v>NO</x:v>
      </x:c>
      <x:c r="D752" t="str">
        <x:f>IF(AND(WEEKDAY(A752,2)&lt;=5,C752="NO"),"SÍ","NO")</x:f>
        <x:v>SÍ</x:v>
      </x:c>
      <x:c r="E752" s="2" t="n">
        <x:f>WORKDAY.INTL(A752-1,1,1,FERIADOS!$A$2:$A$250)</x:f>
        <x:v>46408</x:v>
      </x:c>
      <x:c r="F752" t="str">
        <x:f>IF(E752&gt;=WORKDAY.INTL(EOMONTH(E752,0)+1,-2,1,FERIADOS!$A$2:$A$250),"SÍ","NO")</x:f>
        <x:v>NO</x:v>
      </x:c>
      <x:c r="G752" s="10" t="n">
        <x:f>IF(F752="SÍ",EOMONTH(E752,0)+1,DATE(YEAR(E752),MONTH(E752),1))</x:f>
        <x:v>46388</x:v>
      </x:c>
      <x:c r="H752" t="str">
        <x:f>IF(D752="NO",IF(C752="SÍ","FERIADO","FIN DE SEMANA"),"LABORABLE")&amp;IF(F752="SÍ"," + CIERRE","")</x:f>
        <x:v>LABORABLE</x:v>
      </x:c>
      <x:c r="I752" t="str">
        <x:f>TEXT(G752,"yyyy-mm")</x:f>
        <x:v>2027-01</x:v>
      </x:c>
    </x:row>
    <x:row r="753" ht="19" customHeight="1">
      <x:c r="A753" s="2" t="n">
        <x:v>46409</x:v>
      </x:c>
      <x:c r="B753" t="str">
        <x:f>CHOOSE(WEEKDAY(A753,2),"Lunes","Martes","Miércoles","Jueves","Viernes","Sábado","Domingo")</x:f>
        <x:v>Viernes</x:v>
      </x:c>
      <x:c r="C753" t="str">
        <x:f>IF(COUNTIF(FERIADOS!$A$2:$A$250,A753)&gt;0,"SÍ","NO")</x:f>
        <x:v>NO</x:v>
      </x:c>
      <x:c r="D753" t="str">
        <x:f>IF(AND(WEEKDAY(A753,2)&lt;=5,C753="NO"),"SÍ","NO")</x:f>
        <x:v>SÍ</x:v>
      </x:c>
      <x:c r="E753" s="2" t="n">
        <x:f>WORKDAY.INTL(A753-1,1,1,FERIADOS!$A$2:$A$250)</x:f>
        <x:v>46409</x:v>
      </x:c>
      <x:c r="F753" t="str">
        <x:f>IF(E753&gt;=WORKDAY.INTL(EOMONTH(E753,0)+1,-2,1,FERIADOS!$A$2:$A$250),"SÍ","NO")</x:f>
        <x:v>NO</x:v>
      </x:c>
      <x:c r="G753" s="10" t="n">
        <x:f>IF(F753="SÍ",EOMONTH(E753,0)+1,DATE(YEAR(E753),MONTH(E753),1))</x:f>
        <x:v>46388</x:v>
      </x:c>
      <x:c r="H753" t="str">
        <x:f>IF(D753="NO",IF(C753="SÍ","FERIADO","FIN DE SEMANA"),"LABORABLE")&amp;IF(F753="SÍ"," + CIERRE","")</x:f>
        <x:v>LABORABLE</x:v>
      </x:c>
      <x:c r="I753" t="str">
        <x:f>TEXT(G753,"yyyy-mm")</x:f>
        <x:v>2027-01</x:v>
      </x:c>
    </x:row>
    <x:row r="754" ht="19" customHeight="1">
      <x:c r="A754" s="2" t="n">
        <x:v>46410</x:v>
      </x:c>
      <x:c r="B754" t="str">
        <x:f>CHOOSE(WEEKDAY(A754,2),"Lunes","Martes","Miércoles","Jueves","Viernes","Sábado","Domingo")</x:f>
        <x:v>Sábado</x:v>
      </x:c>
      <x:c r="C754" t="str">
        <x:f>IF(COUNTIF(FERIADOS!$A$2:$A$250,A754)&gt;0,"SÍ","NO")</x:f>
        <x:v>NO</x:v>
      </x:c>
      <x:c r="D754" t="str">
        <x:f>IF(AND(WEEKDAY(A754,2)&lt;=5,C754="NO"),"SÍ","NO")</x:f>
        <x:v>NO</x:v>
      </x:c>
      <x:c r="E754" s="2" t="n">
        <x:f>WORKDAY.INTL(A754-1,1,1,FERIADOS!$A$2:$A$250)</x:f>
        <x:v>46412</x:v>
      </x:c>
      <x:c r="F754" t="str">
        <x:f>IF(E754&gt;=WORKDAY.INTL(EOMONTH(E754,0)+1,-2,1,FERIADOS!$A$2:$A$250),"SÍ","NO")</x:f>
        <x:v>NO</x:v>
      </x:c>
      <x:c r="G754" s="10" t="n">
        <x:f>IF(F754="SÍ",EOMONTH(E754,0)+1,DATE(YEAR(E754),MONTH(E754),1))</x:f>
        <x:v>46388</x:v>
      </x:c>
      <x:c r="H754" t="str">
        <x:f>IF(D754="NO",IF(C754="SÍ","FERIADO","FIN DE SEMANA"),"LABORABLE")&amp;IF(F754="SÍ"," + CIERRE","")</x:f>
        <x:v>FIN DE SEMANA</x:v>
      </x:c>
      <x:c r="I754" t="str">
        <x:f>TEXT(G754,"yyyy-mm")</x:f>
        <x:v>2027-01</x:v>
      </x:c>
    </x:row>
    <x:row r="755" ht="19" customHeight="1">
      <x:c r="A755" s="2" t="n">
        <x:v>46411</x:v>
      </x:c>
      <x:c r="B755" t="str">
        <x:f>CHOOSE(WEEKDAY(A755,2),"Lunes","Martes","Miércoles","Jueves","Viernes","Sábado","Domingo")</x:f>
        <x:v>Domingo</x:v>
      </x:c>
      <x:c r="C755" t="str">
        <x:f>IF(COUNTIF(FERIADOS!$A$2:$A$250,A755)&gt;0,"SÍ","NO")</x:f>
        <x:v>NO</x:v>
      </x:c>
      <x:c r="D755" t="str">
        <x:f>IF(AND(WEEKDAY(A755,2)&lt;=5,C755="NO"),"SÍ","NO")</x:f>
        <x:v>NO</x:v>
      </x:c>
      <x:c r="E755" s="2" t="n">
        <x:f>WORKDAY.INTL(A755-1,1,1,FERIADOS!$A$2:$A$250)</x:f>
        <x:v>46412</x:v>
      </x:c>
      <x:c r="F755" t="str">
        <x:f>IF(E755&gt;=WORKDAY.INTL(EOMONTH(E755,0)+1,-2,1,FERIADOS!$A$2:$A$250),"SÍ","NO")</x:f>
        <x:v>NO</x:v>
      </x:c>
      <x:c r="G755" s="10" t="n">
        <x:f>IF(F755="SÍ",EOMONTH(E755,0)+1,DATE(YEAR(E755),MONTH(E755),1))</x:f>
        <x:v>46388</x:v>
      </x:c>
      <x:c r="H755" t="str">
        <x:f>IF(D755="NO",IF(C755="SÍ","FERIADO","FIN DE SEMANA"),"LABORABLE")&amp;IF(F755="SÍ"," + CIERRE","")</x:f>
        <x:v>FIN DE SEMANA</x:v>
      </x:c>
      <x:c r="I755" t="str">
        <x:f>TEXT(G755,"yyyy-mm")</x:f>
        <x:v>2027-01</x:v>
      </x:c>
    </x:row>
    <x:row r="756" ht="19" customHeight="1">
      <x:c r="A756" s="2" t="n">
        <x:v>46412</x:v>
      </x:c>
      <x:c r="B756" t="str">
        <x:f>CHOOSE(WEEKDAY(A756,2),"Lunes","Martes","Miércoles","Jueves","Viernes","Sábado","Domingo")</x:f>
        <x:v>Lunes</x:v>
      </x:c>
      <x:c r="C756" t="str">
        <x:f>IF(COUNTIF(FERIADOS!$A$2:$A$250,A756)&gt;0,"SÍ","NO")</x:f>
        <x:v>NO</x:v>
      </x:c>
      <x:c r="D756" t="str">
        <x:f>IF(AND(WEEKDAY(A756,2)&lt;=5,C756="NO"),"SÍ","NO")</x:f>
        <x:v>SÍ</x:v>
      </x:c>
      <x:c r="E756" s="2" t="n">
        <x:f>WORKDAY.INTL(A756-1,1,1,FERIADOS!$A$2:$A$250)</x:f>
        <x:v>46412</x:v>
      </x:c>
      <x:c r="F756" t="str">
        <x:f>IF(E756&gt;=WORKDAY.INTL(EOMONTH(E756,0)+1,-2,1,FERIADOS!$A$2:$A$250),"SÍ","NO")</x:f>
        <x:v>NO</x:v>
      </x:c>
      <x:c r="G756" s="10" t="n">
        <x:f>IF(F756="SÍ",EOMONTH(E756,0)+1,DATE(YEAR(E756),MONTH(E756),1))</x:f>
        <x:v>46388</x:v>
      </x:c>
      <x:c r="H756" t="str">
        <x:f>IF(D756="NO",IF(C756="SÍ","FERIADO","FIN DE SEMANA"),"LABORABLE")&amp;IF(F756="SÍ"," + CIERRE","")</x:f>
        <x:v>LABORABLE</x:v>
      </x:c>
      <x:c r="I756" t="str">
        <x:f>TEXT(G756,"yyyy-mm")</x:f>
        <x:v>2027-01</x:v>
      </x:c>
    </x:row>
    <x:row r="757" ht="19" customHeight="1">
      <x:c r="A757" s="2" t="n">
        <x:v>46413</x:v>
      </x:c>
      <x:c r="B757" t="str">
        <x:f>CHOOSE(WEEKDAY(A757,2),"Lunes","Martes","Miércoles","Jueves","Viernes","Sábado","Domingo")</x:f>
        <x:v>Martes</x:v>
      </x:c>
      <x:c r="C757" t="str">
        <x:f>IF(COUNTIF(FERIADOS!$A$2:$A$250,A757)&gt;0,"SÍ","NO")</x:f>
        <x:v>NO</x:v>
      </x:c>
      <x:c r="D757" t="str">
        <x:f>IF(AND(WEEKDAY(A757,2)&lt;=5,C757="NO"),"SÍ","NO")</x:f>
        <x:v>SÍ</x:v>
      </x:c>
      <x:c r="E757" s="2" t="n">
        <x:f>WORKDAY.INTL(A757-1,1,1,FERIADOS!$A$2:$A$250)</x:f>
        <x:v>46413</x:v>
      </x:c>
      <x:c r="F757" t="str">
        <x:f>IF(E757&gt;=WORKDAY.INTL(EOMONTH(E757,0)+1,-2,1,FERIADOS!$A$2:$A$250),"SÍ","NO")</x:f>
        <x:v>NO</x:v>
      </x:c>
      <x:c r="G757" s="10" t="n">
        <x:f>IF(F757="SÍ",EOMONTH(E757,0)+1,DATE(YEAR(E757),MONTH(E757),1))</x:f>
        <x:v>46388</x:v>
      </x:c>
      <x:c r="H757" t="str">
        <x:f>IF(D757="NO",IF(C757="SÍ","FERIADO","FIN DE SEMANA"),"LABORABLE")&amp;IF(F757="SÍ"," + CIERRE","")</x:f>
        <x:v>LABORABLE</x:v>
      </x:c>
      <x:c r="I757" t="str">
        <x:f>TEXT(G757,"yyyy-mm")</x:f>
        <x:v>2027-01</x:v>
      </x:c>
    </x:row>
    <x:row r="758" ht="19" customHeight="1">
      <x:c r="A758" s="2" t="n">
        <x:v>46414</x:v>
      </x:c>
      <x:c r="B758" t="str">
        <x:f>CHOOSE(WEEKDAY(A758,2),"Lunes","Martes","Miércoles","Jueves","Viernes","Sábado","Domingo")</x:f>
        <x:v>Miércoles</x:v>
      </x:c>
      <x:c r="C758" t="str">
        <x:f>IF(COUNTIF(FERIADOS!$A$2:$A$250,A758)&gt;0,"SÍ","NO")</x:f>
        <x:v>NO</x:v>
      </x:c>
      <x:c r="D758" t="str">
        <x:f>IF(AND(WEEKDAY(A758,2)&lt;=5,C758="NO"),"SÍ","NO")</x:f>
        <x:v>SÍ</x:v>
      </x:c>
      <x:c r="E758" s="2" t="n">
        <x:f>WORKDAY.INTL(A758-1,1,1,FERIADOS!$A$2:$A$250)</x:f>
        <x:v>46414</x:v>
      </x:c>
      <x:c r="F758" t="str">
        <x:f>IF(E758&gt;=WORKDAY.INTL(EOMONTH(E758,0)+1,-2,1,FERIADOS!$A$2:$A$250),"SÍ","NO")</x:f>
        <x:v>NO</x:v>
      </x:c>
      <x:c r="G758" s="10" t="n">
        <x:f>IF(F758="SÍ",EOMONTH(E758,0)+1,DATE(YEAR(E758),MONTH(E758),1))</x:f>
        <x:v>46388</x:v>
      </x:c>
      <x:c r="H758" t="str">
        <x:f>IF(D758="NO",IF(C758="SÍ","FERIADO","FIN DE SEMANA"),"LABORABLE")&amp;IF(F758="SÍ"," + CIERRE","")</x:f>
        <x:v>LABORABLE</x:v>
      </x:c>
      <x:c r="I758" t="str">
        <x:f>TEXT(G758,"yyyy-mm")</x:f>
        <x:v>2027-01</x:v>
      </x:c>
    </x:row>
    <x:row r="759" ht="19" customHeight="1">
      <x:c r="A759" s="2" t="n">
        <x:v>46415</x:v>
      </x:c>
      <x:c r="B759" t="str">
        <x:f>CHOOSE(WEEKDAY(A759,2),"Lunes","Martes","Miércoles","Jueves","Viernes","Sábado","Domingo")</x:f>
        <x:v>Jueves</x:v>
      </x:c>
      <x:c r="C759" t="str">
        <x:f>IF(COUNTIF(FERIADOS!$A$2:$A$250,A759)&gt;0,"SÍ","NO")</x:f>
        <x:v>NO</x:v>
      </x:c>
      <x:c r="D759" t="str">
        <x:f>IF(AND(WEEKDAY(A759,2)&lt;=5,C759="NO"),"SÍ","NO")</x:f>
        <x:v>SÍ</x:v>
      </x:c>
      <x:c r="E759" s="2" t="n">
        <x:f>WORKDAY.INTL(A759-1,1,1,FERIADOS!$A$2:$A$250)</x:f>
        <x:v>46415</x:v>
      </x:c>
      <x:c r="F759" t="str">
        <x:f>IF(E759&gt;=WORKDAY.INTL(EOMONTH(E759,0)+1,-2,1,FERIADOS!$A$2:$A$250),"SÍ","NO")</x:f>
        <x:v>SÍ</x:v>
      </x:c>
      <x:c r="G759" s="10" t="n">
        <x:f>IF(F759="SÍ",EOMONTH(E759,0)+1,DATE(YEAR(E759),MONTH(E759),1))</x:f>
        <x:v>46419</x:v>
      </x:c>
      <x:c r="H759" t="str">
        <x:f>IF(D759="NO",IF(C759="SÍ","FERIADO","FIN DE SEMANA"),"LABORABLE")&amp;IF(F759="SÍ"," + CIERRE","")</x:f>
        <x:v>LABORABLE + CIERRE</x:v>
      </x:c>
      <x:c r="I759" t="str">
        <x:f>TEXT(G759,"yyyy-mm")</x:f>
        <x:v>2027-02</x:v>
      </x:c>
    </x:row>
    <x:row r="760" ht="19" customHeight="1">
      <x:c r="A760" s="2" t="n">
        <x:v>46416</x:v>
      </x:c>
      <x:c r="B760" t="str">
        <x:f>CHOOSE(WEEKDAY(A760,2),"Lunes","Martes","Miércoles","Jueves","Viernes","Sábado","Domingo")</x:f>
        <x:v>Viernes</x:v>
      </x:c>
      <x:c r="C760" t="str">
        <x:f>IF(COUNTIF(FERIADOS!$A$2:$A$250,A760)&gt;0,"SÍ","NO")</x:f>
        <x:v>NO</x:v>
      </x:c>
      <x:c r="D760" t="str">
        <x:f>IF(AND(WEEKDAY(A760,2)&lt;=5,C760="NO"),"SÍ","NO")</x:f>
        <x:v>SÍ</x:v>
      </x:c>
      <x:c r="E760" s="2" t="n">
        <x:f>WORKDAY.INTL(A760-1,1,1,FERIADOS!$A$2:$A$250)</x:f>
        <x:v>46416</x:v>
      </x:c>
      <x:c r="F760" t="str">
        <x:f>IF(E760&gt;=WORKDAY.INTL(EOMONTH(E760,0)+1,-2,1,FERIADOS!$A$2:$A$250),"SÍ","NO")</x:f>
        <x:v>SÍ</x:v>
      </x:c>
      <x:c r="G760" s="10" t="n">
        <x:f>IF(F760="SÍ",EOMONTH(E760,0)+1,DATE(YEAR(E760),MONTH(E760),1))</x:f>
        <x:v>46419</x:v>
      </x:c>
      <x:c r="H760" t="str">
        <x:f>IF(D760="NO",IF(C760="SÍ","FERIADO","FIN DE SEMANA"),"LABORABLE")&amp;IF(F760="SÍ"," + CIERRE","")</x:f>
        <x:v>LABORABLE + CIERRE</x:v>
      </x:c>
      <x:c r="I760" t="str">
        <x:f>TEXT(G760,"yyyy-mm")</x:f>
        <x:v>2027-02</x:v>
      </x:c>
    </x:row>
    <x:row r="761" ht="19" customHeight="1">
      <x:c r="A761" s="2" t="n">
        <x:v>46417</x:v>
      </x:c>
      <x:c r="B761" t="str">
        <x:f>CHOOSE(WEEKDAY(A761,2),"Lunes","Martes","Miércoles","Jueves","Viernes","Sábado","Domingo")</x:f>
        <x:v>Sábado</x:v>
      </x:c>
      <x:c r="C761" t="str">
        <x:f>IF(COUNTIF(FERIADOS!$A$2:$A$250,A761)&gt;0,"SÍ","NO")</x:f>
        <x:v>NO</x:v>
      </x:c>
      <x:c r="D761" t="str">
        <x:f>IF(AND(WEEKDAY(A761,2)&lt;=5,C761="NO"),"SÍ","NO")</x:f>
        <x:v>NO</x:v>
      </x:c>
      <x:c r="E761" s="2" t="n">
        <x:f>WORKDAY.INTL(A761-1,1,1,FERIADOS!$A$2:$A$250)</x:f>
        <x:v>46419</x:v>
      </x:c>
      <x:c r="F761" t="str">
        <x:f>IF(E761&gt;=WORKDAY.INTL(EOMONTH(E761,0)+1,-2,1,FERIADOS!$A$2:$A$250),"SÍ","NO")</x:f>
        <x:v>NO</x:v>
      </x:c>
      <x:c r="G761" s="10" t="n">
        <x:f>IF(F761="SÍ",EOMONTH(E761,0)+1,DATE(YEAR(E761),MONTH(E761),1))</x:f>
        <x:v>46419</x:v>
      </x:c>
      <x:c r="H761" t="str">
        <x:f>IF(D761="NO",IF(C761="SÍ","FERIADO","FIN DE SEMANA"),"LABORABLE")&amp;IF(F761="SÍ"," + CIERRE","")</x:f>
        <x:v>FIN DE SEMANA</x:v>
      </x:c>
      <x:c r="I761" t="str">
        <x:f>TEXT(G761,"yyyy-mm")</x:f>
        <x:v>2027-02</x:v>
      </x:c>
    </x:row>
    <x:row r="762" ht="19" customHeight="1">
      <x:c r="A762" s="2" t="n">
        <x:v>46418</x:v>
      </x:c>
      <x:c r="B762" t="str">
        <x:f>CHOOSE(WEEKDAY(A762,2),"Lunes","Martes","Miércoles","Jueves","Viernes","Sábado","Domingo")</x:f>
        <x:v>Domingo</x:v>
      </x:c>
      <x:c r="C762" t="str">
        <x:f>IF(COUNTIF(FERIADOS!$A$2:$A$250,A762)&gt;0,"SÍ","NO")</x:f>
        <x:v>NO</x:v>
      </x:c>
      <x:c r="D762" t="str">
        <x:f>IF(AND(WEEKDAY(A762,2)&lt;=5,C762="NO"),"SÍ","NO")</x:f>
        <x:v>NO</x:v>
      </x:c>
      <x:c r="E762" s="2" t="n">
        <x:f>WORKDAY.INTL(A762-1,1,1,FERIADOS!$A$2:$A$250)</x:f>
        <x:v>46419</x:v>
      </x:c>
      <x:c r="F762" t="str">
        <x:f>IF(E762&gt;=WORKDAY.INTL(EOMONTH(E762,0)+1,-2,1,FERIADOS!$A$2:$A$250),"SÍ","NO")</x:f>
        <x:v>NO</x:v>
      </x:c>
      <x:c r="G762" s="10" t="n">
        <x:f>IF(F762="SÍ",EOMONTH(E762,0)+1,DATE(YEAR(E762),MONTH(E762),1))</x:f>
        <x:v>46419</x:v>
      </x:c>
      <x:c r="H762" t="str">
        <x:f>IF(D762="NO",IF(C762="SÍ","FERIADO","FIN DE SEMANA"),"LABORABLE")&amp;IF(F762="SÍ"," + CIERRE","")</x:f>
        <x:v>FIN DE SEMANA</x:v>
      </x:c>
      <x:c r="I762" t="str">
        <x:f>TEXT(G762,"yyyy-mm")</x:f>
        <x:v>2027-02</x:v>
      </x:c>
    </x:row>
    <x:row r="763" ht="19" customHeight="1">
      <x:c r="A763" s="2" t="n">
        <x:v>46419</x:v>
      </x:c>
      <x:c r="B763" t="str">
        <x:f>CHOOSE(WEEKDAY(A763,2),"Lunes","Martes","Miércoles","Jueves","Viernes","Sábado","Domingo")</x:f>
        <x:v>Lunes</x:v>
      </x:c>
      <x:c r="C763" t="str">
        <x:f>IF(COUNTIF(FERIADOS!$A$2:$A$250,A763)&gt;0,"SÍ","NO")</x:f>
        <x:v>NO</x:v>
      </x:c>
      <x:c r="D763" t="str">
        <x:f>IF(AND(WEEKDAY(A763,2)&lt;=5,C763="NO"),"SÍ","NO")</x:f>
        <x:v>SÍ</x:v>
      </x:c>
      <x:c r="E763" s="2" t="n">
        <x:f>WORKDAY.INTL(A763-1,1,1,FERIADOS!$A$2:$A$250)</x:f>
        <x:v>46419</x:v>
      </x:c>
      <x:c r="F763" t="str">
        <x:f>IF(E763&gt;=WORKDAY.INTL(EOMONTH(E763,0)+1,-2,1,FERIADOS!$A$2:$A$250),"SÍ","NO")</x:f>
        <x:v>NO</x:v>
      </x:c>
      <x:c r="G763" s="10" t="n">
        <x:f>IF(F763="SÍ",EOMONTH(E763,0)+1,DATE(YEAR(E763),MONTH(E763),1))</x:f>
        <x:v>46419</x:v>
      </x:c>
      <x:c r="H763" t="str">
        <x:f>IF(D763="NO",IF(C763="SÍ","FERIADO","FIN DE SEMANA"),"LABORABLE")&amp;IF(F763="SÍ"," + CIERRE","")</x:f>
        <x:v>LABORABLE</x:v>
      </x:c>
      <x:c r="I763" t="str">
        <x:f>TEXT(G763,"yyyy-mm")</x:f>
        <x:v>2027-02</x:v>
      </x:c>
    </x:row>
    <x:row r="764" ht="19" customHeight="1">
      <x:c r="A764" s="2" t="n">
        <x:v>46420</x:v>
      </x:c>
      <x:c r="B764" t="str">
        <x:f>CHOOSE(WEEKDAY(A764,2),"Lunes","Martes","Miércoles","Jueves","Viernes","Sábado","Domingo")</x:f>
        <x:v>Martes</x:v>
      </x:c>
      <x:c r="C764" t="str">
        <x:f>IF(COUNTIF(FERIADOS!$A$2:$A$250,A764)&gt;0,"SÍ","NO")</x:f>
        <x:v>NO</x:v>
      </x:c>
      <x:c r="D764" t="str">
        <x:f>IF(AND(WEEKDAY(A764,2)&lt;=5,C764="NO"),"SÍ","NO")</x:f>
        <x:v>SÍ</x:v>
      </x:c>
      <x:c r="E764" s="2" t="n">
        <x:f>WORKDAY.INTL(A764-1,1,1,FERIADOS!$A$2:$A$250)</x:f>
        <x:v>46420</x:v>
      </x:c>
      <x:c r="F764" t="str">
        <x:f>IF(E764&gt;=WORKDAY.INTL(EOMONTH(E764,0)+1,-2,1,FERIADOS!$A$2:$A$250),"SÍ","NO")</x:f>
        <x:v>NO</x:v>
      </x:c>
      <x:c r="G764" s="10" t="n">
        <x:f>IF(F764="SÍ",EOMONTH(E764,0)+1,DATE(YEAR(E764),MONTH(E764),1))</x:f>
        <x:v>46419</x:v>
      </x:c>
      <x:c r="H764" t="str">
        <x:f>IF(D764="NO",IF(C764="SÍ","FERIADO","FIN DE SEMANA"),"LABORABLE")&amp;IF(F764="SÍ"," + CIERRE","")</x:f>
        <x:v>LABORABLE</x:v>
      </x:c>
      <x:c r="I764" t="str">
        <x:f>TEXT(G764,"yyyy-mm")</x:f>
        <x:v>2027-02</x:v>
      </x:c>
    </x:row>
    <x:row r="765" ht="19" customHeight="1">
      <x:c r="A765" s="2" t="n">
        <x:v>46421</x:v>
      </x:c>
      <x:c r="B765" t="str">
        <x:f>CHOOSE(WEEKDAY(A765,2),"Lunes","Martes","Miércoles","Jueves","Viernes","Sábado","Domingo")</x:f>
        <x:v>Miércoles</x:v>
      </x:c>
      <x:c r="C765" t="str">
        <x:f>IF(COUNTIF(FERIADOS!$A$2:$A$250,A765)&gt;0,"SÍ","NO")</x:f>
        <x:v>NO</x:v>
      </x:c>
      <x:c r="D765" t="str">
        <x:f>IF(AND(WEEKDAY(A765,2)&lt;=5,C765="NO"),"SÍ","NO")</x:f>
        <x:v>SÍ</x:v>
      </x:c>
      <x:c r="E765" s="2" t="n">
        <x:f>WORKDAY.INTL(A765-1,1,1,FERIADOS!$A$2:$A$250)</x:f>
        <x:v>46421</x:v>
      </x:c>
      <x:c r="F765" t="str">
        <x:f>IF(E765&gt;=WORKDAY.INTL(EOMONTH(E765,0)+1,-2,1,FERIADOS!$A$2:$A$250),"SÍ","NO")</x:f>
        <x:v>NO</x:v>
      </x:c>
      <x:c r="G765" s="10" t="n">
        <x:f>IF(F765="SÍ",EOMONTH(E765,0)+1,DATE(YEAR(E765),MONTH(E765),1))</x:f>
        <x:v>46419</x:v>
      </x:c>
      <x:c r="H765" t="str">
        <x:f>IF(D765="NO",IF(C765="SÍ","FERIADO","FIN DE SEMANA"),"LABORABLE")&amp;IF(F765="SÍ"," + CIERRE","")</x:f>
        <x:v>LABORABLE</x:v>
      </x:c>
      <x:c r="I765" t="str">
        <x:f>TEXT(G765,"yyyy-mm")</x:f>
        <x:v>2027-02</x:v>
      </x:c>
    </x:row>
    <x:row r="766" ht="19" customHeight="1">
      <x:c r="A766" s="2" t="n">
        <x:v>46422</x:v>
      </x:c>
      <x:c r="B766" t="str">
        <x:f>CHOOSE(WEEKDAY(A766,2),"Lunes","Martes","Miércoles","Jueves","Viernes","Sábado","Domingo")</x:f>
        <x:v>Jueves</x:v>
      </x:c>
      <x:c r="C766" t="str">
        <x:f>IF(COUNTIF(FERIADOS!$A$2:$A$250,A766)&gt;0,"SÍ","NO")</x:f>
        <x:v>NO</x:v>
      </x:c>
      <x:c r="D766" t="str">
        <x:f>IF(AND(WEEKDAY(A766,2)&lt;=5,C766="NO"),"SÍ","NO")</x:f>
        <x:v>SÍ</x:v>
      </x:c>
      <x:c r="E766" s="2" t="n">
        <x:f>WORKDAY.INTL(A766-1,1,1,FERIADOS!$A$2:$A$250)</x:f>
        <x:v>46422</x:v>
      </x:c>
      <x:c r="F766" t="str">
        <x:f>IF(E766&gt;=WORKDAY.INTL(EOMONTH(E766,0)+1,-2,1,FERIADOS!$A$2:$A$250),"SÍ","NO")</x:f>
        <x:v>NO</x:v>
      </x:c>
      <x:c r="G766" s="10" t="n">
        <x:f>IF(F766="SÍ",EOMONTH(E766,0)+1,DATE(YEAR(E766),MONTH(E766),1))</x:f>
        <x:v>46419</x:v>
      </x:c>
      <x:c r="H766" t="str">
        <x:f>IF(D766="NO",IF(C766="SÍ","FERIADO","FIN DE SEMANA"),"LABORABLE")&amp;IF(F766="SÍ"," + CIERRE","")</x:f>
        <x:v>LABORABLE</x:v>
      </x:c>
      <x:c r="I766" t="str">
        <x:f>TEXT(G766,"yyyy-mm")</x:f>
        <x:v>2027-02</x:v>
      </x:c>
    </x:row>
    <x:row r="767" ht="19" customHeight="1">
      <x:c r="A767" s="2" t="n">
        <x:v>46423</x:v>
      </x:c>
      <x:c r="B767" t="str">
        <x:f>CHOOSE(WEEKDAY(A767,2),"Lunes","Martes","Miércoles","Jueves","Viernes","Sábado","Domingo")</x:f>
        <x:v>Viernes</x:v>
      </x:c>
      <x:c r="C767" t="str">
        <x:f>IF(COUNTIF(FERIADOS!$A$2:$A$250,A767)&gt;0,"SÍ","NO")</x:f>
        <x:v>NO</x:v>
      </x:c>
      <x:c r="D767" t="str">
        <x:f>IF(AND(WEEKDAY(A767,2)&lt;=5,C767="NO"),"SÍ","NO")</x:f>
        <x:v>SÍ</x:v>
      </x:c>
      <x:c r="E767" s="2" t="n">
        <x:f>WORKDAY.INTL(A767-1,1,1,FERIADOS!$A$2:$A$250)</x:f>
        <x:v>46423</x:v>
      </x:c>
      <x:c r="F767" t="str">
        <x:f>IF(E767&gt;=WORKDAY.INTL(EOMONTH(E767,0)+1,-2,1,FERIADOS!$A$2:$A$250),"SÍ","NO")</x:f>
        <x:v>NO</x:v>
      </x:c>
      <x:c r="G767" s="10" t="n">
        <x:f>IF(F767="SÍ",EOMONTH(E767,0)+1,DATE(YEAR(E767),MONTH(E767),1))</x:f>
        <x:v>46419</x:v>
      </x:c>
      <x:c r="H767" t="str">
        <x:f>IF(D767="NO",IF(C767="SÍ","FERIADO","FIN DE SEMANA"),"LABORABLE")&amp;IF(F767="SÍ"," + CIERRE","")</x:f>
        <x:v>LABORABLE</x:v>
      </x:c>
      <x:c r="I767" t="str">
        <x:f>TEXT(G767,"yyyy-mm")</x:f>
        <x:v>2027-02</x:v>
      </x:c>
    </x:row>
    <x:row r="768" ht="19" customHeight="1">
      <x:c r="A768" s="2" t="n">
        <x:v>46424</x:v>
      </x:c>
      <x:c r="B768" t="str">
        <x:f>CHOOSE(WEEKDAY(A768,2),"Lunes","Martes","Miércoles","Jueves","Viernes","Sábado","Domingo")</x:f>
        <x:v>Sábado</x:v>
      </x:c>
      <x:c r="C768" t="str">
        <x:f>IF(COUNTIF(FERIADOS!$A$2:$A$250,A768)&gt;0,"SÍ","NO")</x:f>
        <x:v>NO</x:v>
      </x:c>
      <x:c r="D768" t="str">
        <x:f>IF(AND(WEEKDAY(A768,2)&lt;=5,C768="NO"),"SÍ","NO")</x:f>
        <x:v>NO</x:v>
      </x:c>
      <x:c r="E768" s="2" t="n">
        <x:f>WORKDAY.INTL(A768-1,1,1,FERIADOS!$A$2:$A$250)</x:f>
        <x:v>46428</x:v>
      </x:c>
      <x:c r="F768" t="str">
        <x:f>IF(E768&gt;=WORKDAY.INTL(EOMONTH(E768,0)+1,-2,1,FERIADOS!$A$2:$A$250),"SÍ","NO")</x:f>
        <x:v>NO</x:v>
      </x:c>
      <x:c r="G768" s="10" t="n">
        <x:f>IF(F768="SÍ",EOMONTH(E768,0)+1,DATE(YEAR(E768),MONTH(E768),1))</x:f>
        <x:v>46419</x:v>
      </x:c>
      <x:c r="H768" t="str">
        <x:f>IF(D768="NO",IF(C768="SÍ","FERIADO","FIN DE SEMANA"),"LABORABLE")&amp;IF(F768="SÍ"," + CIERRE","")</x:f>
        <x:v>FIN DE SEMANA</x:v>
      </x:c>
      <x:c r="I768" t="str">
        <x:f>TEXT(G768,"yyyy-mm")</x:f>
        <x:v>2027-02</x:v>
      </x:c>
    </x:row>
    <x:row r="769" ht="19" customHeight="1">
      <x:c r="A769" s="2" t="n">
        <x:v>46425</x:v>
      </x:c>
      <x:c r="B769" t="str">
        <x:f>CHOOSE(WEEKDAY(A769,2),"Lunes","Martes","Miércoles","Jueves","Viernes","Sábado","Domingo")</x:f>
        <x:v>Domingo</x:v>
      </x:c>
      <x:c r="C769" t="str">
        <x:f>IF(COUNTIF(FERIADOS!$A$2:$A$250,A769)&gt;0,"SÍ","NO")</x:f>
        <x:v>NO</x:v>
      </x:c>
      <x:c r="D769" t="str">
        <x:f>IF(AND(WEEKDAY(A769,2)&lt;=5,C769="NO"),"SÍ","NO")</x:f>
        <x:v>NO</x:v>
      </x:c>
      <x:c r="E769" s="2" t="n">
        <x:f>WORKDAY.INTL(A769-1,1,1,FERIADOS!$A$2:$A$250)</x:f>
        <x:v>46428</x:v>
      </x:c>
      <x:c r="F769" t="str">
        <x:f>IF(E769&gt;=WORKDAY.INTL(EOMONTH(E769,0)+1,-2,1,FERIADOS!$A$2:$A$250),"SÍ","NO")</x:f>
        <x:v>NO</x:v>
      </x:c>
      <x:c r="G769" s="10" t="n">
        <x:f>IF(F769="SÍ",EOMONTH(E769,0)+1,DATE(YEAR(E769),MONTH(E769),1))</x:f>
        <x:v>46419</x:v>
      </x:c>
      <x:c r="H769" t="str">
        <x:f>IF(D769="NO",IF(C769="SÍ","FERIADO","FIN DE SEMANA"),"LABORABLE")&amp;IF(F769="SÍ"," + CIERRE","")</x:f>
        <x:v>FIN DE SEMANA</x:v>
      </x:c>
      <x:c r="I769" t="str">
        <x:f>TEXT(G769,"yyyy-mm")</x:f>
        <x:v>2027-02</x:v>
      </x:c>
    </x:row>
    <x:row r="770" ht="19" customHeight="1">
      <x:c r="A770" s="2" t="n">
        <x:v>46426</x:v>
      </x:c>
      <x:c r="B770" t="str">
        <x:f>CHOOSE(WEEKDAY(A770,2),"Lunes","Martes","Miércoles","Jueves","Viernes","Sábado","Domingo")</x:f>
        <x:v>Lunes</x:v>
      </x:c>
      <x:c r="C770" t="str">
        <x:f>IF(COUNTIF(FERIADOS!$A$2:$A$250,A770)&gt;0,"SÍ","NO")</x:f>
        <x:v>SÍ</x:v>
      </x:c>
      <x:c r="D770" t="str">
        <x:f>IF(AND(WEEKDAY(A770,2)&lt;=5,C770="NO"),"SÍ","NO")</x:f>
        <x:v>NO</x:v>
      </x:c>
      <x:c r="E770" s="2" t="n">
        <x:f>WORKDAY.INTL(A770-1,1,1,FERIADOS!$A$2:$A$250)</x:f>
        <x:v>46428</x:v>
      </x:c>
      <x:c r="F770" t="str">
        <x:f>IF(E770&gt;=WORKDAY.INTL(EOMONTH(E770,0)+1,-2,1,FERIADOS!$A$2:$A$250),"SÍ","NO")</x:f>
        <x:v>NO</x:v>
      </x:c>
      <x:c r="G770" s="10" t="n">
        <x:f>IF(F770="SÍ",EOMONTH(E770,0)+1,DATE(YEAR(E770),MONTH(E770),1))</x:f>
        <x:v>46419</x:v>
      </x:c>
      <x:c r="H770" t="str">
        <x:f>IF(D770="NO",IF(C770="SÍ","FERIADO","FIN DE SEMANA"),"LABORABLE")&amp;IF(F770="SÍ"," + CIERRE","")</x:f>
        <x:v>FERIADO</x:v>
      </x:c>
      <x:c r="I770" t="str">
        <x:f>TEXT(G770,"yyyy-mm")</x:f>
        <x:v>2027-02</x:v>
      </x:c>
    </x:row>
    <x:row r="771" ht="19" customHeight="1">
      <x:c r="A771" s="2" t="n">
        <x:v>46427</x:v>
      </x:c>
      <x:c r="B771" t="str">
        <x:f>CHOOSE(WEEKDAY(A771,2),"Lunes","Martes","Miércoles","Jueves","Viernes","Sábado","Domingo")</x:f>
        <x:v>Martes</x:v>
      </x:c>
      <x:c r="C771" t="str">
        <x:f>IF(COUNTIF(FERIADOS!$A$2:$A$250,A771)&gt;0,"SÍ","NO")</x:f>
        <x:v>SÍ</x:v>
      </x:c>
      <x:c r="D771" t="str">
        <x:f>IF(AND(WEEKDAY(A771,2)&lt;=5,C771="NO"),"SÍ","NO")</x:f>
        <x:v>NO</x:v>
      </x:c>
      <x:c r="E771" s="2" t="n">
        <x:f>WORKDAY.INTL(A771-1,1,1,FERIADOS!$A$2:$A$250)</x:f>
        <x:v>46428</x:v>
      </x:c>
      <x:c r="F771" t="str">
        <x:f>IF(E771&gt;=WORKDAY.INTL(EOMONTH(E771,0)+1,-2,1,FERIADOS!$A$2:$A$250),"SÍ","NO")</x:f>
        <x:v>NO</x:v>
      </x:c>
      <x:c r="G771" s="10" t="n">
        <x:f>IF(F771="SÍ",EOMONTH(E771,0)+1,DATE(YEAR(E771),MONTH(E771),1))</x:f>
        <x:v>46419</x:v>
      </x:c>
      <x:c r="H771" t="str">
        <x:f>IF(D771="NO",IF(C771="SÍ","FERIADO","FIN DE SEMANA"),"LABORABLE")&amp;IF(F771="SÍ"," + CIERRE","")</x:f>
        <x:v>FERIADO</x:v>
      </x:c>
      <x:c r="I771" t="str">
        <x:f>TEXT(G771,"yyyy-mm")</x:f>
        <x:v>2027-02</x:v>
      </x:c>
    </x:row>
    <x:row r="772" ht="19" customHeight="1">
      <x:c r="A772" s="2" t="n">
        <x:v>46428</x:v>
      </x:c>
      <x:c r="B772" t="str">
        <x:f>CHOOSE(WEEKDAY(A772,2),"Lunes","Martes","Miércoles","Jueves","Viernes","Sábado","Domingo")</x:f>
        <x:v>Miércoles</x:v>
      </x:c>
      <x:c r="C772" t="str">
        <x:f>IF(COUNTIF(FERIADOS!$A$2:$A$250,A772)&gt;0,"SÍ","NO")</x:f>
        <x:v>NO</x:v>
      </x:c>
      <x:c r="D772" t="str">
        <x:f>IF(AND(WEEKDAY(A772,2)&lt;=5,C772="NO"),"SÍ","NO")</x:f>
        <x:v>SÍ</x:v>
      </x:c>
      <x:c r="E772" s="2" t="n">
        <x:f>WORKDAY.INTL(A772-1,1,1,FERIADOS!$A$2:$A$250)</x:f>
        <x:v>46428</x:v>
      </x:c>
      <x:c r="F772" t="str">
        <x:f>IF(E772&gt;=WORKDAY.INTL(EOMONTH(E772,0)+1,-2,1,FERIADOS!$A$2:$A$250),"SÍ","NO")</x:f>
        <x:v>NO</x:v>
      </x:c>
      <x:c r="G772" s="10" t="n">
        <x:f>IF(F772="SÍ",EOMONTH(E772,0)+1,DATE(YEAR(E772),MONTH(E772),1))</x:f>
        <x:v>46419</x:v>
      </x:c>
      <x:c r="H772" t="str">
        <x:f>IF(D772="NO",IF(C772="SÍ","FERIADO","FIN DE SEMANA"),"LABORABLE")&amp;IF(F772="SÍ"," + CIERRE","")</x:f>
        <x:v>LABORABLE</x:v>
      </x:c>
      <x:c r="I772" t="str">
        <x:f>TEXT(G772,"yyyy-mm")</x:f>
        <x:v>2027-02</x:v>
      </x:c>
    </x:row>
    <x:row r="773" ht="19" customHeight="1">
      <x:c r="A773" s="2" t="n">
        <x:v>46429</x:v>
      </x:c>
      <x:c r="B773" t="str">
        <x:f>CHOOSE(WEEKDAY(A773,2),"Lunes","Martes","Miércoles","Jueves","Viernes","Sábado","Domingo")</x:f>
        <x:v>Jueves</x:v>
      </x:c>
      <x:c r="C773" t="str">
        <x:f>IF(COUNTIF(FERIADOS!$A$2:$A$250,A773)&gt;0,"SÍ","NO")</x:f>
        <x:v>NO</x:v>
      </x:c>
      <x:c r="D773" t="str">
        <x:f>IF(AND(WEEKDAY(A773,2)&lt;=5,C773="NO"),"SÍ","NO")</x:f>
        <x:v>SÍ</x:v>
      </x:c>
      <x:c r="E773" s="2" t="n">
        <x:f>WORKDAY.INTL(A773-1,1,1,FERIADOS!$A$2:$A$250)</x:f>
        <x:v>46429</x:v>
      </x:c>
      <x:c r="F773" t="str">
        <x:f>IF(E773&gt;=WORKDAY.INTL(EOMONTH(E773,0)+1,-2,1,FERIADOS!$A$2:$A$250),"SÍ","NO")</x:f>
        <x:v>NO</x:v>
      </x:c>
      <x:c r="G773" s="10" t="n">
        <x:f>IF(F773="SÍ",EOMONTH(E773,0)+1,DATE(YEAR(E773),MONTH(E773),1))</x:f>
        <x:v>46419</x:v>
      </x:c>
      <x:c r="H773" t="str">
        <x:f>IF(D773="NO",IF(C773="SÍ","FERIADO","FIN DE SEMANA"),"LABORABLE")&amp;IF(F773="SÍ"," + CIERRE","")</x:f>
        <x:v>LABORABLE</x:v>
      </x:c>
      <x:c r="I773" t="str">
        <x:f>TEXT(G773,"yyyy-mm")</x:f>
        <x:v>2027-02</x:v>
      </x:c>
    </x:row>
    <x:row r="774" ht="19" customHeight="1">
      <x:c r="A774" s="2" t="n">
        <x:v>46430</x:v>
      </x:c>
      <x:c r="B774" t="str">
        <x:f>CHOOSE(WEEKDAY(A774,2),"Lunes","Martes","Miércoles","Jueves","Viernes","Sábado","Domingo")</x:f>
        <x:v>Viernes</x:v>
      </x:c>
      <x:c r="C774" t="str">
        <x:f>IF(COUNTIF(FERIADOS!$A$2:$A$250,A774)&gt;0,"SÍ","NO")</x:f>
        <x:v>NO</x:v>
      </x:c>
      <x:c r="D774" t="str">
        <x:f>IF(AND(WEEKDAY(A774,2)&lt;=5,C774="NO"),"SÍ","NO")</x:f>
        <x:v>SÍ</x:v>
      </x:c>
      <x:c r="E774" s="2" t="n">
        <x:f>WORKDAY.INTL(A774-1,1,1,FERIADOS!$A$2:$A$250)</x:f>
        <x:v>46430</x:v>
      </x:c>
      <x:c r="F774" t="str">
        <x:f>IF(E774&gt;=WORKDAY.INTL(EOMONTH(E774,0)+1,-2,1,FERIADOS!$A$2:$A$250),"SÍ","NO")</x:f>
        <x:v>NO</x:v>
      </x:c>
      <x:c r="G774" s="10" t="n">
        <x:f>IF(F774="SÍ",EOMONTH(E774,0)+1,DATE(YEAR(E774),MONTH(E774),1))</x:f>
        <x:v>46419</x:v>
      </x:c>
      <x:c r="H774" t="str">
        <x:f>IF(D774="NO",IF(C774="SÍ","FERIADO","FIN DE SEMANA"),"LABORABLE")&amp;IF(F774="SÍ"," + CIERRE","")</x:f>
        <x:v>LABORABLE</x:v>
      </x:c>
      <x:c r="I774" t="str">
        <x:f>TEXT(G774,"yyyy-mm")</x:f>
        <x:v>2027-02</x:v>
      </x:c>
    </x:row>
    <x:row r="775" ht="19" customHeight="1">
      <x:c r="A775" s="2" t="n">
        <x:v>46431</x:v>
      </x:c>
      <x:c r="B775" t="str">
        <x:f>CHOOSE(WEEKDAY(A775,2),"Lunes","Martes","Miércoles","Jueves","Viernes","Sábado","Domingo")</x:f>
        <x:v>Sábado</x:v>
      </x:c>
      <x:c r="C775" t="str">
        <x:f>IF(COUNTIF(FERIADOS!$A$2:$A$250,A775)&gt;0,"SÍ","NO")</x:f>
        <x:v>NO</x:v>
      </x:c>
      <x:c r="D775" t="str">
        <x:f>IF(AND(WEEKDAY(A775,2)&lt;=5,C775="NO"),"SÍ","NO")</x:f>
        <x:v>NO</x:v>
      </x:c>
      <x:c r="E775" s="2" t="n">
        <x:f>WORKDAY.INTL(A775-1,1,1,FERIADOS!$A$2:$A$250)</x:f>
        <x:v>46433</x:v>
      </x:c>
      <x:c r="F775" t="str">
        <x:f>IF(E775&gt;=WORKDAY.INTL(EOMONTH(E775,0)+1,-2,1,FERIADOS!$A$2:$A$250),"SÍ","NO")</x:f>
        <x:v>NO</x:v>
      </x:c>
      <x:c r="G775" s="10" t="n">
        <x:f>IF(F775="SÍ",EOMONTH(E775,0)+1,DATE(YEAR(E775),MONTH(E775),1))</x:f>
        <x:v>46419</x:v>
      </x:c>
      <x:c r="H775" t="str">
        <x:f>IF(D775="NO",IF(C775="SÍ","FERIADO","FIN DE SEMANA"),"LABORABLE")&amp;IF(F775="SÍ"," + CIERRE","")</x:f>
        <x:v>FIN DE SEMANA</x:v>
      </x:c>
      <x:c r="I775" t="str">
        <x:f>TEXT(G775,"yyyy-mm")</x:f>
        <x:v>2027-02</x:v>
      </x:c>
    </x:row>
    <x:row r="776" ht="19" customHeight="1">
      <x:c r="A776" s="2" t="n">
        <x:v>46432</x:v>
      </x:c>
      <x:c r="B776" t="str">
        <x:f>CHOOSE(WEEKDAY(A776,2),"Lunes","Martes","Miércoles","Jueves","Viernes","Sábado","Domingo")</x:f>
        <x:v>Domingo</x:v>
      </x:c>
      <x:c r="C776" t="str">
        <x:f>IF(COUNTIF(FERIADOS!$A$2:$A$250,A776)&gt;0,"SÍ","NO")</x:f>
        <x:v>NO</x:v>
      </x:c>
      <x:c r="D776" t="str">
        <x:f>IF(AND(WEEKDAY(A776,2)&lt;=5,C776="NO"),"SÍ","NO")</x:f>
        <x:v>NO</x:v>
      </x:c>
      <x:c r="E776" s="2" t="n">
        <x:f>WORKDAY.INTL(A776-1,1,1,FERIADOS!$A$2:$A$250)</x:f>
        <x:v>46433</x:v>
      </x:c>
      <x:c r="F776" t="str">
        <x:f>IF(E776&gt;=WORKDAY.INTL(EOMONTH(E776,0)+1,-2,1,FERIADOS!$A$2:$A$250),"SÍ","NO")</x:f>
        <x:v>NO</x:v>
      </x:c>
      <x:c r="G776" s="10" t="n">
        <x:f>IF(F776="SÍ",EOMONTH(E776,0)+1,DATE(YEAR(E776),MONTH(E776),1))</x:f>
        <x:v>46419</x:v>
      </x:c>
      <x:c r="H776" t="str">
        <x:f>IF(D776="NO",IF(C776="SÍ","FERIADO","FIN DE SEMANA"),"LABORABLE")&amp;IF(F776="SÍ"," + CIERRE","")</x:f>
        <x:v>FIN DE SEMANA</x:v>
      </x:c>
      <x:c r="I776" t="str">
        <x:f>TEXT(G776,"yyyy-mm")</x:f>
        <x:v>2027-02</x:v>
      </x:c>
    </x:row>
    <x:row r="777" ht="19" customHeight="1">
      <x:c r="A777" s="2" t="n">
        <x:v>46433</x:v>
      </x:c>
      <x:c r="B777" t="str">
        <x:f>CHOOSE(WEEKDAY(A777,2),"Lunes","Martes","Miércoles","Jueves","Viernes","Sábado","Domingo")</x:f>
        <x:v>Lunes</x:v>
      </x:c>
      <x:c r="C777" t="str">
        <x:f>IF(COUNTIF(FERIADOS!$A$2:$A$250,A777)&gt;0,"SÍ","NO")</x:f>
        <x:v>NO</x:v>
      </x:c>
      <x:c r="D777" t="str">
        <x:f>IF(AND(WEEKDAY(A777,2)&lt;=5,C777="NO"),"SÍ","NO")</x:f>
        <x:v>SÍ</x:v>
      </x:c>
      <x:c r="E777" s="2" t="n">
        <x:f>WORKDAY.INTL(A777-1,1,1,FERIADOS!$A$2:$A$250)</x:f>
        <x:v>46433</x:v>
      </x:c>
      <x:c r="F777" t="str">
        <x:f>IF(E777&gt;=WORKDAY.INTL(EOMONTH(E777,0)+1,-2,1,FERIADOS!$A$2:$A$250),"SÍ","NO")</x:f>
        <x:v>NO</x:v>
      </x:c>
      <x:c r="G777" s="10" t="n">
        <x:f>IF(F777="SÍ",EOMONTH(E777,0)+1,DATE(YEAR(E777),MONTH(E777),1))</x:f>
        <x:v>46419</x:v>
      </x:c>
      <x:c r="H777" t="str">
        <x:f>IF(D777="NO",IF(C777="SÍ","FERIADO","FIN DE SEMANA"),"LABORABLE")&amp;IF(F777="SÍ"," + CIERRE","")</x:f>
        <x:v>LABORABLE</x:v>
      </x:c>
      <x:c r="I777" t="str">
        <x:f>TEXT(G777,"yyyy-mm")</x:f>
        <x:v>2027-02</x:v>
      </x:c>
    </x:row>
    <x:row r="778" ht="19" customHeight="1">
      <x:c r="A778" s="2" t="n">
        <x:v>46434</x:v>
      </x:c>
      <x:c r="B778" t="str">
        <x:f>CHOOSE(WEEKDAY(A778,2),"Lunes","Martes","Miércoles","Jueves","Viernes","Sábado","Domingo")</x:f>
        <x:v>Martes</x:v>
      </x:c>
      <x:c r="C778" t="str">
        <x:f>IF(COUNTIF(FERIADOS!$A$2:$A$250,A778)&gt;0,"SÍ","NO")</x:f>
        <x:v>NO</x:v>
      </x:c>
      <x:c r="D778" t="str">
        <x:f>IF(AND(WEEKDAY(A778,2)&lt;=5,C778="NO"),"SÍ","NO")</x:f>
        <x:v>SÍ</x:v>
      </x:c>
      <x:c r="E778" s="2" t="n">
        <x:f>WORKDAY.INTL(A778-1,1,1,FERIADOS!$A$2:$A$250)</x:f>
        <x:v>46434</x:v>
      </x:c>
      <x:c r="F778" t="str">
        <x:f>IF(E778&gt;=WORKDAY.INTL(EOMONTH(E778,0)+1,-2,1,FERIADOS!$A$2:$A$250),"SÍ","NO")</x:f>
        <x:v>NO</x:v>
      </x:c>
      <x:c r="G778" s="10" t="n">
        <x:f>IF(F778="SÍ",EOMONTH(E778,0)+1,DATE(YEAR(E778),MONTH(E778),1))</x:f>
        <x:v>46419</x:v>
      </x:c>
      <x:c r="H778" t="str">
        <x:f>IF(D778="NO",IF(C778="SÍ","FERIADO","FIN DE SEMANA"),"LABORABLE")&amp;IF(F778="SÍ"," + CIERRE","")</x:f>
        <x:v>LABORABLE</x:v>
      </x:c>
      <x:c r="I778" t="str">
        <x:f>TEXT(G778,"yyyy-mm")</x:f>
        <x:v>2027-02</x:v>
      </x:c>
    </x:row>
    <x:row r="779" ht="19" customHeight="1">
      <x:c r="A779" s="2" t="n">
        <x:v>46435</x:v>
      </x:c>
      <x:c r="B779" t="str">
        <x:f>CHOOSE(WEEKDAY(A779,2),"Lunes","Martes","Miércoles","Jueves","Viernes","Sábado","Domingo")</x:f>
        <x:v>Miércoles</x:v>
      </x:c>
      <x:c r="C779" t="str">
        <x:f>IF(COUNTIF(FERIADOS!$A$2:$A$250,A779)&gt;0,"SÍ","NO")</x:f>
        <x:v>NO</x:v>
      </x:c>
      <x:c r="D779" t="str">
        <x:f>IF(AND(WEEKDAY(A779,2)&lt;=5,C779="NO"),"SÍ","NO")</x:f>
        <x:v>SÍ</x:v>
      </x:c>
      <x:c r="E779" s="2" t="n">
        <x:f>WORKDAY.INTL(A779-1,1,1,FERIADOS!$A$2:$A$250)</x:f>
        <x:v>46435</x:v>
      </x:c>
      <x:c r="F779" t="str">
        <x:f>IF(E779&gt;=WORKDAY.INTL(EOMONTH(E779,0)+1,-2,1,FERIADOS!$A$2:$A$250),"SÍ","NO")</x:f>
        <x:v>NO</x:v>
      </x:c>
      <x:c r="G779" s="10" t="n">
        <x:f>IF(F779="SÍ",EOMONTH(E779,0)+1,DATE(YEAR(E779),MONTH(E779),1))</x:f>
        <x:v>46419</x:v>
      </x:c>
      <x:c r="H779" t="str">
        <x:f>IF(D779="NO",IF(C779="SÍ","FERIADO","FIN DE SEMANA"),"LABORABLE")&amp;IF(F779="SÍ"," + CIERRE","")</x:f>
        <x:v>LABORABLE</x:v>
      </x:c>
      <x:c r="I779" t="str">
        <x:f>TEXT(G779,"yyyy-mm")</x:f>
        <x:v>2027-02</x:v>
      </x:c>
    </x:row>
    <x:row r="780" ht="19" customHeight="1">
      <x:c r="A780" s="2" t="n">
        <x:v>46436</x:v>
      </x:c>
      <x:c r="B780" t="str">
        <x:f>CHOOSE(WEEKDAY(A780,2),"Lunes","Martes","Miércoles","Jueves","Viernes","Sábado","Domingo")</x:f>
        <x:v>Jueves</x:v>
      </x:c>
      <x:c r="C780" t="str">
        <x:f>IF(COUNTIF(FERIADOS!$A$2:$A$250,A780)&gt;0,"SÍ","NO")</x:f>
        <x:v>NO</x:v>
      </x:c>
      <x:c r="D780" t="str">
        <x:f>IF(AND(WEEKDAY(A780,2)&lt;=5,C780="NO"),"SÍ","NO")</x:f>
        <x:v>SÍ</x:v>
      </x:c>
      <x:c r="E780" s="2" t="n">
        <x:f>WORKDAY.INTL(A780-1,1,1,FERIADOS!$A$2:$A$250)</x:f>
        <x:v>46436</x:v>
      </x:c>
      <x:c r="F780" t="str">
        <x:f>IF(E780&gt;=WORKDAY.INTL(EOMONTH(E780,0)+1,-2,1,FERIADOS!$A$2:$A$250),"SÍ","NO")</x:f>
        <x:v>NO</x:v>
      </x:c>
      <x:c r="G780" s="10" t="n">
        <x:f>IF(F780="SÍ",EOMONTH(E780,0)+1,DATE(YEAR(E780),MONTH(E780),1))</x:f>
        <x:v>46419</x:v>
      </x:c>
      <x:c r="H780" t="str">
        <x:f>IF(D780="NO",IF(C780="SÍ","FERIADO","FIN DE SEMANA"),"LABORABLE")&amp;IF(F780="SÍ"," + CIERRE","")</x:f>
        <x:v>LABORABLE</x:v>
      </x:c>
      <x:c r="I780" t="str">
        <x:f>TEXT(G780,"yyyy-mm")</x:f>
        <x:v>2027-02</x:v>
      </x:c>
    </x:row>
    <x:row r="781" ht="19" customHeight="1">
      <x:c r="A781" s="2" t="n">
        <x:v>46437</x:v>
      </x:c>
      <x:c r="B781" t="str">
        <x:f>CHOOSE(WEEKDAY(A781,2),"Lunes","Martes","Miércoles","Jueves","Viernes","Sábado","Domingo")</x:f>
        <x:v>Viernes</x:v>
      </x:c>
      <x:c r="C781" t="str">
        <x:f>IF(COUNTIF(FERIADOS!$A$2:$A$250,A781)&gt;0,"SÍ","NO")</x:f>
        <x:v>NO</x:v>
      </x:c>
      <x:c r="D781" t="str">
        <x:f>IF(AND(WEEKDAY(A781,2)&lt;=5,C781="NO"),"SÍ","NO")</x:f>
        <x:v>SÍ</x:v>
      </x:c>
      <x:c r="E781" s="2" t="n">
        <x:f>WORKDAY.INTL(A781-1,1,1,FERIADOS!$A$2:$A$250)</x:f>
        <x:v>46437</x:v>
      </x:c>
      <x:c r="F781" t="str">
        <x:f>IF(E781&gt;=WORKDAY.INTL(EOMONTH(E781,0)+1,-2,1,FERIADOS!$A$2:$A$250),"SÍ","NO")</x:f>
        <x:v>NO</x:v>
      </x:c>
      <x:c r="G781" s="10" t="n">
        <x:f>IF(F781="SÍ",EOMONTH(E781,0)+1,DATE(YEAR(E781),MONTH(E781),1))</x:f>
        <x:v>46419</x:v>
      </x:c>
      <x:c r="H781" t="str">
        <x:f>IF(D781="NO",IF(C781="SÍ","FERIADO","FIN DE SEMANA"),"LABORABLE")&amp;IF(F781="SÍ"," + CIERRE","")</x:f>
        <x:v>LABORABLE</x:v>
      </x:c>
      <x:c r="I781" t="str">
        <x:f>TEXT(G781,"yyyy-mm")</x:f>
        <x:v>2027-02</x:v>
      </x:c>
    </x:row>
    <x:row r="782" ht="19" customHeight="1">
      <x:c r="A782" s="2" t="n">
        <x:v>46438</x:v>
      </x:c>
      <x:c r="B782" t="str">
        <x:f>CHOOSE(WEEKDAY(A782,2),"Lunes","Martes","Miércoles","Jueves","Viernes","Sábado","Domingo")</x:f>
        <x:v>Sábado</x:v>
      </x:c>
      <x:c r="C782" t="str">
        <x:f>IF(COUNTIF(FERIADOS!$A$2:$A$250,A782)&gt;0,"SÍ","NO")</x:f>
        <x:v>NO</x:v>
      </x:c>
      <x:c r="D782" t="str">
        <x:f>IF(AND(WEEKDAY(A782,2)&lt;=5,C782="NO"),"SÍ","NO")</x:f>
        <x:v>NO</x:v>
      </x:c>
      <x:c r="E782" s="2" t="n">
        <x:f>WORKDAY.INTL(A782-1,1,1,FERIADOS!$A$2:$A$250)</x:f>
        <x:v>46440</x:v>
      </x:c>
      <x:c r="F782" t="str">
        <x:f>IF(E782&gt;=WORKDAY.INTL(EOMONTH(E782,0)+1,-2,1,FERIADOS!$A$2:$A$250),"SÍ","NO")</x:f>
        <x:v>NO</x:v>
      </x:c>
      <x:c r="G782" s="10" t="n">
        <x:f>IF(F782="SÍ",EOMONTH(E782,0)+1,DATE(YEAR(E782),MONTH(E782),1))</x:f>
        <x:v>46419</x:v>
      </x:c>
      <x:c r="H782" t="str">
        <x:f>IF(D782="NO",IF(C782="SÍ","FERIADO","FIN DE SEMANA"),"LABORABLE")&amp;IF(F782="SÍ"," + CIERRE","")</x:f>
        <x:v>FIN DE SEMANA</x:v>
      </x:c>
      <x:c r="I782" t="str">
        <x:f>TEXT(G782,"yyyy-mm")</x:f>
        <x:v>2027-02</x:v>
      </x:c>
    </x:row>
    <x:row r="783" ht="19" customHeight="1">
      <x:c r="A783" s="2" t="n">
        <x:v>46439</x:v>
      </x:c>
      <x:c r="B783" t="str">
        <x:f>CHOOSE(WEEKDAY(A783,2),"Lunes","Martes","Miércoles","Jueves","Viernes","Sábado","Domingo")</x:f>
        <x:v>Domingo</x:v>
      </x:c>
      <x:c r="C783" t="str">
        <x:f>IF(COUNTIF(FERIADOS!$A$2:$A$250,A783)&gt;0,"SÍ","NO")</x:f>
        <x:v>NO</x:v>
      </x:c>
      <x:c r="D783" t="str">
        <x:f>IF(AND(WEEKDAY(A783,2)&lt;=5,C783="NO"),"SÍ","NO")</x:f>
        <x:v>NO</x:v>
      </x:c>
      <x:c r="E783" s="2" t="n">
        <x:f>WORKDAY.INTL(A783-1,1,1,FERIADOS!$A$2:$A$250)</x:f>
        <x:v>46440</x:v>
      </x:c>
      <x:c r="F783" t="str">
        <x:f>IF(E783&gt;=WORKDAY.INTL(EOMONTH(E783,0)+1,-2,1,FERIADOS!$A$2:$A$250),"SÍ","NO")</x:f>
        <x:v>NO</x:v>
      </x:c>
      <x:c r="G783" s="10" t="n">
        <x:f>IF(F783="SÍ",EOMONTH(E783,0)+1,DATE(YEAR(E783),MONTH(E783),1))</x:f>
        <x:v>46419</x:v>
      </x:c>
      <x:c r="H783" t="str">
        <x:f>IF(D783="NO",IF(C783="SÍ","FERIADO","FIN DE SEMANA"),"LABORABLE")&amp;IF(F783="SÍ"," + CIERRE","")</x:f>
        <x:v>FIN DE SEMANA</x:v>
      </x:c>
      <x:c r="I783" t="str">
        <x:f>TEXT(G783,"yyyy-mm")</x:f>
        <x:v>2027-02</x:v>
      </x:c>
    </x:row>
    <x:row r="784" ht="19" customHeight="1">
      <x:c r="A784" s="2" t="n">
        <x:v>46440</x:v>
      </x:c>
      <x:c r="B784" t="str">
        <x:f>CHOOSE(WEEKDAY(A784,2),"Lunes","Martes","Miércoles","Jueves","Viernes","Sábado","Domingo")</x:f>
        <x:v>Lunes</x:v>
      </x:c>
      <x:c r="C784" t="str">
        <x:f>IF(COUNTIF(FERIADOS!$A$2:$A$250,A784)&gt;0,"SÍ","NO")</x:f>
        <x:v>NO</x:v>
      </x:c>
      <x:c r="D784" t="str">
        <x:f>IF(AND(WEEKDAY(A784,2)&lt;=5,C784="NO"),"SÍ","NO")</x:f>
        <x:v>SÍ</x:v>
      </x:c>
      <x:c r="E784" s="2" t="n">
        <x:f>WORKDAY.INTL(A784-1,1,1,FERIADOS!$A$2:$A$250)</x:f>
        <x:v>46440</x:v>
      </x:c>
      <x:c r="F784" t="str">
        <x:f>IF(E784&gt;=WORKDAY.INTL(EOMONTH(E784,0)+1,-2,1,FERIADOS!$A$2:$A$250),"SÍ","NO")</x:f>
        <x:v>NO</x:v>
      </x:c>
      <x:c r="G784" s="10" t="n">
        <x:f>IF(F784="SÍ",EOMONTH(E784,0)+1,DATE(YEAR(E784),MONTH(E784),1))</x:f>
        <x:v>46419</x:v>
      </x:c>
      <x:c r="H784" t="str">
        <x:f>IF(D784="NO",IF(C784="SÍ","FERIADO","FIN DE SEMANA"),"LABORABLE")&amp;IF(F784="SÍ"," + CIERRE","")</x:f>
        <x:v>LABORABLE</x:v>
      </x:c>
      <x:c r="I784" t="str">
        <x:f>TEXT(G784,"yyyy-mm")</x:f>
        <x:v>2027-02</x:v>
      </x:c>
    </x:row>
    <x:row r="785" ht="19" customHeight="1">
      <x:c r="A785" s="2" t="n">
        <x:v>46441</x:v>
      </x:c>
      <x:c r="B785" t="str">
        <x:f>CHOOSE(WEEKDAY(A785,2),"Lunes","Martes","Miércoles","Jueves","Viernes","Sábado","Domingo")</x:f>
        <x:v>Martes</x:v>
      </x:c>
      <x:c r="C785" t="str">
        <x:f>IF(COUNTIF(FERIADOS!$A$2:$A$250,A785)&gt;0,"SÍ","NO")</x:f>
        <x:v>NO</x:v>
      </x:c>
      <x:c r="D785" t="str">
        <x:f>IF(AND(WEEKDAY(A785,2)&lt;=5,C785="NO"),"SÍ","NO")</x:f>
        <x:v>SÍ</x:v>
      </x:c>
      <x:c r="E785" s="2" t="n">
        <x:f>WORKDAY.INTL(A785-1,1,1,FERIADOS!$A$2:$A$250)</x:f>
        <x:v>46441</x:v>
      </x:c>
      <x:c r="F785" t="str">
        <x:f>IF(E785&gt;=WORKDAY.INTL(EOMONTH(E785,0)+1,-2,1,FERIADOS!$A$2:$A$250),"SÍ","NO")</x:f>
        <x:v>NO</x:v>
      </x:c>
      <x:c r="G785" s="10" t="n">
        <x:f>IF(F785="SÍ",EOMONTH(E785,0)+1,DATE(YEAR(E785),MONTH(E785),1))</x:f>
        <x:v>46419</x:v>
      </x:c>
      <x:c r="H785" t="str">
        <x:f>IF(D785="NO",IF(C785="SÍ","FERIADO","FIN DE SEMANA"),"LABORABLE")&amp;IF(F785="SÍ"," + CIERRE","")</x:f>
        <x:v>LABORABLE</x:v>
      </x:c>
      <x:c r="I785" t="str">
        <x:f>TEXT(G785,"yyyy-mm")</x:f>
        <x:v>2027-02</x:v>
      </x:c>
    </x:row>
    <x:row r="786" ht="19" customHeight="1">
      <x:c r="A786" s="2" t="n">
        <x:v>46442</x:v>
      </x:c>
      <x:c r="B786" t="str">
        <x:f>CHOOSE(WEEKDAY(A786,2),"Lunes","Martes","Miércoles","Jueves","Viernes","Sábado","Domingo")</x:f>
        <x:v>Miércoles</x:v>
      </x:c>
      <x:c r="C786" t="str">
        <x:f>IF(COUNTIF(FERIADOS!$A$2:$A$250,A786)&gt;0,"SÍ","NO")</x:f>
        <x:v>NO</x:v>
      </x:c>
      <x:c r="D786" t="str">
        <x:f>IF(AND(WEEKDAY(A786,2)&lt;=5,C786="NO"),"SÍ","NO")</x:f>
        <x:v>SÍ</x:v>
      </x:c>
      <x:c r="E786" s="2" t="n">
        <x:f>WORKDAY.INTL(A786-1,1,1,FERIADOS!$A$2:$A$250)</x:f>
        <x:v>46442</x:v>
      </x:c>
      <x:c r="F786" t="str">
        <x:f>IF(E786&gt;=WORKDAY.INTL(EOMONTH(E786,0)+1,-2,1,FERIADOS!$A$2:$A$250),"SÍ","NO")</x:f>
        <x:v>NO</x:v>
      </x:c>
      <x:c r="G786" s="10" t="n">
        <x:f>IF(F786="SÍ",EOMONTH(E786,0)+1,DATE(YEAR(E786),MONTH(E786),1))</x:f>
        <x:v>46419</x:v>
      </x:c>
      <x:c r="H786" t="str">
        <x:f>IF(D786="NO",IF(C786="SÍ","FERIADO","FIN DE SEMANA"),"LABORABLE")&amp;IF(F786="SÍ"," + CIERRE","")</x:f>
        <x:v>LABORABLE</x:v>
      </x:c>
      <x:c r="I786" t="str">
        <x:f>TEXT(G786,"yyyy-mm")</x:f>
        <x:v>2027-02</x:v>
      </x:c>
    </x:row>
    <x:row r="787" ht="19" customHeight="1">
      <x:c r="A787" s="2" t="n">
        <x:v>46443</x:v>
      </x:c>
      <x:c r="B787" t="str">
        <x:f>CHOOSE(WEEKDAY(A787,2),"Lunes","Martes","Miércoles","Jueves","Viernes","Sábado","Domingo")</x:f>
        <x:v>Jueves</x:v>
      </x:c>
      <x:c r="C787" t="str">
        <x:f>IF(COUNTIF(FERIADOS!$A$2:$A$250,A787)&gt;0,"SÍ","NO")</x:f>
        <x:v>NO</x:v>
      </x:c>
      <x:c r="D787" t="str">
        <x:f>IF(AND(WEEKDAY(A787,2)&lt;=5,C787="NO"),"SÍ","NO")</x:f>
        <x:v>SÍ</x:v>
      </x:c>
      <x:c r="E787" s="2" t="n">
        <x:f>WORKDAY.INTL(A787-1,1,1,FERIADOS!$A$2:$A$250)</x:f>
        <x:v>46443</x:v>
      </x:c>
      <x:c r="F787" t="str">
        <x:f>IF(E787&gt;=WORKDAY.INTL(EOMONTH(E787,0)+1,-2,1,FERIADOS!$A$2:$A$250),"SÍ","NO")</x:f>
        <x:v>SÍ</x:v>
      </x:c>
      <x:c r="G787" s="10" t="n">
        <x:f>IF(F787="SÍ",EOMONTH(E787,0)+1,DATE(YEAR(E787),MONTH(E787),1))</x:f>
        <x:v>46447</x:v>
      </x:c>
      <x:c r="H787" t="str">
        <x:f>IF(D787="NO",IF(C787="SÍ","FERIADO","FIN DE SEMANA"),"LABORABLE")&amp;IF(F787="SÍ"," + CIERRE","")</x:f>
        <x:v>LABORABLE + CIERRE</x:v>
      </x:c>
      <x:c r="I787" t="str">
        <x:f>TEXT(G787,"yyyy-mm")</x:f>
        <x:v>2027-03</x:v>
      </x:c>
    </x:row>
    <x:row r="788" ht="19" customHeight="1">
      <x:c r="A788" s="2" t="n">
        <x:v>46444</x:v>
      </x:c>
      <x:c r="B788" t="str">
        <x:f>CHOOSE(WEEKDAY(A788,2),"Lunes","Martes","Miércoles","Jueves","Viernes","Sábado","Domingo")</x:f>
        <x:v>Viernes</x:v>
      </x:c>
      <x:c r="C788" t="str">
        <x:f>IF(COUNTIF(FERIADOS!$A$2:$A$250,A788)&gt;0,"SÍ","NO")</x:f>
        <x:v>NO</x:v>
      </x:c>
      <x:c r="D788" t="str">
        <x:f>IF(AND(WEEKDAY(A788,2)&lt;=5,C788="NO"),"SÍ","NO")</x:f>
        <x:v>SÍ</x:v>
      </x:c>
      <x:c r="E788" s="2" t="n">
        <x:f>WORKDAY.INTL(A788-1,1,1,FERIADOS!$A$2:$A$250)</x:f>
        <x:v>46444</x:v>
      </x:c>
      <x:c r="F788" t="str">
        <x:f>IF(E788&gt;=WORKDAY.INTL(EOMONTH(E788,0)+1,-2,1,FERIADOS!$A$2:$A$250),"SÍ","NO")</x:f>
        <x:v>SÍ</x:v>
      </x:c>
      <x:c r="G788" s="10" t="n">
        <x:f>IF(F788="SÍ",EOMONTH(E788,0)+1,DATE(YEAR(E788),MONTH(E788),1))</x:f>
        <x:v>46447</x:v>
      </x:c>
      <x:c r="H788" t="str">
        <x:f>IF(D788="NO",IF(C788="SÍ","FERIADO","FIN DE SEMANA"),"LABORABLE")&amp;IF(F788="SÍ"," + CIERRE","")</x:f>
        <x:v>LABORABLE + CIERRE</x:v>
      </x:c>
      <x:c r="I788" t="str">
        <x:f>TEXT(G788,"yyyy-mm")</x:f>
        <x:v>2027-03</x:v>
      </x:c>
    </x:row>
    <x:row r="789" ht="19" customHeight="1">
      <x:c r="A789" s="2" t="n">
        <x:v>46445</x:v>
      </x:c>
      <x:c r="B789" t="str">
        <x:f>CHOOSE(WEEKDAY(A789,2),"Lunes","Martes","Miércoles","Jueves","Viernes","Sábado","Domingo")</x:f>
        <x:v>Sábado</x:v>
      </x:c>
      <x:c r="C789" t="str">
        <x:f>IF(COUNTIF(FERIADOS!$A$2:$A$250,A789)&gt;0,"SÍ","NO")</x:f>
        <x:v>NO</x:v>
      </x:c>
      <x:c r="D789" t="str">
        <x:f>IF(AND(WEEKDAY(A789,2)&lt;=5,C789="NO"),"SÍ","NO")</x:f>
        <x:v>NO</x:v>
      </x:c>
      <x:c r="E789" s="2" t="n">
        <x:f>WORKDAY.INTL(A789-1,1,1,FERIADOS!$A$2:$A$250)</x:f>
        <x:v>46447</x:v>
      </x:c>
      <x:c r="F789" t="str">
        <x:f>IF(E789&gt;=WORKDAY.INTL(EOMONTH(E789,0)+1,-2,1,FERIADOS!$A$2:$A$250),"SÍ","NO")</x:f>
        <x:v>NO</x:v>
      </x:c>
      <x:c r="G789" s="10" t="n">
        <x:f>IF(F789="SÍ",EOMONTH(E789,0)+1,DATE(YEAR(E789),MONTH(E789),1))</x:f>
        <x:v>46447</x:v>
      </x:c>
      <x:c r="H789" t="str">
        <x:f>IF(D789="NO",IF(C789="SÍ","FERIADO","FIN DE SEMANA"),"LABORABLE")&amp;IF(F789="SÍ"," + CIERRE","")</x:f>
        <x:v>FIN DE SEMANA</x:v>
      </x:c>
      <x:c r="I789" t="str">
        <x:f>TEXT(G789,"yyyy-mm")</x:f>
        <x:v>2027-03</x:v>
      </x:c>
    </x:row>
    <x:row r="790" ht="19" customHeight="1">
      <x:c r="A790" s="2" t="n">
        <x:v>46446</x:v>
      </x:c>
      <x:c r="B790" t="str">
        <x:f>CHOOSE(WEEKDAY(A790,2),"Lunes","Martes","Miércoles","Jueves","Viernes","Sábado","Domingo")</x:f>
        <x:v>Domingo</x:v>
      </x:c>
      <x:c r="C790" t="str">
        <x:f>IF(COUNTIF(FERIADOS!$A$2:$A$250,A790)&gt;0,"SÍ","NO")</x:f>
        <x:v>NO</x:v>
      </x:c>
      <x:c r="D790" t="str">
        <x:f>IF(AND(WEEKDAY(A790,2)&lt;=5,C790="NO"),"SÍ","NO")</x:f>
        <x:v>NO</x:v>
      </x:c>
      <x:c r="E790" s="2" t="n">
        <x:f>WORKDAY.INTL(A790-1,1,1,FERIADOS!$A$2:$A$250)</x:f>
        <x:v>46447</x:v>
      </x:c>
      <x:c r="F790" t="str">
        <x:f>IF(E790&gt;=WORKDAY.INTL(EOMONTH(E790,0)+1,-2,1,FERIADOS!$A$2:$A$250),"SÍ","NO")</x:f>
        <x:v>NO</x:v>
      </x:c>
      <x:c r="G790" s="10" t="n">
        <x:f>IF(F790="SÍ",EOMONTH(E790,0)+1,DATE(YEAR(E790),MONTH(E790),1))</x:f>
        <x:v>46447</x:v>
      </x:c>
      <x:c r="H790" t="str">
        <x:f>IF(D790="NO",IF(C790="SÍ","FERIADO","FIN DE SEMANA"),"LABORABLE")&amp;IF(F790="SÍ"," + CIERRE","")</x:f>
        <x:v>FIN DE SEMANA</x:v>
      </x:c>
      <x:c r="I790" t="str">
        <x:f>TEXT(G790,"yyyy-mm")</x:f>
        <x:v>2027-03</x:v>
      </x:c>
    </x:row>
    <x:row r="791" ht="19" customHeight="1">
      <x:c r="A791" s="2" t="n">
        <x:v>46447</x:v>
      </x:c>
      <x:c r="B791" t="str">
        <x:f>CHOOSE(WEEKDAY(A791,2),"Lunes","Martes","Miércoles","Jueves","Viernes","Sábado","Domingo")</x:f>
        <x:v>Lunes</x:v>
      </x:c>
      <x:c r="C791" t="str">
        <x:f>IF(COUNTIF(FERIADOS!$A$2:$A$250,A791)&gt;0,"SÍ","NO")</x:f>
        <x:v>NO</x:v>
      </x:c>
      <x:c r="D791" t="str">
        <x:f>IF(AND(WEEKDAY(A791,2)&lt;=5,C791="NO"),"SÍ","NO")</x:f>
        <x:v>SÍ</x:v>
      </x:c>
      <x:c r="E791" s="2" t="n">
        <x:f>WORKDAY.INTL(A791-1,1,1,FERIADOS!$A$2:$A$250)</x:f>
        <x:v>46447</x:v>
      </x:c>
      <x:c r="F791" t="str">
        <x:f>IF(E791&gt;=WORKDAY.INTL(EOMONTH(E791,0)+1,-2,1,FERIADOS!$A$2:$A$250),"SÍ","NO")</x:f>
        <x:v>NO</x:v>
      </x:c>
      <x:c r="G791" s="10" t="n">
        <x:f>IF(F791="SÍ",EOMONTH(E791,0)+1,DATE(YEAR(E791),MONTH(E791),1))</x:f>
        <x:v>46447</x:v>
      </x:c>
      <x:c r="H791" t="str">
        <x:f>IF(D791="NO",IF(C791="SÍ","FERIADO","FIN DE SEMANA"),"LABORABLE")&amp;IF(F791="SÍ"," + CIERRE","")</x:f>
        <x:v>LABORABLE</x:v>
      </x:c>
      <x:c r="I791" t="str">
        <x:f>TEXT(G791,"yyyy-mm")</x:f>
        <x:v>2027-03</x:v>
      </x:c>
    </x:row>
    <x:row r="792" ht="19" customHeight="1">
      <x:c r="A792" s="2" t="n">
        <x:v>46448</x:v>
      </x:c>
      <x:c r="B792" t="str">
        <x:f>CHOOSE(WEEKDAY(A792,2),"Lunes","Martes","Miércoles","Jueves","Viernes","Sábado","Domingo")</x:f>
        <x:v>Martes</x:v>
      </x:c>
      <x:c r="C792" t="str">
        <x:f>IF(COUNTIF(FERIADOS!$A$2:$A$250,A792)&gt;0,"SÍ","NO")</x:f>
        <x:v>NO</x:v>
      </x:c>
      <x:c r="D792" t="str">
        <x:f>IF(AND(WEEKDAY(A792,2)&lt;=5,C792="NO"),"SÍ","NO")</x:f>
        <x:v>SÍ</x:v>
      </x:c>
      <x:c r="E792" s="2" t="n">
        <x:f>WORKDAY.INTL(A792-1,1,1,FERIADOS!$A$2:$A$250)</x:f>
        <x:v>46448</x:v>
      </x:c>
      <x:c r="F792" t="str">
        <x:f>IF(E792&gt;=WORKDAY.INTL(EOMONTH(E792,0)+1,-2,1,FERIADOS!$A$2:$A$250),"SÍ","NO")</x:f>
        <x:v>NO</x:v>
      </x:c>
      <x:c r="G792" s="10" t="n">
        <x:f>IF(F792="SÍ",EOMONTH(E792,0)+1,DATE(YEAR(E792),MONTH(E792),1))</x:f>
        <x:v>46447</x:v>
      </x:c>
      <x:c r="H792" t="str">
        <x:f>IF(D792="NO",IF(C792="SÍ","FERIADO","FIN DE SEMANA"),"LABORABLE")&amp;IF(F792="SÍ"," + CIERRE","")</x:f>
        <x:v>LABORABLE</x:v>
      </x:c>
      <x:c r="I792" t="str">
        <x:f>TEXT(G792,"yyyy-mm")</x:f>
        <x:v>2027-03</x:v>
      </x:c>
    </x:row>
    <x:row r="793" ht="19" customHeight="1">
      <x:c r="A793" s="2" t="n">
        <x:v>46449</x:v>
      </x:c>
      <x:c r="B793" t="str">
        <x:f>CHOOSE(WEEKDAY(A793,2),"Lunes","Martes","Miércoles","Jueves","Viernes","Sábado","Domingo")</x:f>
        <x:v>Miércoles</x:v>
      </x:c>
      <x:c r="C793" t="str">
        <x:f>IF(COUNTIF(FERIADOS!$A$2:$A$250,A793)&gt;0,"SÍ","NO")</x:f>
        <x:v>NO</x:v>
      </x:c>
      <x:c r="D793" t="str">
        <x:f>IF(AND(WEEKDAY(A793,2)&lt;=5,C793="NO"),"SÍ","NO")</x:f>
        <x:v>SÍ</x:v>
      </x:c>
      <x:c r="E793" s="2" t="n">
        <x:f>WORKDAY.INTL(A793-1,1,1,FERIADOS!$A$2:$A$250)</x:f>
        <x:v>46449</x:v>
      </x:c>
      <x:c r="F793" t="str">
        <x:f>IF(E793&gt;=WORKDAY.INTL(EOMONTH(E793,0)+1,-2,1,FERIADOS!$A$2:$A$250),"SÍ","NO")</x:f>
        <x:v>NO</x:v>
      </x:c>
      <x:c r="G793" s="10" t="n">
        <x:f>IF(F793="SÍ",EOMONTH(E793,0)+1,DATE(YEAR(E793),MONTH(E793),1))</x:f>
        <x:v>46447</x:v>
      </x:c>
      <x:c r="H793" t="str">
        <x:f>IF(D793="NO",IF(C793="SÍ","FERIADO","FIN DE SEMANA"),"LABORABLE")&amp;IF(F793="SÍ"," + CIERRE","")</x:f>
        <x:v>LABORABLE</x:v>
      </x:c>
      <x:c r="I793" t="str">
        <x:f>TEXT(G793,"yyyy-mm")</x:f>
        <x:v>2027-03</x:v>
      </x:c>
    </x:row>
    <x:row r="794" ht="19" customHeight="1">
      <x:c r="A794" s="2" t="n">
        <x:v>46450</x:v>
      </x:c>
      <x:c r="B794" t="str">
        <x:f>CHOOSE(WEEKDAY(A794,2),"Lunes","Martes","Miércoles","Jueves","Viernes","Sábado","Domingo")</x:f>
        <x:v>Jueves</x:v>
      </x:c>
      <x:c r="C794" t="str">
        <x:f>IF(COUNTIF(FERIADOS!$A$2:$A$250,A794)&gt;0,"SÍ","NO")</x:f>
        <x:v>NO</x:v>
      </x:c>
      <x:c r="D794" t="str">
        <x:f>IF(AND(WEEKDAY(A794,2)&lt;=5,C794="NO"),"SÍ","NO")</x:f>
        <x:v>SÍ</x:v>
      </x:c>
      <x:c r="E794" s="2" t="n">
        <x:f>WORKDAY.INTL(A794-1,1,1,FERIADOS!$A$2:$A$250)</x:f>
        <x:v>46450</x:v>
      </x:c>
      <x:c r="F794" t="str">
        <x:f>IF(E794&gt;=WORKDAY.INTL(EOMONTH(E794,0)+1,-2,1,FERIADOS!$A$2:$A$250),"SÍ","NO")</x:f>
        <x:v>NO</x:v>
      </x:c>
      <x:c r="G794" s="10" t="n">
        <x:f>IF(F794="SÍ",EOMONTH(E794,0)+1,DATE(YEAR(E794),MONTH(E794),1))</x:f>
        <x:v>46447</x:v>
      </x:c>
      <x:c r="H794" t="str">
        <x:f>IF(D794="NO",IF(C794="SÍ","FERIADO","FIN DE SEMANA"),"LABORABLE")&amp;IF(F794="SÍ"," + CIERRE","")</x:f>
        <x:v>LABORABLE</x:v>
      </x:c>
      <x:c r="I794" t="str">
        <x:f>TEXT(G794,"yyyy-mm")</x:f>
        <x:v>2027-03</x:v>
      </x:c>
    </x:row>
    <x:row r="795" ht="19" customHeight="1">
      <x:c r="A795" s="2" t="n">
        <x:v>46451</x:v>
      </x:c>
      <x:c r="B795" t="str">
        <x:f>CHOOSE(WEEKDAY(A795,2),"Lunes","Martes","Miércoles","Jueves","Viernes","Sábado","Domingo")</x:f>
        <x:v>Viernes</x:v>
      </x:c>
      <x:c r="C795" t="str">
        <x:f>IF(COUNTIF(FERIADOS!$A$2:$A$250,A795)&gt;0,"SÍ","NO")</x:f>
        <x:v>NO</x:v>
      </x:c>
      <x:c r="D795" t="str">
        <x:f>IF(AND(WEEKDAY(A795,2)&lt;=5,C795="NO"),"SÍ","NO")</x:f>
        <x:v>SÍ</x:v>
      </x:c>
      <x:c r="E795" s="2" t="n">
        <x:f>WORKDAY.INTL(A795-1,1,1,FERIADOS!$A$2:$A$250)</x:f>
        <x:v>46451</x:v>
      </x:c>
      <x:c r="F795" t="str">
        <x:f>IF(E795&gt;=WORKDAY.INTL(EOMONTH(E795,0)+1,-2,1,FERIADOS!$A$2:$A$250),"SÍ","NO")</x:f>
        <x:v>NO</x:v>
      </x:c>
      <x:c r="G795" s="10" t="n">
        <x:f>IF(F795="SÍ",EOMONTH(E795,0)+1,DATE(YEAR(E795),MONTH(E795),1))</x:f>
        <x:v>46447</x:v>
      </x:c>
      <x:c r="H795" t="str">
        <x:f>IF(D795="NO",IF(C795="SÍ","FERIADO","FIN DE SEMANA"),"LABORABLE")&amp;IF(F795="SÍ"," + CIERRE","")</x:f>
        <x:v>LABORABLE</x:v>
      </x:c>
      <x:c r="I795" t="str">
        <x:f>TEXT(G795,"yyyy-mm")</x:f>
        <x:v>2027-03</x:v>
      </x:c>
    </x:row>
    <x:row r="796" ht="19" customHeight="1">
      <x:c r="A796" s="2" t="n">
        <x:v>46452</x:v>
      </x:c>
      <x:c r="B796" t="str">
        <x:f>CHOOSE(WEEKDAY(A796,2),"Lunes","Martes","Miércoles","Jueves","Viernes","Sábado","Domingo")</x:f>
        <x:v>Sábado</x:v>
      </x:c>
      <x:c r="C796" t="str">
        <x:f>IF(COUNTIF(FERIADOS!$A$2:$A$250,A796)&gt;0,"SÍ","NO")</x:f>
        <x:v>NO</x:v>
      </x:c>
      <x:c r="D796" t="str">
        <x:f>IF(AND(WEEKDAY(A796,2)&lt;=5,C796="NO"),"SÍ","NO")</x:f>
        <x:v>NO</x:v>
      </x:c>
      <x:c r="E796" s="2" t="n">
        <x:f>WORKDAY.INTL(A796-1,1,1,FERIADOS!$A$2:$A$250)</x:f>
        <x:v>46454</x:v>
      </x:c>
      <x:c r="F796" t="str">
        <x:f>IF(E796&gt;=WORKDAY.INTL(EOMONTH(E796,0)+1,-2,1,FERIADOS!$A$2:$A$250),"SÍ","NO")</x:f>
        <x:v>NO</x:v>
      </x:c>
      <x:c r="G796" s="10" t="n">
        <x:f>IF(F796="SÍ",EOMONTH(E796,0)+1,DATE(YEAR(E796),MONTH(E796),1))</x:f>
        <x:v>46447</x:v>
      </x:c>
      <x:c r="H796" t="str">
        <x:f>IF(D796="NO",IF(C796="SÍ","FERIADO","FIN DE SEMANA"),"LABORABLE")&amp;IF(F796="SÍ"," + CIERRE","")</x:f>
        <x:v>FIN DE SEMANA</x:v>
      </x:c>
      <x:c r="I796" t="str">
        <x:f>TEXT(G796,"yyyy-mm")</x:f>
        <x:v>2027-03</x:v>
      </x:c>
    </x:row>
    <x:row r="797" ht="19" customHeight="1">
      <x:c r="A797" s="2" t="n">
        <x:v>46453</x:v>
      </x:c>
      <x:c r="B797" t="str">
        <x:f>CHOOSE(WEEKDAY(A797,2),"Lunes","Martes","Miércoles","Jueves","Viernes","Sábado","Domingo")</x:f>
        <x:v>Domingo</x:v>
      </x:c>
      <x:c r="C797" t="str">
        <x:f>IF(COUNTIF(FERIADOS!$A$2:$A$250,A797)&gt;0,"SÍ","NO")</x:f>
        <x:v>NO</x:v>
      </x:c>
      <x:c r="D797" t="str">
        <x:f>IF(AND(WEEKDAY(A797,2)&lt;=5,C797="NO"),"SÍ","NO")</x:f>
        <x:v>NO</x:v>
      </x:c>
      <x:c r="E797" s="2" t="n">
        <x:f>WORKDAY.INTL(A797-1,1,1,FERIADOS!$A$2:$A$250)</x:f>
        <x:v>46454</x:v>
      </x:c>
      <x:c r="F797" t="str">
        <x:f>IF(E797&gt;=WORKDAY.INTL(EOMONTH(E797,0)+1,-2,1,FERIADOS!$A$2:$A$250),"SÍ","NO")</x:f>
        <x:v>NO</x:v>
      </x:c>
      <x:c r="G797" s="10" t="n">
        <x:f>IF(F797="SÍ",EOMONTH(E797,0)+1,DATE(YEAR(E797),MONTH(E797),1))</x:f>
        <x:v>46447</x:v>
      </x:c>
      <x:c r="H797" t="str">
        <x:f>IF(D797="NO",IF(C797="SÍ","FERIADO","FIN DE SEMANA"),"LABORABLE")&amp;IF(F797="SÍ"," + CIERRE","")</x:f>
        <x:v>FIN DE SEMANA</x:v>
      </x:c>
      <x:c r="I797" t="str">
        <x:f>TEXT(G797,"yyyy-mm")</x:f>
        <x:v>2027-03</x:v>
      </x:c>
    </x:row>
    <x:row r="798" ht="19" customHeight="1">
      <x:c r="A798" s="2" t="n">
        <x:v>46454</x:v>
      </x:c>
      <x:c r="B798" t="str">
        <x:f>CHOOSE(WEEKDAY(A798,2),"Lunes","Martes","Miércoles","Jueves","Viernes","Sábado","Domingo")</x:f>
        <x:v>Lunes</x:v>
      </x:c>
      <x:c r="C798" t="str">
        <x:f>IF(COUNTIF(FERIADOS!$A$2:$A$250,A798)&gt;0,"SÍ","NO")</x:f>
        <x:v>NO</x:v>
      </x:c>
      <x:c r="D798" t="str">
        <x:f>IF(AND(WEEKDAY(A798,2)&lt;=5,C798="NO"),"SÍ","NO")</x:f>
        <x:v>SÍ</x:v>
      </x:c>
      <x:c r="E798" s="2" t="n">
        <x:f>WORKDAY.INTL(A798-1,1,1,FERIADOS!$A$2:$A$250)</x:f>
        <x:v>46454</x:v>
      </x:c>
      <x:c r="F798" t="str">
        <x:f>IF(E798&gt;=WORKDAY.INTL(EOMONTH(E798,0)+1,-2,1,FERIADOS!$A$2:$A$250),"SÍ","NO")</x:f>
        <x:v>NO</x:v>
      </x:c>
      <x:c r="G798" s="10" t="n">
        <x:f>IF(F798="SÍ",EOMONTH(E798,0)+1,DATE(YEAR(E798),MONTH(E798),1))</x:f>
        <x:v>46447</x:v>
      </x:c>
      <x:c r="H798" t="str">
        <x:f>IF(D798="NO",IF(C798="SÍ","FERIADO","FIN DE SEMANA"),"LABORABLE")&amp;IF(F798="SÍ"," + CIERRE","")</x:f>
        <x:v>LABORABLE</x:v>
      </x:c>
      <x:c r="I798" t="str">
        <x:f>TEXT(G798,"yyyy-mm")</x:f>
        <x:v>2027-03</x:v>
      </x:c>
    </x:row>
    <x:row r="799" ht="19" customHeight="1">
      <x:c r="A799" s="2" t="n">
        <x:v>46455</x:v>
      </x:c>
      <x:c r="B799" t="str">
        <x:f>CHOOSE(WEEKDAY(A799,2),"Lunes","Martes","Miércoles","Jueves","Viernes","Sábado","Domingo")</x:f>
        <x:v>Martes</x:v>
      </x:c>
      <x:c r="C799" t="str">
        <x:f>IF(COUNTIF(FERIADOS!$A$2:$A$250,A799)&gt;0,"SÍ","NO")</x:f>
        <x:v>NO</x:v>
      </x:c>
      <x:c r="D799" t="str">
        <x:f>IF(AND(WEEKDAY(A799,2)&lt;=5,C799="NO"),"SÍ","NO")</x:f>
        <x:v>SÍ</x:v>
      </x:c>
      <x:c r="E799" s="2" t="n">
        <x:f>WORKDAY.INTL(A799-1,1,1,FERIADOS!$A$2:$A$250)</x:f>
        <x:v>46455</x:v>
      </x:c>
      <x:c r="F799" t="str">
        <x:f>IF(E799&gt;=WORKDAY.INTL(EOMONTH(E799,0)+1,-2,1,FERIADOS!$A$2:$A$250),"SÍ","NO")</x:f>
        <x:v>NO</x:v>
      </x:c>
      <x:c r="G799" s="10" t="n">
        <x:f>IF(F799="SÍ",EOMONTH(E799,0)+1,DATE(YEAR(E799),MONTH(E799),1))</x:f>
        <x:v>46447</x:v>
      </x:c>
      <x:c r="H799" t="str">
        <x:f>IF(D799="NO",IF(C799="SÍ","FERIADO","FIN DE SEMANA"),"LABORABLE")&amp;IF(F799="SÍ"," + CIERRE","")</x:f>
        <x:v>LABORABLE</x:v>
      </x:c>
      <x:c r="I799" t="str">
        <x:f>TEXT(G799,"yyyy-mm")</x:f>
        <x:v>2027-03</x:v>
      </x:c>
    </x:row>
    <x:row r="800" ht="19" customHeight="1">
      <x:c r="A800" s="2" t="n">
        <x:v>46456</x:v>
      </x:c>
      <x:c r="B800" t="str">
        <x:f>CHOOSE(WEEKDAY(A800,2),"Lunes","Martes","Miércoles","Jueves","Viernes","Sábado","Domingo")</x:f>
        <x:v>Miércoles</x:v>
      </x:c>
      <x:c r="C800" t="str">
        <x:f>IF(COUNTIF(FERIADOS!$A$2:$A$250,A800)&gt;0,"SÍ","NO")</x:f>
        <x:v>NO</x:v>
      </x:c>
      <x:c r="D800" t="str">
        <x:f>IF(AND(WEEKDAY(A800,2)&lt;=5,C800="NO"),"SÍ","NO")</x:f>
        <x:v>SÍ</x:v>
      </x:c>
      <x:c r="E800" s="2" t="n">
        <x:f>WORKDAY.INTL(A800-1,1,1,FERIADOS!$A$2:$A$250)</x:f>
        <x:v>46456</x:v>
      </x:c>
      <x:c r="F800" t="str">
        <x:f>IF(E800&gt;=WORKDAY.INTL(EOMONTH(E800,0)+1,-2,1,FERIADOS!$A$2:$A$250),"SÍ","NO")</x:f>
        <x:v>NO</x:v>
      </x:c>
      <x:c r="G800" s="10" t="n">
        <x:f>IF(F800="SÍ",EOMONTH(E800,0)+1,DATE(YEAR(E800),MONTH(E800),1))</x:f>
        <x:v>46447</x:v>
      </x:c>
      <x:c r="H800" t="str">
        <x:f>IF(D800="NO",IF(C800="SÍ","FERIADO","FIN DE SEMANA"),"LABORABLE")&amp;IF(F800="SÍ"," + CIERRE","")</x:f>
        <x:v>LABORABLE</x:v>
      </x:c>
      <x:c r="I800" t="str">
        <x:f>TEXT(G800,"yyyy-mm")</x:f>
        <x:v>2027-03</x:v>
      </x:c>
    </x:row>
    <x:row r="801" ht="19" customHeight="1">
      <x:c r="A801" s="2" t="n">
        <x:v>46457</x:v>
      </x:c>
      <x:c r="B801" t="str">
        <x:f>CHOOSE(WEEKDAY(A801,2),"Lunes","Martes","Miércoles","Jueves","Viernes","Sábado","Domingo")</x:f>
        <x:v>Jueves</x:v>
      </x:c>
      <x:c r="C801" t="str">
        <x:f>IF(COUNTIF(FERIADOS!$A$2:$A$250,A801)&gt;0,"SÍ","NO")</x:f>
        <x:v>NO</x:v>
      </x:c>
      <x:c r="D801" t="str">
        <x:f>IF(AND(WEEKDAY(A801,2)&lt;=5,C801="NO"),"SÍ","NO")</x:f>
        <x:v>SÍ</x:v>
      </x:c>
      <x:c r="E801" s="2" t="n">
        <x:f>WORKDAY.INTL(A801-1,1,1,FERIADOS!$A$2:$A$250)</x:f>
        <x:v>46457</x:v>
      </x:c>
      <x:c r="F801" t="str">
        <x:f>IF(E801&gt;=WORKDAY.INTL(EOMONTH(E801,0)+1,-2,1,FERIADOS!$A$2:$A$250),"SÍ","NO")</x:f>
        <x:v>NO</x:v>
      </x:c>
      <x:c r="G801" s="10" t="n">
        <x:f>IF(F801="SÍ",EOMONTH(E801,0)+1,DATE(YEAR(E801),MONTH(E801),1))</x:f>
        <x:v>46447</x:v>
      </x:c>
      <x:c r="H801" t="str">
        <x:f>IF(D801="NO",IF(C801="SÍ","FERIADO","FIN DE SEMANA"),"LABORABLE")&amp;IF(F801="SÍ"," + CIERRE","")</x:f>
        <x:v>LABORABLE</x:v>
      </x:c>
      <x:c r="I801" t="str">
        <x:f>TEXT(G801,"yyyy-mm")</x:f>
        <x:v>2027-03</x:v>
      </x:c>
    </x:row>
    <x:row r="802" ht="19" customHeight="1">
      <x:c r="A802" s="2" t="n">
        <x:v>46458</x:v>
      </x:c>
      <x:c r="B802" t="str">
        <x:f>CHOOSE(WEEKDAY(A802,2),"Lunes","Martes","Miércoles","Jueves","Viernes","Sábado","Domingo")</x:f>
        <x:v>Viernes</x:v>
      </x:c>
      <x:c r="C802" t="str">
        <x:f>IF(COUNTIF(FERIADOS!$A$2:$A$250,A802)&gt;0,"SÍ","NO")</x:f>
        <x:v>NO</x:v>
      </x:c>
      <x:c r="D802" t="str">
        <x:f>IF(AND(WEEKDAY(A802,2)&lt;=5,C802="NO"),"SÍ","NO")</x:f>
        <x:v>SÍ</x:v>
      </x:c>
      <x:c r="E802" s="2" t="n">
        <x:f>WORKDAY.INTL(A802-1,1,1,FERIADOS!$A$2:$A$250)</x:f>
        <x:v>46458</x:v>
      </x:c>
      <x:c r="F802" t="str">
        <x:f>IF(E802&gt;=WORKDAY.INTL(EOMONTH(E802,0)+1,-2,1,FERIADOS!$A$2:$A$250),"SÍ","NO")</x:f>
        <x:v>NO</x:v>
      </x:c>
      <x:c r="G802" s="10" t="n">
        <x:f>IF(F802="SÍ",EOMONTH(E802,0)+1,DATE(YEAR(E802),MONTH(E802),1))</x:f>
        <x:v>46447</x:v>
      </x:c>
      <x:c r="H802" t="str">
        <x:f>IF(D802="NO",IF(C802="SÍ","FERIADO","FIN DE SEMANA"),"LABORABLE")&amp;IF(F802="SÍ"," + CIERRE","")</x:f>
        <x:v>LABORABLE</x:v>
      </x:c>
      <x:c r="I802" t="str">
        <x:f>TEXT(G802,"yyyy-mm")</x:f>
        <x:v>2027-03</x:v>
      </x:c>
    </x:row>
    <x:row r="803" ht="19" customHeight="1">
      <x:c r="A803" s="2" t="n">
        <x:v>46459</x:v>
      </x:c>
      <x:c r="B803" t="str">
        <x:f>CHOOSE(WEEKDAY(A803,2),"Lunes","Martes","Miércoles","Jueves","Viernes","Sábado","Domingo")</x:f>
        <x:v>Sábado</x:v>
      </x:c>
      <x:c r="C803" t="str">
        <x:f>IF(COUNTIF(FERIADOS!$A$2:$A$250,A803)&gt;0,"SÍ","NO")</x:f>
        <x:v>NO</x:v>
      </x:c>
      <x:c r="D803" t="str">
        <x:f>IF(AND(WEEKDAY(A803,2)&lt;=5,C803="NO"),"SÍ","NO")</x:f>
        <x:v>NO</x:v>
      </x:c>
      <x:c r="E803" s="2" t="n">
        <x:f>WORKDAY.INTL(A803-1,1,1,FERIADOS!$A$2:$A$250)</x:f>
        <x:v>46461</x:v>
      </x:c>
      <x:c r="F803" t="str">
        <x:f>IF(E803&gt;=WORKDAY.INTL(EOMONTH(E803,0)+1,-2,1,FERIADOS!$A$2:$A$250),"SÍ","NO")</x:f>
        <x:v>NO</x:v>
      </x:c>
      <x:c r="G803" s="10" t="n">
        <x:f>IF(F803="SÍ",EOMONTH(E803,0)+1,DATE(YEAR(E803),MONTH(E803),1))</x:f>
        <x:v>46447</x:v>
      </x:c>
      <x:c r="H803" t="str">
        <x:f>IF(D803="NO",IF(C803="SÍ","FERIADO","FIN DE SEMANA"),"LABORABLE")&amp;IF(F803="SÍ"," + CIERRE","")</x:f>
        <x:v>FIN DE SEMANA</x:v>
      </x:c>
      <x:c r="I803" t="str">
        <x:f>TEXT(G803,"yyyy-mm")</x:f>
        <x:v>2027-03</x:v>
      </x:c>
    </x:row>
    <x:row r="804" ht="19" customHeight="1">
      <x:c r="A804" s="2" t="n">
        <x:v>46460</x:v>
      </x:c>
      <x:c r="B804" t="str">
        <x:f>CHOOSE(WEEKDAY(A804,2),"Lunes","Martes","Miércoles","Jueves","Viernes","Sábado","Domingo")</x:f>
        <x:v>Domingo</x:v>
      </x:c>
      <x:c r="C804" t="str">
        <x:f>IF(COUNTIF(FERIADOS!$A$2:$A$250,A804)&gt;0,"SÍ","NO")</x:f>
        <x:v>NO</x:v>
      </x:c>
      <x:c r="D804" t="str">
        <x:f>IF(AND(WEEKDAY(A804,2)&lt;=5,C804="NO"),"SÍ","NO")</x:f>
        <x:v>NO</x:v>
      </x:c>
      <x:c r="E804" s="2" t="n">
        <x:f>WORKDAY.INTL(A804-1,1,1,FERIADOS!$A$2:$A$250)</x:f>
        <x:v>46461</x:v>
      </x:c>
      <x:c r="F804" t="str">
        <x:f>IF(E804&gt;=WORKDAY.INTL(EOMONTH(E804,0)+1,-2,1,FERIADOS!$A$2:$A$250),"SÍ","NO")</x:f>
        <x:v>NO</x:v>
      </x:c>
      <x:c r="G804" s="10" t="n">
        <x:f>IF(F804="SÍ",EOMONTH(E804,0)+1,DATE(YEAR(E804),MONTH(E804),1))</x:f>
        <x:v>46447</x:v>
      </x:c>
      <x:c r="H804" t="str">
        <x:f>IF(D804="NO",IF(C804="SÍ","FERIADO","FIN DE SEMANA"),"LABORABLE")&amp;IF(F804="SÍ"," + CIERRE","")</x:f>
        <x:v>FIN DE SEMANA</x:v>
      </x:c>
      <x:c r="I804" t="str">
        <x:f>TEXT(G804,"yyyy-mm")</x:f>
        <x:v>2027-03</x:v>
      </x:c>
    </x:row>
    <x:row r="805" ht="19" customHeight="1">
      <x:c r="A805" s="2" t="n">
        <x:v>46461</x:v>
      </x:c>
      <x:c r="B805" t="str">
        <x:f>CHOOSE(WEEKDAY(A805,2),"Lunes","Martes","Miércoles","Jueves","Viernes","Sábado","Domingo")</x:f>
        <x:v>Lunes</x:v>
      </x:c>
      <x:c r="C805" t="str">
        <x:f>IF(COUNTIF(FERIADOS!$A$2:$A$250,A805)&gt;0,"SÍ","NO")</x:f>
        <x:v>NO</x:v>
      </x:c>
      <x:c r="D805" t="str">
        <x:f>IF(AND(WEEKDAY(A805,2)&lt;=5,C805="NO"),"SÍ","NO")</x:f>
        <x:v>SÍ</x:v>
      </x:c>
      <x:c r="E805" s="2" t="n">
        <x:f>WORKDAY.INTL(A805-1,1,1,FERIADOS!$A$2:$A$250)</x:f>
        <x:v>46461</x:v>
      </x:c>
      <x:c r="F805" t="str">
        <x:f>IF(E805&gt;=WORKDAY.INTL(EOMONTH(E805,0)+1,-2,1,FERIADOS!$A$2:$A$250),"SÍ","NO")</x:f>
        <x:v>NO</x:v>
      </x:c>
      <x:c r="G805" s="10" t="n">
        <x:f>IF(F805="SÍ",EOMONTH(E805,0)+1,DATE(YEAR(E805),MONTH(E805),1))</x:f>
        <x:v>46447</x:v>
      </x:c>
      <x:c r="H805" t="str">
        <x:f>IF(D805="NO",IF(C805="SÍ","FERIADO","FIN DE SEMANA"),"LABORABLE")&amp;IF(F805="SÍ"," + CIERRE","")</x:f>
        <x:v>LABORABLE</x:v>
      </x:c>
      <x:c r="I805" t="str">
        <x:f>TEXT(G805,"yyyy-mm")</x:f>
        <x:v>2027-03</x:v>
      </x:c>
    </x:row>
    <x:row r="806" ht="19" customHeight="1">
      <x:c r="A806" s="2" t="n">
        <x:v>46462</x:v>
      </x:c>
      <x:c r="B806" t="str">
        <x:f>CHOOSE(WEEKDAY(A806,2),"Lunes","Martes","Miércoles","Jueves","Viernes","Sábado","Domingo")</x:f>
        <x:v>Martes</x:v>
      </x:c>
      <x:c r="C806" t="str">
        <x:f>IF(COUNTIF(FERIADOS!$A$2:$A$250,A806)&gt;0,"SÍ","NO")</x:f>
        <x:v>NO</x:v>
      </x:c>
      <x:c r="D806" t="str">
        <x:f>IF(AND(WEEKDAY(A806,2)&lt;=5,C806="NO"),"SÍ","NO")</x:f>
        <x:v>SÍ</x:v>
      </x:c>
      <x:c r="E806" s="2" t="n">
        <x:f>WORKDAY.INTL(A806-1,1,1,FERIADOS!$A$2:$A$250)</x:f>
        <x:v>46462</x:v>
      </x:c>
      <x:c r="F806" t="str">
        <x:f>IF(E806&gt;=WORKDAY.INTL(EOMONTH(E806,0)+1,-2,1,FERIADOS!$A$2:$A$250),"SÍ","NO")</x:f>
        <x:v>NO</x:v>
      </x:c>
      <x:c r="G806" s="10" t="n">
        <x:f>IF(F806="SÍ",EOMONTH(E806,0)+1,DATE(YEAR(E806),MONTH(E806),1))</x:f>
        <x:v>46447</x:v>
      </x:c>
      <x:c r="H806" t="str">
        <x:f>IF(D806="NO",IF(C806="SÍ","FERIADO","FIN DE SEMANA"),"LABORABLE")&amp;IF(F806="SÍ"," + CIERRE","")</x:f>
        <x:v>LABORABLE</x:v>
      </x:c>
      <x:c r="I806" t="str">
        <x:f>TEXT(G806,"yyyy-mm")</x:f>
        <x:v>2027-03</x:v>
      </x:c>
    </x:row>
    <x:row r="807" ht="19" customHeight="1">
      <x:c r="A807" s="2" t="n">
        <x:v>46463</x:v>
      </x:c>
      <x:c r="B807" t="str">
        <x:f>CHOOSE(WEEKDAY(A807,2),"Lunes","Martes","Miércoles","Jueves","Viernes","Sábado","Domingo")</x:f>
        <x:v>Miércoles</x:v>
      </x:c>
      <x:c r="C807" t="str">
        <x:f>IF(COUNTIF(FERIADOS!$A$2:$A$250,A807)&gt;0,"SÍ","NO")</x:f>
        <x:v>NO</x:v>
      </x:c>
      <x:c r="D807" t="str">
        <x:f>IF(AND(WEEKDAY(A807,2)&lt;=5,C807="NO"),"SÍ","NO")</x:f>
        <x:v>SÍ</x:v>
      </x:c>
      <x:c r="E807" s="2" t="n">
        <x:f>WORKDAY.INTL(A807-1,1,1,FERIADOS!$A$2:$A$250)</x:f>
        <x:v>46463</x:v>
      </x:c>
      <x:c r="F807" t="str">
        <x:f>IF(E807&gt;=WORKDAY.INTL(EOMONTH(E807,0)+1,-2,1,FERIADOS!$A$2:$A$250),"SÍ","NO")</x:f>
        <x:v>NO</x:v>
      </x:c>
      <x:c r="G807" s="10" t="n">
        <x:f>IF(F807="SÍ",EOMONTH(E807,0)+1,DATE(YEAR(E807),MONTH(E807),1))</x:f>
        <x:v>46447</x:v>
      </x:c>
      <x:c r="H807" t="str">
        <x:f>IF(D807="NO",IF(C807="SÍ","FERIADO","FIN DE SEMANA"),"LABORABLE")&amp;IF(F807="SÍ"," + CIERRE","")</x:f>
        <x:v>LABORABLE</x:v>
      </x:c>
      <x:c r="I807" t="str">
        <x:f>TEXT(G807,"yyyy-mm")</x:f>
        <x:v>2027-03</x:v>
      </x:c>
    </x:row>
    <x:row r="808" ht="19" customHeight="1">
      <x:c r="A808" s="2" t="n">
        <x:v>46464</x:v>
      </x:c>
      <x:c r="B808" t="str">
        <x:f>CHOOSE(WEEKDAY(A808,2),"Lunes","Martes","Miércoles","Jueves","Viernes","Sábado","Domingo")</x:f>
        <x:v>Jueves</x:v>
      </x:c>
      <x:c r="C808" t="str">
        <x:f>IF(COUNTIF(FERIADOS!$A$2:$A$250,A808)&gt;0,"SÍ","NO")</x:f>
        <x:v>NO</x:v>
      </x:c>
      <x:c r="D808" t="str">
        <x:f>IF(AND(WEEKDAY(A808,2)&lt;=5,C808="NO"),"SÍ","NO")</x:f>
        <x:v>SÍ</x:v>
      </x:c>
      <x:c r="E808" s="2" t="n">
        <x:f>WORKDAY.INTL(A808-1,1,1,FERIADOS!$A$2:$A$250)</x:f>
        <x:v>46464</x:v>
      </x:c>
      <x:c r="F808" t="str">
        <x:f>IF(E808&gt;=WORKDAY.INTL(EOMONTH(E808,0)+1,-2,1,FERIADOS!$A$2:$A$250),"SÍ","NO")</x:f>
        <x:v>NO</x:v>
      </x:c>
      <x:c r="G808" s="10" t="n">
        <x:f>IF(F808="SÍ",EOMONTH(E808,0)+1,DATE(YEAR(E808),MONTH(E808),1))</x:f>
        <x:v>46447</x:v>
      </x:c>
      <x:c r="H808" t="str">
        <x:f>IF(D808="NO",IF(C808="SÍ","FERIADO","FIN DE SEMANA"),"LABORABLE")&amp;IF(F808="SÍ"," + CIERRE","")</x:f>
        <x:v>LABORABLE</x:v>
      </x:c>
      <x:c r="I808" t="str">
        <x:f>TEXT(G808,"yyyy-mm")</x:f>
        <x:v>2027-03</x:v>
      </x:c>
    </x:row>
    <x:row r="809" ht="19" customHeight="1">
      <x:c r="A809" s="2" t="n">
        <x:v>46465</x:v>
      </x:c>
      <x:c r="B809" t="str">
        <x:f>CHOOSE(WEEKDAY(A809,2),"Lunes","Martes","Miércoles","Jueves","Viernes","Sábado","Domingo")</x:f>
        <x:v>Viernes</x:v>
      </x:c>
      <x:c r="C809" t="str">
        <x:f>IF(COUNTIF(FERIADOS!$A$2:$A$250,A809)&gt;0,"SÍ","NO")</x:f>
        <x:v>NO</x:v>
      </x:c>
      <x:c r="D809" t="str">
        <x:f>IF(AND(WEEKDAY(A809,2)&lt;=5,C809="NO"),"SÍ","NO")</x:f>
        <x:v>SÍ</x:v>
      </x:c>
      <x:c r="E809" s="2" t="n">
        <x:f>WORKDAY.INTL(A809-1,1,1,FERIADOS!$A$2:$A$250)</x:f>
        <x:v>46465</x:v>
      </x:c>
      <x:c r="F809" t="str">
        <x:f>IF(E809&gt;=WORKDAY.INTL(EOMONTH(E809,0)+1,-2,1,FERIADOS!$A$2:$A$250),"SÍ","NO")</x:f>
        <x:v>NO</x:v>
      </x:c>
      <x:c r="G809" s="10" t="n">
        <x:f>IF(F809="SÍ",EOMONTH(E809,0)+1,DATE(YEAR(E809),MONTH(E809),1))</x:f>
        <x:v>46447</x:v>
      </x:c>
      <x:c r="H809" t="str">
        <x:f>IF(D809="NO",IF(C809="SÍ","FERIADO","FIN DE SEMANA"),"LABORABLE")&amp;IF(F809="SÍ"," + CIERRE","")</x:f>
        <x:v>LABORABLE</x:v>
      </x:c>
      <x:c r="I809" t="str">
        <x:f>TEXT(G809,"yyyy-mm")</x:f>
        <x:v>2027-03</x:v>
      </x:c>
    </x:row>
    <x:row r="810" ht="19" customHeight="1">
      <x:c r="A810" s="2" t="n">
        <x:v>46466</x:v>
      </x:c>
      <x:c r="B810" t="str">
        <x:f>CHOOSE(WEEKDAY(A810,2),"Lunes","Martes","Miércoles","Jueves","Viernes","Sábado","Domingo")</x:f>
        <x:v>Sábado</x:v>
      </x:c>
      <x:c r="C810" t="str">
        <x:f>IF(COUNTIF(FERIADOS!$A$2:$A$250,A810)&gt;0,"SÍ","NO")</x:f>
        <x:v>NO</x:v>
      </x:c>
      <x:c r="D810" t="str">
        <x:f>IF(AND(WEEKDAY(A810,2)&lt;=5,C810="NO"),"SÍ","NO")</x:f>
        <x:v>NO</x:v>
      </x:c>
      <x:c r="E810" s="2" t="n">
        <x:f>WORKDAY.INTL(A810-1,1,1,FERIADOS!$A$2:$A$250)</x:f>
        <x:v>46468</x:v>
      </x:c>
      <x:c r="F810" t="str">
        <x:f>IF(E810&gt;=WORKDAY.INTL(EOMONTH(E810,0)+1,-2,1,FERIADOS!$A$2:$A$250),"SÍ","NO")</x:f>
        <x:v>NO</x:v>
      </x:c>
      <x:c r="G810" s="10" t="n">
        <x:f>IF(F810="SÍ",EOMONTH(E810,0)+1,DATE(YEAR(E810),MONTH(E810),1))</x:f>
        <x:v>46447</x:v>
      </x:c>
      <x:c r="H810" t="str">
        <x:f>IF(D810="NO",IF(C810="SÍ","FERIADO","FIN DE SEMANA"),"LABORABLE")&amp;IF(F810="SÍ"," + CIERRE","")</x:f>
        <x:v>FIN DE SEMANA</x:v>
      </x:c>
      <x:c r="I810" t="str">
        <x:f>TEXT(G810,"yyyy-mm")</x:f>
        <x:v>2027-03</x:v>
      </x:c>
    </x:row>
    <x:row r="811" ht="19" customHeight="1">
      <x:c r="A811" s="2" t="n">
        <x:v>46467</x:v>
      </x:c>
      <x:c r="B811" t="str">
        <x:f>CHOOSE(WEEKDAY(A811,2),"Lunes","Martes","Miércoles","Jueves","Viernes","Sábado","Domingo")</x:f>
        <x:v>Domingo</x:v>
      </x:c>
      <x:c r="C811" t="str">
        <x:f>IF(COUNTIF(FERIADOS!$A$2:$A$250,A811)&gt;0,"SÍ","NO")</x:f>
        <x:v>NO</x:v>
      </x:c>
      <x:c r="D811" t="str">
        <x:f>IF(AND(WEEKDAY(A811,2)&lt;=5,C811="NO"),"SÍ","NO")</x:f>
        <x:v>NO</x:v>
      </x:c>
      <x:c r="E811" s="2" t="n">
        <x:f>WORKDAY.INTL(A811-1,1,1,FERIADOS!$A$2:$A$250)</x:f>
        <x:v>46468</x:v>
      </x:c>
      <x:c r="F811" t="str">
        <x:f>IF(E811&gt;=WORKDAY.INTL(EOMONTH(E811,0)+1,-2,1,FERIADOS!$A$2:$A$250),"SÍ","NO")</x:f>
        <x:v>NO</x:v>
      </x:c>
      <x:c r="G811" s="10" t="n">
        <x:f>IF(F811="SÍ",EOMONTH(E811,0)+1,DATE(YEAR(E811),MONTH(E811),1))</x:f>
        <x:v>46447</x:v>
      </x:c>
      <x:c r="H811" t="str">
        <x:f>IF(D811="NO",IF(C811="SÍ","FERIADO","FIN DE SEMANA"),"LABORABLE")&amp;IF(F811="SÍ"," + CIERRE","")</x:f>
        <x:v>FIN DE SEMANA</x:v>
      </x:c>
      <x:c r="I811" t="str">
        <x:f>TEXT(G811,"yyyy-mm")</x:f>
        <x:v>2027-03</x:v>
      </x:c>
    </x:row>
    <x:row r="812" ht="19" customHeight="1">
      <x:c r="A812" s="2" t="n">
        <x:v>46468</x:v>
      </x:c>
      <x:c r="B812" t="str">
        <x:f>CHOOSE(WEEKDAY(A812,2),"Lunes","Martes","Miércoles","Jueves","Viernes","Sábado","Domingo")</x:f>
        <x:v>Lunes</x:v>
      </x:c>
      <x:c r="C812" t="str">
        <x:f>IF(COUNTIF(FERIADOS!$A$2:$A$250,A812)&gt;0,"SÍ","NO")</x:f>
        <x:v>NO</x:v>
      </x:c>
      <x:c r="D812" t="str">
        <x:f>IF(AND(WEEKDAY(A812,2)&lt;=5,C812="NO"),"SÍ","NO")</x:f>
        <x:v>SÍ</x:v>
      </x:c>
      <x:c r="E812" s="2" t="n">
        <x:f>WORKDAY.INTL(A812-1,1,1,FERIADOS!$A$2:$A$250)</x:f>
        <x:v>46468</x:v>
      </x:c>
      <x:c r="F812" t="str">
        <x:f>IF(E812&gt;=WORKDAY.INTL(EOMONTH(E812,0)+1,-2,1,FERIADOS!$A$2:$A$250),"SÍ","NO")</x:f>
        <x:v>NO</x:v>
      </x:c>
      <x:c r="G812" s="10" t="n">
        <x:f>IF(F812="SÍ",EOMONTH(E812,0)+1,DATE(YEAR(E812),MONTH(E812),1))</x:f>
        <x:v>46447</x:v>
      </x:c>
      <x:c r="H812" t="str">
        <x:f>IF(D812="NO",IF(C812="SÍ","FERIADO","FIN DE SEMANA"),"LABORABLE")&amp;IF(F812="SÍ"," + CIERRE","")</x:f>
        <x:v>LABORABLE</x:v>
      </x:c>
      <x:c r="I812" t="str">
        <x:f>TEXT(G812,"yyyy-mm")</x:f>
        <x:v>2027-03</x:v>
      </x:c>
    </x:row>
    <x:row r="813" ht="19" customHeight="1">
      <x:c r="A813" s="2" t="n">
        <x:v>46469</x:v>
      </x:c>
      <x:c r="B813" t="str">
        <x:f>CHOOSE(WEEKDAY(A813,2),"Lunes","Martes","Miércoles","Jueves","Viernes","Sábado","Domingo")</x:f>
        <x:v>Martes</x:v>
      </x:c>
      <x:c r="C813" t="str">
        <x:f>IF(COUNTIF(FERIADOS!$A$2:$A$250,A813)&gt;0,"SÍ","NO")</x:f>
        <x:v>NO</x:v>
      </x:c>
      <x:c r="D813" t="str">
        <x:f>IF(AND(WEEKDAY(A813,2)&lt;=5,C813="NO"),"SÍ","NO")</x:f>
        <x:v>SÍ</x:v>
      </x:c>
      <x:c r="E813" s="2" t="n">
        <x:f>WORKDAY.INTL(A813-1,1,1,FERIADOS!$A$2:$A$250)</x:f>
        <x:v>46469</x:v>
      </x:c>
      <x:c r="F813" t="str">
        <x:f>IF(E813&gt;=WORKDAY.INTL(EOMONTH(E813,0)+1,-2,1,FERIADOS!$A$2:$A$250),"SÍ","NO")</x:f>
        <x:v>NO</x:v>
      </x:c>
      <x:c r="G813" s="10" t="n">
        <x:f>IF(F813="SÍ",EOMONTH(E813,0)+1,DATE(YEAR(E813),MONTH(E813),1))</x:f>
        <x:v>46447</x:v>
      </x:c>
      <x:c r="H813" t="str">
        <x:f>IF(D813="NO",IF(C813="SÍ","FERIADO","FIN DE SEMANA"),"LABORABLE")&amp;IF(F813="SÍ"," + CIERRE","")</x:f>
        <x:v>LABORABLE</x:v>
      </x:c>
      <x:c r="I813" t="str">
        <x:f>TEXT(G813,"yyyy-mm")</x:f>
        <x:v>2027-03</x:v>
      </x:c>
    </x:row>
    <x:row r="814" ht="19" customHeight="1">
      <x:c r="A814" s="2" t="n">
        <x:v>46470</x:v>
      </x:c>
      <x:c r="B814" t="str">
        <x:f>CHOOSE(WEEKDAY(A814,2),"Lunes","Martes","Miércoles","Jueves","Viernes","Sábado","Domingo")</x:f>
        <x:v>Miércoles</x:v>
      </x:c>
      <x:c r="C814" t="str">
        <x:f>IF(COUNTIF(FERIADOS!$A$2:$A$250,A814)&gt;0,"SÍ","NO")</x:f>
        <x:v>NO</x:v>
      </x:c>
      <x:c r="D814" t="str">
        <x:f>IF(AND(WEEKDAY(A814,2)&lt;=5,C814="NO"),"SÍ","NO")</x:f>
        <x:v>SÍ</x:v>
      </x:c>
      <x:c r="E814" s="2" t="n">
        <x:f>WORKDAY.INTL(A814-1,1,1,FERIADOS!$A$2:$A$250)</x:f>
        <x:v>46470</x:v>
      </x:c>
      <x:c r="F814" t="str">
        <x:f>IF(E814&gt;=WORKDAY.INTL(EOMONTH(E814,0)+1,-2,1,FERIADOS!$A$2:$A$250),"SÍ","NO")</x:f>
        <x:v>NO</x:v>
      </x:c>
      <x:c r="G814" s="10" t="n">
        <x:f>IF(F814="SÍ",EOMONTH(E814,0)+1,DATE(YEAR(E814),MONTH(E814),1))</x:f>
        <x:v>46447</x:v>
      </x:c>
      <x:c r="H814" t="str">
        <x:f>IF(D814="NO",IF(C814="SÍ","FERIADO","FIN DE SEMANA"),"LABORABLE")&amp;IF(F814="SÍ"," + CIERRE","")</x:f>
        <x:v>LABORABLE</x:v>
      </x:c>
      <x:c r="I814" t="str">
        <x:f>TEXT(G814,"yyyy-mm")</x:f>
        <x:v>2027-03</x:v>
      </x:c>
    </x:row>
    <x:row r="815" ht="19" customHeight="1">
      <x:c r="A815" s="2" t="n">
        <x:v>46471</x:v>
      </x:c>
      <x:c r="B815" t="str">
        <x:f>CHOOSE(WEEKDAY(A815,2),"Lunes","Martes","Miércoles","Jueves","Viernes","Sábado","Domingo")</x:f>
        <x:v>Jueves</x:v>
      </x:c>
      <x:c r="C815" t="str">
        <x:f>IF(COUNTIF(FERIADOS!$A$2:$A$250,A815)&gt;0,"SÍ","NO")</x:f>
        <x:v>NO</x:v>
      </x:c>
      <x:c r="D815" t="str">
        <x:f>IF(AND(WEEKDAY(A815,2)&lt;=5,C815="NO"),"SÍ","NO")</x:f>
        <x:v>SÍ</x:v>
      </x:c>
      <x:c r="E815" s="2" t="n">
        <x:f>WORKDAY.INTL(A815-1,1,1,FERIADOS!$A$2:$A$250)</x:f>
        <x:v>46471</x:v>
      </x:c>
      <x:c r="F815" t="str">
        <x:f>IF(E815&gt;=WORKDAY.INTL(EOMONTH(E815,0)+1,-2,1,FERIADOS!$A$2:$A$250),"SÍ","NO")</x:f>
        <x:v>NO</x:v>
      </x:c>
      <x:c r="G815" s="10" t="n">
        <x:f>IF(F815="SÍ",EOMONTH(E815,0)+1,DATE(YEAR(E815),MONTH(E815),1))</x:f>
        <x:v>46447</x:v>
      </x:c>
      <x:c r="H815" t="str">
        <x:f>IF(D815="NO",IF(C815="SÍ","FERIADO","FIN DE SEMANA"),"LABORABLE")&amp;IF(F815="SÍ"," + CIERRE","")</x:f>
        <x:v>LABORABLE</x:v>
      </x:c>
      <x:c r="I815" t="str">
        <x:f>TEXT(G815,"yyyy-mm")</x:f>
        <x:v>2027-03</x:v>
      </x:c>
    </x:row>
    <x:row r="816" ht="19" customHeight="1">
      <x:c r="A816" s="2" t="n">
        <x:v>46472</x:v>
      </x:c>
      <x:c r="B816" t="str">
        <x:f>CHOOSE(WEEKDAY(A816,2),"Lunes","Martes","Miércoles","Jueves","Viernes","Sábado","Domingo")</x:f>
        <x:v>Viernes</x:v>
      </x:c>
      <x:c r="C816" t="str">
        <x:f>IF(COUNTIF(FERIADOS!$A$2:$A$250,A816)&gt;0,"SÍ","NO")</x:f>
        <x:v>SÍ</x:v>
      </x:c>
      <x:c r="D816" t="str">
        <x:f>IF(AND(WEEKDAY(A816,2)&lt;=5,C816="NO"),"SÍ","NO")</x:f>
        <x:v>NO</x:v>
      </x:c>
      <x:c r="E816" s="2" t="n">
        <x:f>WORKDAY.INTL(A816-1,1,1,FERIADOS!$A$2:$A$250)</x:f>
        <x:v>46475</x:v>
      </x:c>
      <x:c r="F816" t="str">
        <x:f>IF(E816&gt;=WORKDAY.INTL(EOMONTH(E816,0)+1,-2,1,FERIADOS!$A$2:$A$250),"SÍ","NO")</x:f>
        <x:v>NO</x:v>
      </x:c>
      <x:c r="G816" s="10" t="n">
        <x:f>IF(F816="SÍ",EOMONTH(E816,0)+1,DATE(YEAR(E816),MONTH(E816),1))</x:f>
        <x:v>46447</x:v>
      </x:c>
      <x:c r="H816" t="str">
        <x:f>IF(D816="NO",IF(C816="SÍ","FERIADO","FIN DE SEMANA"),"LABORABLE")&amp;IF(F816="SÍ"," + CIERRE","")</x:f>
        <x:v>FERIADO</x:v>
      </x:c>
      <x:c r="I816" t="str">
        <x:f>TEXT(G816,"yyyy-mm")</x:f>
        <x:v>2027-03</x:v>
      </x:c>
    </x:row>
    <x:row r="817" ht="19" customHeight="1">
      <x:c r="A817" s="2" t="n">
        <x:v>46473</x:v>
      </x:c>
      <x:c r="B817" t="str">
        <x:f>CHOOSE(WEEKDAY(A817,2),"Lunes","Martes","Miércoles","Jueves","Viernes","Sábado","Domingo")</x:f>
        <x:v>Sábado</x:v>
      </x:c>
      <x:c r="C817" t="str">
        <x:f>IF(COUNTIF(FERIADOS!$A$2:$A$250,A817)&gt;0,"SÍ","NO")</x:f>
        <x:v>NO</x:v>
      </x:c>
      <x:c r="D817" t="str">
        <x:f>IF(AND(WEEKDAY(A817,2)&lt;=5,C817="NO"),"SÍ","NO")</x:f>
        <x:v>NO</x:v>
      </x:c>
      <x:c r="E817" s="2" t="n">
        <x:f>WORKDAY.INTL(A817-1,1,1,FERIADOS!$A$2:$A$250)</x:f>
        <x:v>46475</x:v>
      </x:c>
      <x:c r="F817" t="str">
        <x:f>IF(E817&gt;=WORKDAY.INTL(EOMONTH(E817,0)+1,-2,1,FERIADOS!$A$2:$A$250),"SÍ","NO")</x:f>
        <x:v>NO</x:v>
      </x:c>
      <x:c r="G817" s="10" t="n">
        <x:f>IF(F817="SÍ",EOMONTH(E817,0)+1,DATE(YEAR(E817),MONTH(E817),1))</x:f>
        <x:v>46447</x:v>
      </x:c>
      <x:c r="H817" t="str">
        <x:f>IF(D817="NO",IF(C817="SÍ","FERIADO","FIN DE SEMANA"),"LABORABLE")&amp;IF(F817="SÍ"," + CIERRE","")</x:f>
        <x:v>FIN DE SEMANA</x:v>
      </x:c>
      <x:c r="I817" t="str">
        <x:f>TEXT(G817,"yyyy-mm")</x:f>
        <x:v>2027-03</x:v>
      </x:c>
    </x:row>
    <x:row r="818" ht="19" customHeight="1">
      <x:c r="A818" s="2" t="n">
        <x:v>46474</x:v>
      </x:c>
      <x:c r="B818" t="str">
        <x:f>CHOOSE(WEEKDAY(A818,2),"Lunes","Martes","Miércoles","Jueves","Viernes","Sábado","Domingo")</x:f>
        <x:v>Domingo</x:v>
      </x:c>
      <x:c r="C818" t="str">
        <x:f>IF(COUNTIF(FERIADOS!$A$2:$A$250,A818)&gt;0,"SÍ","NO")</x:f>
        <x:v>NO</x:v>
      </x:c>
      <x:c r="D818" t="str">
        <x:f>IF(AND(WEEKDAY(A818,2)&lt;=5,C818="NO"),"SÍ","NO")</x:f>
        <x:v>NO</x:v>
      </x:c>
      <x:c r="E818" s="2" t="n">
        <x:f>WORKDAY.INTL(A818-1,1,1,FERIADOS!$A$2:$A$250)</x:f>
        <x:v>46475</x:v>
      </x:c>
      <x:c r="F818" t="str">
        <x:f>IF(E818&gt;=WORKDAY.INTL(EOMONTH(E818,0)+1,-2,1,FERIADOS!$A$2:$A$250),"SÍ","NO")</x:f>
        <x:v>NO</x:v>
      </x:c>
      <x:c r="G818" s="10" t="n">
        <x:f>IF(F818="SÍ",EOMONTH(E818,0)+1,DATE(YEAR(E818),MONTH(E818),1))</x:f>
        <x:v>46447</x:v>
      </x:c>
      <x:c r="H818" t="str">
        <x:f>IF(D818="NO",IF(C818="SÍ","FERIADO","FIN DE SEMANA"),"LABORABLE")&amp;IF(F818="SÍ"," + CIERRE","")</x:f>
        <x:v>FIN DE SEMANA</x:v>
      </x:c>
      <x:c r="I818" t="str">
        <x:f>TEXT(G818,"yyyy-mm")</x:f>
        <x:v>2027-03</x:v>
      </x:c>
    </x:row>
    <x:row r="819" ht="19" customHeight="1">
      <x:c r="A819" s="2" t="n">
        <x:v>46475</x:v>
      </x:c>
      <x:c r="B819" t="str">
        <x:f>CHOOSE(WEEKDAY(A819,2),"Lunes","Martes","Miércoles","Jueves","Viernes","Sábado","Domingo")</x:f>
        <x:v>Lunes</x:v>
      </x:c>
      <x:c r="C819" t="str">
        <x:f>IF(COUNTIF(FERIADOS!$A$2:$A$250,A819)&gt;0,"SÍ","NO")</x:f>
        <x:v>NO</x:v>
      </x:c>
      <x:c r="D819" t="str">
        <x:f>IF(AND(WEEKDAY(A819,2)&lt;=5,C819="NO"),"SÍ","NO")</x:f>
        <x:v>SÍ</x:v>
      </x:c>
      <x:c r="E819" s="2" t="n">
        <x:f>WORKDAY.INTL(A819-1,1,1,FERIADOS!$A$2:$A$250)</x:f>
        <x:v>46475</x:v>
      </x:c>
      <x:c r="F819" t="str">
        <x:f>IF(E819&gt;=WORKDAY.INTL(EOMONTH(E819,0)+1,-2,1,FERIADOS!$A$2:$A$250),"SÍ","NO")</x:f>
        <x:v>NO</x:v>
      </x:c>
      <x:c r="G819" s="10" t="n">
        <x:f>IF(F819="SÍ",EOMONTH(E819,0)+1,DATE(YEAR(E819),MONTH(E819),1))</x:f>
        <x:v>46447</x:v>
      </x:c>
      <x:c r="H819" t="str">
        <x:f>IF(D819="NO",IF(C819="SÍ","FERIADO","FIN DE SEMANA"),"LABORABLE")&amp;IF(F819="SÍ"," + CIERRE","")</x:f>
        <x:v>LABORABLE</x:v>
      </x:c>
      <x:c r="I819" t="str">
        <x:f>TEXT(G819,"yyyy-mm")</x:f>
        <x:v>2027-03</x:v>
      </x:c>
    </x:row>
    <x:row r="820" ht="19" customHeight="1">
      <x:c r="A820" s="2" t="n">
        <x:v>46476</x:v>
      </x:c>
      <x:c r="B820" t="str">
        <x:f>CHOOSE(WEEKDAY(A820,2),"Lunes","Martes","Miércoles","Jueves","Viernes","Sábado","Domingo")</x:f>
        <x:v>Martes</x:v>
      </x:c>
      <x:c r="C820" t="str">
        <x:f>IF(COUNTIF(FERIADOS!$A$2:$A$250,A820)&gt;0,"SÍ","NO")</x:f>
        <x:v>NO</x:v>
      </x:c>
      <x:c r="D820" t="str">
        <x:f>IF(AND(WEEKDAY(A820,2)&lt;=5,C820="NO"),"SÍ","NO")</x:f>
        <x:v>SÍ</x:v>
      </x:c>
      <x:c r="E820" s="2" t="n">
        <x:f>WORKDAY.INTL(A820-1,1,1,FERIADOS!$A$2:$A$250)</x:f>
        <x:v>46476</x:v>
      </x:c>
      <x:c r="F820" t="str">
        <x:f>IF(E820&gt;=WORKDAY.INTL(EOMONTH(E820,0)+1,-2,1,FERIADOS!$A$2:$A$250),"SÍ","NO")</x:f>
        <x:v>SÍ</x:v>
      </x:c>
      <x:c r="G820" s="10" t="n">
        <x:f>IF(F820="SÍ",EOMONTH(E820,0)+1,DATE(YEAR(E820),MONTH(E820),1))</x:f>
        <x:v>46478</x:v>
      </x:c>
      <x:c r="H820" t="str">
        <x:f>IF(D820="NO",IF(C820="SÍ","FERIADO","FIN DE SEMANA"),"LABORABLE")&amp;IF(F820="SÍ"," + CIERRE","")</x:f>
        <x:v>LABORABLE + CIERRE</x:v>
      </x:c>
      <x:c r="I820" t="str">
        <x:f>TEXT(G820,"yyyy-mm")</x:f>
        <x:v>2027-04</x:v>
      </x:c>
    </x:row>
    <x:row r="821" ht="19" customHeight="1">
      <x:c r="A821" s="2" t="n">
        <x:v>46477</x:v>
      </x:c>
      <x:c r="B821" t="str">
        <x:f>CHOOSE(WEEKDAY(A821,2),"Lunes","Martes","Miércoles","Jueves","Viernes","Sábado","Domingo")</x:f>
        <x:v>Miércoles</x:v>
      </x:c>
      <x:c r="C821" t="str">
        <x:f>IF(COUNTIF(FERIADOS!$A$2:$A$250,A821)&gt;0,"SÍ","NO")</x:f>
        <x:v>NO</x:v>
      </x:c>
      <x:c r="D821" t="str">
        <x:f>IF(AND(WEEKDAY(A821,2)&lt;=5,C821="NO"),"SÍ","NO")</x:f>
        <x:v>SÍ</x:v>
      </x:c>
      <x:c r="E821" s="2" t="n">
        <x:f>WORKDAY.INTL(A821-1,1,1,FERIADOS!$A$2:$A$250)</x:f>
        <x:v>46477</x:v>
      </x:c>
      <x:c r="F821" t="str">
        <x:f>IF(E821&gt;=WORKDAY.INTL(EOMONTH(E821,0)+1,-2,1,FERIADOS!$A$2:$A$250),"SÍ","NO")</x:f>
        <x:v>SÍ</x:v>
      </x:c>
      <x:c r="G821" s="10" t="n">
        <x:f>IF(F821="SÍ",EOMONTH(E821,0)+1,DATE(YEAR(E821),MONTH(E821),1))</x:f>
        <x:v>46478</x:v>
      </x:c>
      <x:c r="H821" t="str">
        <x:f>IF(D821="NO",IF(C821="SÍ","FERIADO","FIN DE SEMANA"),"LABORABLE")&amp;IF(F821="SÍ"," + CIERRE","")</x:f>
        <x:v>LABORABLE + CIERRE</x:v>
      </x:c>
      <x:c r="I821" t="str">
        <x:f>TEXT(G821,"yyyy-mm")</x:f>
        <x:v>2027-04</x:v>
      </x:c>
    </x:row>
    <x:row r="822" ht="19" customHeight="1">
      <x:c r="A822" s="2" t="n">
        <x:v>46478</x:v>
      </x:c>
      <x:c r="B822" t="str">
        <x:f>CHOOSE(WEEKDAY(A822,2),"Lunes","Martes","Miércoles","Jueves","Viernes","Sábado","Domingo")</x:f>
        <x:v>Jueves</x:v>
      </x:c>
      <x:c r="C822" t="str">
        <x:f>IF(COUNTIF(FERIADOS!$A$2:$A$250,A822)&gt;0,"SÍ","NO")</x:f>
        <x:v>NO</x:v>
      </x:c>
      <x:c r="D822" t="str">
        <x:f>IF(AND(WEEKDAY(A822,2)&lt;=5,C822="NO"),"SÍ","NO")</x:f>
        <x:v>SÍ</x:v>
      </x:c>
      <x:c r="E822" s="2" t="n">
        <x:f>WORKDAY.INTL(A822-1,1,1,FERIADOS!$A$2:$A$250)</x:f>
        <x:v>46478</x:v>
      </x:c>
      <x:c r="F822" t="str">
        <x:f>IF(E822&gt;=WORKDAY.INTL(EOMONTH(E822,0)+1,-2,1,FERIADOS!$A$2:$A$250),"SÍ","NO")</x:f>
        <x:v>NO</x:v>
      </x:c>
      <x:c r="G822" s="10" t="n">
        <x:f>IF(F822="SÍ",EOMONTH(E822,0)+1,DATE(YEAR(E822),MONTH(E822),1))</x:f>
        <x:v>46478</x:v>
      </x:c>
      <x:c r="H822" t="str">
        <x:f>IF(D822="NO",IF(C822="SÍ","FERIADO","FIN DE SEMANA"),"LABORABLE")&amp;IF(F822="SÍ"," + CIERRE","")</x:f>
        <x:v>LABORABLE</x:v>
      </x:c>
      <x:c r="I822" t="str">
        <x:f>TEXT(G822,"yyyy-mm")</x:f>
        <x:v>2027-04</x:v>
      </x:c>
    </x:row>
    <x:row r="823" ht="19" customHeight="1">
      <x:c r="A823" s="2" t="n">
        <x:v>46479</x:v>
      </x:c>
      <x:c r="B823" t="str">
        <x:f>CHOOSE(WEEKDAY(A823,2),"Lunes","Martes","Miércoles","Jueves","Viernes","Sábado","Domingo")</x:f>
        <x:v>Viernes</x:v>
      </x:c>
      <x:c r="C823" t="str">
        <x:f>IF(COUNTIF(FERIADOS!$A$2:$A$250,A823)&gt;0,"SÍ","NO")</x:f>
        <x:v>NO</x:v>
      </x:c>
      <x:c r="D823" t="str">
        <x:f>IF(AND(WEEKDAY(A823,2)&lt;=5,C823="NO"),"SÍ","NO")</x:f>
        <x:v>SÍ</x:v>
      </x:c>
      <x:c r="E823" s="2" t="n">
        <x:f>WORKDAY.INTL(A823-1,1,1,FERIADOS!$A$2:$A$250)</x:f>
        <x:v>46479</x:v>
      </x:c>
      <x:c r="F823" t="str">
        <x:f>IF(E823&gt;=WORKDAY.INTL(EOMONTH(E823,0)+1,-2,1,FERIADOS!$A$2:$A$250),"SÍ","NO")</x:f>
        <x:v>NO</x:v>
      </x:c>
      <x:c r="G823" s="10" t="n">
        <x:f>IF(F823="SÍ",EOMONTH(E823,0)+1,DATE(YEAR(E823),MONTH(E823),1))</x:f>
        <x:v>46478</x:v>
      </x:c>
      <x:c r="H823" t="str">
        <x:f>IF(D823="NO",IF(C823="SÍ","FERIADO","FIN DE SEMANA"),"LABORABLE")&amp;IF(F823="SÍ"," + CIERRE","")</x:f>
        <x:v>LABORABLE</x:v>
      </x:c>
      <x:c r="I823" t="str">
        <x:f>TEXT(G823,"yyyy-mm")</x:f>
        <x:v>2027-04</x:v>
      </x:c>
    </x:row>
    <x:row r="824" ht="19" customHeight="1">
      <x:c r="A824" s="2" t="n">
        <x:v>46480</x:v>
      </x:c>
      <x:c r="B824" t="str">
        <x:f>CHOOSE(WEEKDAY(A824,2),"Lunes","Martes","Miércoles","Jueves","Viernes","Sábado","Domingo")</x:f>
        <x:v>Sábado</x:v>
      </x:c>
      <x:c r="C824" t="str">
        <x:f>IF(COUNTIF(FERIADOS!$A$2:$A$250,A824)&gt;0,"SÍ","NO")</x:f>
        <x:v>NO</x:v>
      </x:c>
      <x:c r="D824" t="str">
        <x:f>IF(AND(WEEKDAY(A824,2)&lt;=5,C824="NO"),"SÍ","NO")</x:f>
        <x:v>NO</x:v>
      </x:c>
      <x:c r="E824" s="2" t="n">
        <x:f>WORKDAY.INTL(A824-1,1,1,FERIADOS!$A$2:$A$250)</x:f>
        <x:v>46482</x:v>
      </x:c>
      <x:c r="F824" t="str">
        <x:f>IF(E824&gt;=WORKDAY.INTL(EOMONTH(E824,0)+1,-2,1,FERIADOS!$A$2:$A$250),"SÍ","NO")</x:f>
        <x:v>NO</x:v>
      </x:c>
      <x:c r="G824" s="10" t="n">
        <x:f>IF(F824="SÍ",EOMONTH(E824,0)+1,DATE(YEAR(E824),MONTH(E824),1))</x:f>
        <x:v>46478</x:v>
      </x:c>
      <x:c r="H824" t="str">
        <x:f>IF(D824="NO",IF(C824="SÍ","FERIADO","FIN DE SEMANA"),"LABORABLE")&amp;IF(F824="SÍ"," + CIERRE","")</x:f>
        <x:v>FIN DE SEMANA</x:v>
      </x:c>
      <x:c r="I824" t="str">
        <x:f>TEXT(G824,"yyyy-mm")</x:f>
        <x:v>2027-04</x:v>
      </x:c>
    </x:row>
    <x:row r="825" ht="19" customHeight="1">
      <x:c r="A825" s="2" t="n">
        <x:v>46481</x:v>
      </x:c>
      <x:c r="B825" t="str">
        <x:f>CHOOSE(WEEKDAY(A825,2),"Lunes","Martes","Miércoles","Jueves","Viernes","Sábado","Domingo")</x:f>
        <x:v>Domingo</x:v>
      </x:c>
      <x:c r="C825" t="str">
        <x:f>IF(COUNTIF(FERIADOS!$A$2:$A$250,A825)&gt;0,"SÍ","NO")</x:f>
        <x:v>NO</x:v>
      </x:c>
      <x:c r="D825" t="str">
        <x:f>IF(AND(WEEKDAY(A825,2)&lt;=5,C825="NO"),"SÍ","NO")</x:f>
        <x:v>NO</x:v>
      </x:c>
      <x:c r="E825" s="2" t="n">
        <x:f>WORKDAY.INTL(A825-1,1,1,FERIADOS!$A$2:$A$250)</x:f>
        <x:v>46482</x:v>
      </x:c>
      <x:c r="F825" t="str">
        <x:f>IF(E825&gt;=WORKDAY.INTL(EOMONTH(E825,0)+1,-2,1,FERIADOS!$A$2:$A$250),"SÍ","NO")</x:f>
        <x:v>NO</x:v>
      </x:c>
      <x:c r="G825" s="10" t="n">
        <x:f>IF(F825="SÍ",EOMONTH(E825,0)+1,DATE(YEAR(E825),MONTH(E825),1))</x:f>
        <x:v>46478</x:v>
      </x:c>
      <x:c r="H825" t="str">
        <x:f>IF(D825="NO",IF(C825="SÍ","FERIADO","FIN DE SEMANA"),"LABORABLE")&amp;IF(F825="SÍ"," + CIERRE","")</x:f>
        <x:v>FIN DE SEMANA</x:v>
      </x:c>
      <x:c r="I825" t="str">
        <x:f>TEXT(G825,"yyyy-mm")</x:f>
        <x:v>2027-04</x:v>
      </x:c>
    </x:row>
    <x:row r="826" ht="19" customHeight="1">
      <x:c r="A826" s="2" t="n">
        <x:v>46482</x:v>
      </x:c>
      <x:c r="B826" t="str">
        <x:f>CHOOSE(WEEKDAY(A826,2),"Lunes","Martes","Miércoles","Jueves","Viernes","Sábado","Domingo")</x:f>
        <x:v>Lunes</x:v>
      </x:c>
      <x:c r="C826" t="str">
        <x:f>IF(COUNTIF(FERIADOS!$A$2:$A$250,A826)&gt;0,"SÍ","NO")</x:f>
        <x:v>NO</x:v>
      </x:c>
      <x:c r="D826" t="str">
        <x:f>IF(AND(WEEKDAY(A826,2)&lt;=5,C826="NO"),"SÍ","NO")</x:f>
        <x:v>SÍ</x:v>
      </x:c>
      <x:c r="E826" s="2" t="n">
        <x:f>WORKDAY.INTL(A826-1,1,1,FERIADOS!$A$2:$A$250)</x:f>
        <x:v>46482</x:v>
      </x:c>
      <x:c r="F826" t="str">
        <x:f>IF(E826&gt;=WORKDAY.INTL(EOMONTH(E826,0)+1,-2,1,FERIADOS!$A$2:$A$250),"SÍ","NO")</x:f>
        <x:v>NO</x:v>
      </x:c>
      <x:c r="G826" s="10" t="n">
        <x:f>IF(F826="SÍ",EOMONTH(E826,0)+1,DATE(YEAR(E826),MONTH(E826),1))</x:f>
        <x:v>46478</x:v>
      </x:c>
      <x:c r="H826" t="str">
        <x:f>IF(D826="NO",IF(C826="SÍ","FERIADO","FIN DE SEMANA"),"LABORABLE")&amp;IF(F826="SÍ"," + CIERRE","")</x:f>
        <x:v>LABORABLE</x:v>
      </x:c>
      <x:c r="I826" t="str">
        <x:f>TEXT(G826,"yyyy-mm")</x:f>
        <x:v>2027-04</x:v>
      </x:c>
    </x:row>
    <x:row r="827" ht="19" customHeight="1">
      <x:c r="A827" s="2" t="n">
        <x:v>46483</x:v>
      </x:c>
      <x:c r="B827" t="str">
        <x:f>CHOOSE(WEEKDAY(A827,2),"Lunes","Martes","Miércoles","Jueves","Viernes","Sábado","Domingo")</x:f>
        <x:v>Martes</x:v>
      </x:c>
      <x:c r="C827" t="str">
        <x:f>IF(COUNTIF(FERIADOS!$A$2:$A$250,A827)&gt;0,"SÍ","NO")</x:f>
        <x:v>NO</x:v>
      </x:c>
      <x:c r="D827" t="str">
        <x:f>IF(AND(WEEKDAY(A827,2)&lt;=5,C827="NO"),"SÍ","NO")</x:f>
        <x:v>SÍ</x:v>
      </x:c>
      <x:c r="E827" s="2" t="n">
        <x:f>WORKDAY.INTL(A827-1,1,1,FERIADOS!$A$2:$A$250)</x:f>
        <x:v>46483</x:v>
      </x:c>
      <x:c r="F827" t="str">
        <x:f>IF(E827&gt;=WORKDAY.INTL(EOMONTH(E827,0)+1,-2,1,FERIADOS!$A$2:$A$250),"SÍ","NO")</x:f>
        <x:v>NO</x:v>
      </x:c>
      <x:c r="G827" s="10" t="n">
        <x:f>IF(F827="SÍ",EOMONTH(E827,0)+1,DATE(YEAR(E827),MONTH(E827),1))</x:f>
        <x:v>46478</x:v>
      </x:c>
      <x:c r="H827" t="str">
        <x:f>IF(D827="NO",IF(C827="SÍ","FERIADO","FIN DE SEMANA"),"LABORABLE")&amp;IF(F827="SÍ"," + CIERRE","")</x:f>
        <x:v>LABORABLE</x:v>
      </x:c>
      <x:c r="I827" t="str">
        <x:f>TEXT(G827,"yyyy-mm")</x:f>
        <x:v>2027-04</x:v>
      </x:c>
    </x:row>
    <x:row r="828" ht="19" customHeight="1">
      <x:c r="A828" s="2" t="n">
        <x:v>46484</x:v>
      </x:c>
      <x:c r="B828" t="str">
        <x:f>CHOOSE(WEEKDAY(A828,2),"Lunes","Martes","Miércoles","Jueves","Viernes","Sábado","Domingo")</x:f>
        <x:v>Miércoles</x:v>
      </x:c>
      <x:c r="C828" t="str">
        <x:f>IF(COUNTIF(FERIADOS!$A$2:$A$250,A828)&gt;0,"SÍ","NO")</x:f>
        <x:v>NO</x:v>
      </x:c>
      <x:c r="D828" t="str">
        <x:f>IF(AND(WEEKDAY(A828,2)&lt;=5,C828="NO"),"SÍ","NO")</x:f>
        <x:v>SÍ</x:v>
      </x:c>
      <x:c r="E828" s="2" t="n">
        <x:f>WORKDAY.INTL(A828-1,1,1,FERIADOS!$A$2:$A$250)</x:f>
        <x:v>46484</x:v>
      </x:c>
      <x:c r="F828" t="str">
        <x:f>IF(E828&gt;=WORKDAY.INTL(EOMONTH(E828,0)+1,-2,1,FERIADOS!$A$2:$A$250),"SÍ","NO")</x:f>
        <x:v>NO</x:v>
      </x:c>
      <x:c r="G828" s="10" t="n">
        <x:f>IF(F828="SÍ",EOMONTH(E828,0)+1,DATE(YEAR(E828),MONTH(E828),1))</x:f>
        <x:v>46478</x:v>
      </x:c>
      <x:c r="H828" t="str">
        <x:f>IF(D828="NO",IF(C828="SÍ","FERIADO","FIN DE SEMANA"),"LABORABLE")&amp;IF(F828="SÍ"," + CIERRE","")</x:f>
        <x:v>LABORABLE</x:v>
      </x:c>
      <x:c r="I828" t="str">
        <x:f>TEXT(G828,"yyyy-mm")</x:f>
        <x:v>2027-04</x:v>
      </x:c>
    </x:row>
    <x:row r="829" ht="19" customHeight="1">
      <x:c r="A829" s="2" t="n">
        <x:v>46485</x:v>
      </x:c>
      <x:c r="B829" t="str">
        <x:f>CHOOSE(WEEKDAY(A829,2),"Lunes","Martes","Miércoles","Jueves","Viernes","Sábado","Domingo")</x:f>
        <x:v>Jueves</x:v>
      </x:c>
      <x:c r="C829" t="str">
        <x:f>IF(COUNTIF(FERIADOS!$A$2:$A$250,A829)&gt;0,"SÍ","NO")</x:f>
        <x:v>NO</x:v>
      </x:c>
      <x:c r="D829" t="str">
        <x:f>IF(AND(WEEKDAY(A829,2)&lt;=5,C829="NO"),"SÍ","NO")</x:f>
        <x:v>SÍ</x:v>
      </x:c>
      <x:c r="E829" s="2" t="n">
        <x:f>WORKDAY.INTL(A829-1,1,1,FERIADOS!$A$2:$A$250)</x:f>
        <x:v>46485</x:v>
      </x:c>
      <x:c r="F829" t="str">
        <x:f>IF(E829&gt;=WORKDAY.INTL(EOMONTH(E829,0)+1,-2,1,FERIADOS!$A$2:$A$250),"SÍ","NO")</x:f>
        <x:v>NO</x:v>
      </x:c>
      <x:c r="G829" s="10" t="n">
        <x:f>IF(F829="SÍ",EOMONTH(E829,0)+1,DATE(YEAR(E829),MONTH(E829),1))</x:f>
        <x:v>46478</x:v>
      </x:c>
      <x:c r="H829" t="str">
        <x:f>IF(D829="NO",IF(C829="SÍ","FERIADO","FIN DE SEMANA"),"LABORABLE")&amp;IF(F829="SÍ"," + CIERRE","")</x:f>
        <x:v>LABORABLE</x:v>
      </x:c>
      <x:c r="I829" t="str">
        <x:f>TEXT(G829,"yyyy-mm")</x:f>
        <x:v>2027-04</x:v>
      </x:c>
    </x:row>
    <x:row r="830" ht="19" customHeight="1">
      <x:c r="A830" s="2" t="n">
        <x:v>46486</x:v>
      </x:c>
      <x:c r="B830" t="str">
        <x:f>CHOOSE(WEEKDAY(A830,2),"Lunes","Martes","Miércoles","Jueves","Viernes","Sábado","Domingo")</x:f>
        <x:v>Viernes</x:v>
      </x:c>
      <x:c r="C830" t="str">
        <x:f>IF(COUNTIF(FERIADOS!$A$2:$A$250,A830)&gt;0,"SÍ","NO")</x:f>
        <x:v>NO</x:v>
      </x:c>
      <x:c r="D830" t="str">
        <x:f>IF(AND(WEEKDAY(A830,2)&lt;=5,C830="NO"),"SÍ","NO")</x:f>
        <x:v>SÍ</x:v>
      </x:c>
      <x:c r="E830" s="2" t="n">
        <x:f>WORKDAY.INTL(A830-1,1,1,FERIADOS!$A$2:$A$250)</x:f>
        <x:v>46486</x:v>
      </x:c>
      <x:c r="F830" t="str">
        <x:f>IF(E830&gt;=WORKDAY.INTL(EOMONTH(E830,0)+1,-2,1,FERIADOS!$A$2:$A$250),"SÍ","NO")</x:f>
        <x:v>NO</x:v>
      </x:c>
      <x:c r="G830" s="10" t="n">
        <x:f>IF(F830="SÍ",EOMONTH(E830,0)+1,DATE(YEAR(E830),MONTH(E830),1))</x:f>
        <x:v>46478</x:v>
      </x:c>
      <x:c r="H830" t="str">
        <x:f>IF(D830="NO",IF(C830="SÍ","FERIADO","FIN DE SEMANA"),"LABORABLE")&amp;IF(F830="SÍ"," + CIERRE","")</x:f>
        <x:v>LABORABLE</x:v>
      </x:c>
      <x:c r="I830" t="str">
        <x:f>TEXT(G830,"yyyy-mm")</x:f>
        <x:v>2027-04</x:v>
      </x:c>
    </x:row>
    <x:row r="831" ht="19" customHeight="1">
      <x:c r="A831" s="2" t="n">
        <x:v>46487</x:v>
      </x:c>
      <x:c r="B831" t="str">
        <x:f>CHOOSE(WEEKDAY(A831,2),"Lunes","Martes","Miércoles","Jueves","Viernes","Sábado","Domingo")</x:f>
        <x:v>Sábado</x:v>
      </x:c>
      <x:c r="C831" t="str">
        <x:f>IF(COUNTIF(FERIADOS!$A$2:$A$250,A831)&gt;0,"SÍ","NO")</x:f>
        <x:v>NO</x:v>
      </x:c>
      <x:c r="D831" t="str">
        <x:f>IF(AND(WEEKDAY(A831,2)&lt;=5,C831="NO"),"SÍ","NO")</x:f>
        <x:v>NO</x:v>
      </x:c>
      <x:c r="E831" s="2" t="n">
        <x:f>WORKDAY.INTL(A831-1,1,1,FERIADOS!$A$2:$A$250)</x:f>
        <x:v>46489</x:v>
      </x:c>
      <x:c r="F831" t="str">
        <x:f>IF(E831&gt;=WORKDAY.INTL(EOMONTH(E831,0)+1,-2,1,FERIADOS!$A$2:$A$250),"SÍ","NO")</x:f>
        <x:v>NO</x:v>
      </x:c>
      <x:c r="G831" s="10" t="n">
        <x:f>IF(F831="SÍ",EOMONTH(E831,0)+1,DATE(YEAR(E831),MONTH(E831),1))</x:f>
        <x:v>46478</x:v>
      </x:c>
      <x:c r="H831" t="str">
        <x:f>IF(D831="NO",IF(C831="SÍ","FERIADO","FIN DE SEMANA"),"LABORABLE")&amp;IF(F831="SÍ"," + CIERRE","")</x:f>
        <x:v>FIN DE SEMANA</x:v>
      </x:c>
      <x:c r="I831" t="str">
        <x:f>TEXT(G831,"yyyy-mm")</x:f>
        <x:v>2027-04</x:v>
      </x:c>
    </x:row>
    <x:row r="832" ht="19" customHeight="1">
      <x:c r="A832" s="2" t="n">
        <x:v>46488</x:v>
      </x:c>
      <x:c r="B832" t="str">
        <x:f>CHOOSE(WEEKDAY(A832,2),"Lunes","Martes","Miércoles","Jueves","Viernes","Sábado","Domingo")</x:f>
        <x:v>Domingo</x:v>
      </x:c>
      <x:c r="C832" t="str">
        <x:f>IF(COUNTIF(FERIADOS!$A$2:$A$250,A832)&gt;0,"SÍ","NO")</x:f>
        <x:v>NO</x:v>
      </x:c>
      <x:c r="D832" t="str">
        <x:f>IF(AND(WEEKDAY(A832,2)&lt;=5,C832="NO"),"SÍ","NO")</x:f>
        <x:v>NO</x:v>
      </x:c>
      <x:c r="E832" s="2" t="n">
        <x:f>WORKDAY.INTL(A832-1,1,1,FERIADOS!$A$2:$A$250)</x:f>
        <x:v>46489</x:v>
      </x:c>
      <x:c r="F832" t="str">
        <x:f>IF(E832&gt;=WORKDAY.INTL(EOMONTH(E832,0)+1,-2,1,FERIADOS!$A$2:$A$250),"SÍ","NO")</x:f>
        <x:v>NO</x:v>
      </x:c>
      <x:c r="G832" s="10" t="n">
        <x:f>IF(F832="SÍ",EOMONTH(E832,0)+1,DATE(YEAR(E832),MONTH(E832),1))</x:f>
        <x:v>46478</x:v>
      </x:c>
      <x:c r="H832" t="str">
        <x:f>IF(D832="NO",IF(C832="SÍ","FERIADO","FIN DE SEMANA"),"LABORABLE")&amp;IF(F832="SÍ"," + CIERRE","")</x:f>
        <x:v>FIN DE SEMANA</x:v>
      </x:c>
      <x:c r="I832" t="str">
        <x:f>TEXT(G832,"yyyy-mm")</x:f>
        <x:v>2027-04</x:v>
      </x:c>
    </x:row>
    <x:row r="833" ht="19" customHeight="1">
      <x:c r="A833" s="2" t="n">
        <x:v>46489</x:v>
      </x:c>
      <x:c r="B833" t="str">
        <x:f>CHOOSE(WEEKDAY(A833,2),"Lunes","Martes","Miércoles","Jueves","Viernes","Sábado","Domingo")</x:f>
        <x:v>Lunes</x:v>
      </x:c>
      <x:c r="C833" t="str">
        <x:f>IF(COUNTIF(FERIADOS!$A$2:$A$250,A833)&gt;0,"SÍ","NO")</x:f>
        <x:v>NO</x:v>
      </x:c>
      <x:c r="D833" t="str">
        <x:f>IF(AND(WEEKDAY(A833,2)&lt;=5,C833="NO"),"SÍ","NO")</x:f>
        <x:v>SÍ</x:v>
      </x:c>
      <x:c r="E833" s="2" t="n">
        <x:f>WORKDAY.INTL(A833-1,1,1,FERIADOS!$A$2:$A$250)</x:f>
        <x:v>46489</x:v>
      </x:c>
      <x:c r="F833" t="str">
        <x:f>IF(E833&gt;=WORKDAY.INTL(EOMONTH(E833,0)+1,-2,1,FERIADOS!$A$2:$A$250),"SÍ","NO")</x:f>
        <x:v>NO</x:v>
      </x:c>
      <x:c r="G833" s="10" t="n">
        <x:f>IF(F833="SÍ",EOMONTH(E833,0)+1,DATE(YEAR(E833),MONTH(E833),1))</x:f>
        <x:v>46478</x:v>
      </x:c>
      <x:c r="H833" t="str">
        <x:f>IF(D833="NO",IF(C833="SÍ","FERIADO","FIN DE SEMANA"),"LABORABLE")&amp;IF(F833="SÍ"," + CIERRE","")</x:f>
        <x:v>LABORABLE</x:v>
      </x:c>
      <x:c r="I833" t="str">
        <x:f>TEXT(G833,"yyyy-mm")</x:f>
        <x:v>2027-04</x:v>
      </x:c>
    </x:row>
    <x:row r="834" ht="19" customHeight="1">
      <x:c r="A834" s="2" t="n">
        <x:v>46490</x:v>
      </x:c>
      <x:c r="B834" t="str">
        <x:f>CHOOSE(WEEKDAY(A834,2),"Lunes","Martes","Miércoles","Jueves","Viernes","Sábado","Domingo")</x:f>
        <x:v>Martes</x:v>
      </x:c>
      <x:c r="C834" t="str">
        <x:f>IF(COUNTIF(FERIADOS!$A$2:$A$250,A834)&gt;0,"SÍ","NO")</x:f>
        <x:v>NO</x:v>
      </x:c>
      <x:c r="D834" t="str">
        <x:f>IF(AND(WEEKDAY(A834,2)&lt;=5,C834="NO"),"SÍ","NO")</x:f>
        <x:v>SÍ</x:v>
      </x:c>
      <x:c r="E834" s="2" t="n">
        <x:f>WORKDAY.INTL(A834-1,1,1,FERIADOS!$A$2:$A$250)</x:f>
        <x:v>46490</x:v>
      </x:c>
      <x:c r="F834" t="str">
        <x:f>IF(E834&gt;=WORKDAY.INTL(EOMONTH(E834,0)+1,-2,1,FERIADOS!$A$2:$A$250),"SÍ","NO")</x:f>
        <x:v>NO</x:v>
      </x:c>
      <x:c r="G834" s="10" t="n">
        <x:f>IF(F834="SÍ",EOMONTH(E834,0)+1,DATE(YEAR(E834),MONTH(E834),1))</x:f>
        <x:v>46478</x:v>
      </x:c>
      <x:c r="H834" t="str">
        <x:f>IF(D834="NO",IF(C834="SÍ","FERIADO","FIN DE SEMANA"),"LABORABLE")&amp;IF(F834="SÍ"," + CIERRE","")</x:f>
        <x:v>LABORABLE</x:v>
      </x:c>
      <x:c r="I834" t="str">
        <x:f>TEXT(G834,"yyyy-mm")</x:f>
        <x:v>2027-04</x:v>
      </x:c>
    </x:row>
    <x:row r="835" ht="19" customHeight="1">
      <x:c r="A835" s="2" t="n">
        <x:v>46491</x:v>
      </x:c>
      <x:c r="B835" t="str">
        <x:f>CHOOSE(WEEKDAY(A835,2),"Lunes","Martes","Miércoles","Jueves","Viernes","Sábado","Domingo")</x:f>
        <x:v>Miércoles</x:v>
      </x:c>
      <x:c r="C835" t="str">
        <x:f>IF(COUNTIF(FERIADOS!$A$2:$A$250,A835)&gt;0,"SÍ","NO")</x:f>
        <x:v>NO</x:v>
      </x:c>
      <x:c r="D835" t="str">
        <x:f>IF(AND(WEEKDAY(A835,2)&lt;=5,C835="NO"),"SÍ","NO")</x:f>
        <x:v>SÍ</x:v>
      </x:c>
      <x:c r="E835" s="2" t="n">
        <x:f>WORKDAY.INTL(A835-1,1,1,FERIADOS!$A$2:$A$250)</x:f>
        <x:v>46491</x:v>
      </x:c>
      <x:c r="F835" t="str">
        <x:f>IF(E835&gt;=WORKDAY.INTL(EOMONTH(E835,0)+1,-2,1,FERIADOS!$A$2:$A$250),"SÍ","NO")</x:f>
        <x:v>NO</x:v>
      </x:c>
      <x:c r="G835" s="10" t="n">
        <x:f>IF(F835="SÍ",EOMONTH(E835,0)+1,DATE(YEAR(E835),MONTH(E835),1))</x:f>
        <x:v>46478</x:v>
      </x:c>
      <x:c r="H835" t="str">
        <x:f>IF(D835="NO",IF(C835="SÍ","FERIADO","FIN DE SEMANA"),"LABORABLE")&amp;IF(F835="SÍ"," + CIERRE","")</x:f>
        <x:v>LABORABLE</x:v>
      </x:c>
      <x:c r="I835" t="str">
        <x:f>TEXT(G835,"yyyy-mm")</x:f>
        <x:v>2027-04</x:v>
      </x:c>
    </x:row>
    <x:row r="836" ht="19" customHeight="1">
      <x:c r="A836" s="2" t="n">
        <x:v>46492</x:v>
      </x:c>
      <x:c r="B836" t="str">
        <x:f>CHOOSE(WEEKDAY(A836,2),"Lunes","Martes","Miércoles","Jueves","Viernes","Sábado","Domingo")</x:f>
        <x:v>Jueves</x:v>
      </x:c>
      <x:c r="C836" t="str">
        <x:f>IF(COUNTIF(FERIADOS!$A$2:$A$250,A836)&gt;0,"SÍ","NO")</x:f>
        <x:v>NO</x:v>
      </x:c>
      <x:c r="D836" t="str">
        <x:f>IF(AND(WEEKDAY(A836,2)&lt;=5,C836="NO"),"SÍ","NO")</x:f>
        <x:v>SÍ</x:v>
      </x:c>
      <x:c r="E836" s="2" t="n">
        <x:f>WORKDAY.INTL(A836-1,1,1,FERIADOS!$A$2:$A$250)</x:f>
        <x:v>46492</x:v>
      </x:c>
      <x:c r="F836" t="str">
        <x:f>IF(E836&gt;=WORKDAY.INTL(EOMONTH(E836,0)+1,-2,1,FERIADOS!$A$2:$A$250),"SÍ","NO")</x:f>
        <x:v>NO</x:v>
      </x:c>
      <x:c r="G836" s="10" t="n">
        <x:f>IF(F836="SÍ",EOMONTH(E836,0)+1,DATE(YEAR(E836),MONTH(E836),1))</x:f>
        <x:v>46478</x:v>
      </x:c>
      <x:c r="H836" t="str">
        <x:f>IF(D836="NO",IF(C836="SÍ","FERIADO","FIN DE SEMANA"),"LABORABLE")&amp;IF(F836="SÍ"," + CIERRE","")</x:f>
        <x:v>LABORABLE</x:v>
      </x:c>
      <x:c r="I836" t="str">
        <x:f>TEXT(G836,"yyyy-mm")</x:f>
        <x:v>2027-04</x:v>
      </x:c>
    </x:row>
    <x:row r="837" ht="19" customHeight="1">
      <x:c r="A837" s="2" t="n">
        <x:v>46493</x:v>
      </x:c>
      <x:c r="B837" t="str">
        <x:f>CHOOSE(WEEKDAY(A837,2),"Lunes","Martes","Miércoles","Jueves","Viernes","Sábado","Domingo")</x:f>
        <x:v>Viernes</x:v>
      </x:c>
      <x:c r="C837" t="str">
        <x:f>IF(COUNTIF(FERIADOS!$A$2:$A$250,A837)&gt;0,"SÍ","NO")</x:f>
        <x:v>NO</x:v>
      </x:c>
      <x:c r="D837" t="str">
        <x:f>IF(AND(WEEKDAY(A837,2)&lt;=5,C837="NO"),"SÍ","NO")</x:f>
        <x:v>SÍ</x:v>
      </x:c>
      <x:c r="E837" s="2" t="n">
        <x:f>WORKDAY.INTL(A837-1,1,1,FERIADOS!$A$2:$A$250)</x:f>
        <x:v>46493</x:v>
      </x:c>
      <x:c r="F837" t="str">
        <x:f>IF(E837&gt;=WORKDAY.INTL(EOMONTH(E837,0)+1,-2,1,FERIADOS!$A$2:$A$250),"SÍ","NO")</x:f>
        <x:v>NO</x:v>
      </x:c>
      <x:c r="G837" s="10" t="n">
        <x:f>IF(F837="SÍ",EOMONTH(E837,0)+1,DATE(YEAR(E837),MONTH(E837),1))</x:f>
        <x:v>46478</x:v>
      </x:c>
      <x:c r="H837" t="str">
        <x:f>IF(D837="NO",IF(C837="SÍ","FERIADO","FIN DE SEMANA"),"LABORABLE")&amp;IF(F837="SÍ"," + CIERRE","")</x:f>
        <x:v>LABORABLE</x:v>
      </x:c>
      <x:c r="I837" t="str">
        <x:f>TEXT(G837,"yyyy-mm")</x:f>
        <x:v>2027-04</x:v>
      </x:c>
    </x:row>
    <x:row r="838" ht="19" customHeight="1">
      <x:c r="A838" s="2" t="n">
        <x:v>46494</x:v>
      </x:c>
      <x:c r="B838" t="str">
        <x:f>CHOOSE(WEEKDAY(A838,2),"Lunes","Martes","Miércoles","Jueves","Viernes","Sábado","Domingo")</x:f>
        <x:v>Sábado</x:v>
      </x:c>
      <x:c r="C838" t="str">
        <x:f>IF(COUNTIF(FERIADOS!$A$2:$A$250,A838)&gt;0,"SÍ","NO")</x:f>
        <x:v>NO</x:v>
      </x:c>
      <x:c r="D838" t="str">
        <x:f>IF(AND(WEEKDAY(A838,2)&lt;=5,C838="NO"),"SÍ","NO")</x:f>
        <x:v>NO</x:v>
      </x:c>
      <x:c r="E838" s="2" t="n">
        <x:f>WORKDAY.INTL(A838-1,1,1,FERIADOS!$A$2:$A$250)</x:f>
        <x:v>46496</x:v>
      </x:c>
      <x:c r="F838" t="str">
        <x:f>IF(E838&gt;=WORKDAY.INTL(EOMONTH(E838,0)+1,-2,1,FERIADOS!$A$2:$A$250),"SÍ","NO")</x:f>
        <x:v>NO</x:v>
      </x:c>
      <x:c r="G838" s="10" t="n">
        <x:f>IF(F838="SÍ",EOMONTH(E838,0)+1,DATE(YEAR(E838),MONTH(E838),1))</x:f>
        <x:v>46478</x:v>
      </x:c>
      <x:c r="H838" t="str">
        <x:f>IF(D838="NO",IF(C838="SÍ","FERIADO","FIN DE SEMANA"),"LABORABLE")&amp;IF(F838="SÍ"," + CIERRE","")</x:f>
        <x:v>FIN DE SEMANA</x:v>
      </x:c>
      <x:c r="I838" t="str">
        <x:f>TEXT(G838,"yyyy-mm")</x:f>
        <x:v>2027-04</x:v>
      </x:c>
    </x:row>
    <x:row r="839" ht="19" customHeight="1">
      <x:c r="A839" s="2" t="n">
        <x:v>46495</x:v>
      </x:c>
      <x:c r="B839" t="str">
        <x:f>CHOOSE(WEEKDAY(A839,2),"Lunes","Martes","Miércoles","Jueves","Viernes","Sábado","Domingo")</x:f>
        <x:v>Domingo</x:v>
      </x:c>
      <x:c r="C839" t="str">
        <x:f>IF(COUNTIF(FERIADOS!$A$2:$A$250,A839)&gt;0,"SÍ","NO")</x:f>
        <x:v>NO</x:v>
      </x:c>
      <x:c r="D839" t="str">
        <x:f>IF(AND(WEEKDAY(A839,2)&lt;=5,C839="NO"),"SÍ","NO")</x:f>
        <x:v>NO</x:v>
      </x:c>
      <x:c r="E839" s="2" t="n">
        <x:f>WORKDAY.INTL(A839-1,1,1,FERIADOS!$A$2:$A$250)</x:f>
        <x:v>46496</x:v>
      </x:c>
      <x:c r="F839" t="str">
        <x:f>IF(E839&gt;=WORKDAY.INTL(EOMONTH(E839,0)+1,-2,1,FERIADOS!$A$2:$A$250),"SÍ","NO")</x:f>
        <x:v>NO</x:v>
      </x:c>
      <x:c r="G839" s="10" t="n">
        <x:f>IF(F839="SÍ",EOMONTH(E839,0)+1,DATE(YEAR(E839),MONTH(E839),1))</x:f>
        <x:v>46478</x:v>
      </x:c>
      <x:c r="H839" t="str">
        <x:f>IF(D839="NO",IF(C839="SÍ","FERIADO","FIN DE SEMANA"),"LABORABLE")&amp;IF(F839="SÍ"," + CIERRE","")</x:f>
        <x:v>FIN DE SEMANA</x:v>
      </x:c>
      <x:c r="I839" t="str">
        <x:f>TEXT(G839,"yyyy-mm")</x:f>
        <x:v>2027-04</x:v>
      </x:c>
    </x:row>
    <x:row r="840" ht="19" customHeight="1">
      <x:c r="A840" s="2" t="n">
        <x:v>46496</x:v>
      </x:c>
      <x:c r="B840" t="str">
        <x:f>CHOOSE(WEEKDAY(A840,2),"Lunes","Martes","Miércoles","Jueves","Viernes","Sábado","Domingo")</x:f>
        <x:v>Lunes</x:v>
      </x:c>
      <x:c r="C840" t="str">
        <x:f>IF(COUNTIF(FERIADOS!$A$2:$A$250,A840)&gt;0,"SÍ","NO")</x:f>
        <x:v>NO</x:v>
      </x:c>
      <x:c r="D840" t="str">
        <x:f>IF(AND(WEEKDAY(A840,2)&lt;=5,C840="NO"),"SÍ","NO")</x:f>
        <x:v>SÍ</x:v>
      </x:c>
      <x:c r="E840" s="2" t="n">
        <x:f>WORKDAY.INTL(A840-1,1,1,FERIADOS!$A$2:$A$250)</x:f>
        <x:v>46496</x:v>
      </x:c>
      <x:c r="F840" t="str">
        <x:f>IF(E840&gt;=WORKDAY.INTL(EOMONTH(E840,0)+1,-2,1,FERIADOS!$A$2:$A$250),"SÍ","NO")</x:f>
        <x:v>NO</x:v>
      </x:c>
      <x:c r="G840" s="10" t="n">
        <x:f>IF(F840="SÍ",EOMONTH(E840,0)+1,DATE(YEAR(E840),MONTH(E840),1))</x:f>
        <x:v>46478</x:v>
      </x:c>
      <x:c r="H840" t="str">
        <x:f>IF(D840="NO",IF(C840="SÍ","FERIADO","FIN DE SEMANA"),"LABORABLE")&amp;IF(F840="SÍ"," + CIERRE","")</x:f>
        <x:v>LABORABLE</x:v>
      </x:c>
      <x:c r="I840" t="str">
        <x:f>TEXT(G840,"yyyy-mm")</x:f>
        <x:v>2027-04</x:v>
      </x:c>
    </x:row>
    <x:row r="841" ht="19" customHeight="1">
      <x:c r="A841" s="2" t="n">
        <x:v>46497</x:v>
      </x:c>
      <x:c r="B841" t="str">
        <x:f>CHOOSE(WEEKDAY(A841,2),"Lunes","Martes","Miércoles","Jueves","Viernes","Sábado","Domingo")</x:f>
        <x:v>Martes</x:v>
      </x:c>
      <x:c r="C841" t="str">
        <x:f>IF(COUNTIF(FERIADOS!$A$2:$A$250,A841)&gt;0,"SÍ","NO")</x:f>
        <x:v>NO</x:v>
      </x:c>
      <x:c r="D841" t="str">
        <x:f>IF(AND(WEEKDAY(A841,2)&lt;=5,C841="NO"),"SÍ","NO")</x:f>
        <x:v>SÍ</x:v>
      </x:c>
      <x:c r="E841" s="2" t="n">
        <x:f>WORKDAY.INTL(A841-1,1,1,FERIADOS!$A$2:$A$250)</x:f>
        <x:v>46497</x:v>
      </x:c>
      <x:c r="F841" t="str">
        <x:f>IF(E841&gt;=WORKDAY.INTL(EOMONTH(E841,0)+1,-2,1,FERIADOS!$A$2:$A$250),"SÍ","NO")</x:f>
        <x:v>NO</x:v>
      </x:c>
      <x:c r="G841" s="10" t="n">
        <x:f>IF(F841="SÍ",EOMONTH(E841,0)+1,DATE(YEAR(E841),MONTH(E841),1))</x:f>
        <x:v>46478</x:v>
      </x:c>
      <x:c r="H841" t="str">
        <x:f>IF(D841="NO",IF(C841="SÍ","FERIADO","FIN DE SEMANA"),"LABORABLE")&amp;IF(F841="SÍ"," + CIERRE","")</x:f>
        <x:v>LABORABLE</x:v>
      </x:c>
      <x:c r="I841" t="str">
        <x:f>TEXT(G841,"yyyy-mm")</x:f>
        <x:v>2027-04</x:v>
      </x:c>
    </x:row>
    <x:row r="842" ht="19" customHeight="1">
      <x:c r="A842" s="2" t="n">
        <x:v>46498</x:v>
      </x:c>
      <x:c r="B842" t="str">
        <x:f>CHOOSE(WEEKDAY(A842,2),"Lunes","Martes","Miércoles","Jueves","Viernes","Sábado","Domingo")</x:f>
        <x:v>Miércoles</x:v>
      </x:c>
      <x:c r="C842" t="str">
        <x:f>IF(COUNTIF(FERIADOS!$A$2:$A$250,A842)&gt;0,"SÍ","NO")</x:f>
        <x:v>NO</x:v>
      </x:c>
      <x:c r="D842" t="str">
        <x:f>IF(AND(WEEKDAY(A842,2)&lt;=5,C842="NO"),"SÍ","NO")</x:f>
        <x:v>SÍ</x:v>
      </x:c>
      <x:c r="E842" s="2" t="n">
        <x:f>WORKDAY.INTL(A842-1,1,1,FERIADOS!$A$2:$A$250)</x:f>
        <x:v>46498</x:v>
      </x:c>
      <x:c r="F842" t="str">
        <x:f>IF(E842&gt;=WORKDAY.INTL(EOMONTH(E842,0)+1,-2,1,FERIADOS!$A$2:$A$250),"SÍ","NO")</x:f>
        <x:v>NO</x:v>
      </x:c>
      <x:c r="G842" s="10" t="n">
        <x:f>IF(F842="SÍ",EOMONTH(E842,0)+1,DATE(YEAR(E842),MONTH(E842),1))</x:f>
        <x:v>46478</x:v>
      </x:c>
      <x:c r="H842" t="str">
        <x:f>IF(D842="NO",IF(C842="SÍ","FERIADO","FIN DE SEMANA"),"LABORABLE")&amp;IF(F842="SÍ"," + CIERRE","")</x:f>
        <x:v>LABORABLE</x:v>
      </x:c>
      <x:c r="I842" t="str">
        <x:f>TEXT(G842,"yyyy-mm")</x:f>
        <x:v>2027-04</x:v>
      </x:c>
    </x:row>
    <x:row r="843" ht="19" customHeight="1">
      <x:c r="A843" s="2" t="n">
        <x:v>46499</x:v>
      </x:c>
      <x:c r="B843" t="str">
        <x:f>CHOOSE(WEEKDAY(A843,2),"Lunes","Martes","Miércoles","Jueves","Viernes","Sábado","Domingo")</x:f>
        <x:v>Jueves</x:v>
      </x:c>
      <x:c r="C843" t="str">
        <x:f>IF(COUNTIF(FERIADOS!$A$2:$A$250,A843)&gt;0,"SÍ","NO")</x:f>
        <x:v>NO</x:v>
      </x:c>
      <x:c r="D843" t="str">
        <x:f>IF(AND(WEEKDAY(A843,2)&lt;=5,C843="NO"),"SÍ","NO")</x:f>
        <x:v>SÍ</x:v>
      </x:c>
      <x:c r="E843" s="2" t="n">
        <x:f>WORKDAY.INTL(A843-1,1,1,FERIADOS!$A$2:$A$250)</x:f>
        <x:v>46499</x:v>
      </x:c>
      <x:c r="F843" t="str">
        <x:f>IF(E843&gt;=WORKDAY.INTL(EOMONTH(E843,0)+1,-2,1,FERIADOS!$A$2:$A$250),"SÍ","NO")</x:f>
        <x:v>NO</x:v>
      </x:c>
      <x:c r="G843" s="10" t="n">
        <x:f>IF(F843="SÍ",EOMONTH(E843,0)+1,DATE(YEAR(E843),MONTH(E843),1))</x:f>
        <x:v>46478</x:v>
      </x:c>
      <x:c r="H843" t="str">
        <x:f>IF(D843="NO",IF(C843="SÍ","FERIADO","FIN DE SEMANA"),"LABORABLE")&amp;IF(F843="SÍ"," + CIERRE","")</x:f>
        <x:v>LABORABLE</x:v>
      </x:c>
      <x:c r="I843" t="str">
        <x:f>TEXT(G843,"yyyy-mm")</x:f>
        <x:v>2027-04</x:v>
      </x:c>
    </x:row>
    <x:row r="844" ht="19" customHeight="1">
      <x:c r="A844" s="2" t="n">
        <x:v>46500</x:v>
      </x:c>
      <x:c r="B844" t="str">
        <x:f>CHOOSE(WEEKDAY(A844,2),"Lunes","Martes","Miércoles","Jueves","Viernes","Sábado","Domingo")</x:f>
        <x:v>Viernes</x:v>
      </x:c>
      <x:c r="C844" t="str">
        <x:f>IF(COUNTIF(FERIADOS!$A$2:$A$250,A844)&gt;0,"SÍ","NO")</x:f>
        <x:v>NO</x:v>
      </x:c>
      <x:c r="D844" t="str">
        <x:f>IF(AND(WEEKDAY(A844,2)&lt;=5,C844="NO"),"SÍ","NO")</x:f>
        <x:v>SÍ</x:v>
      </x:c>
      <x:c r="E844" s="2" t="n">
        <x:f>WORKDAY.INTL(A844-1,1,1,FERIADOS!$A$2:$A$250)</x:f>
        <x:v>46500</x:v>
      </x:c>
      <x:c r="F844" t="str">
        <x:f>IF(E844&gt;=WORKDAY.INTL(EOMONTH(E844,0)+1,-2,1,FERIADOS!$A$2:$A$250),"SÍ","NO")</x:f>
        <x:v>NO</x:v>
      </x:c>
      <x:c r="G844" s="10" t="n">
        <x:f>IF(F844="SÍ",EOMONTH(E844,0)+1,DATE(YEAR(E844),MONTH(E844),1))</x:f>
        <x:v>46478</x:v>
      </x:c>
      <x:c r="H844" t="str">
        <x:f>IF(D844="NO",IF(C844="SÍ","FERIADO","FIN DE SEMANA"),"LABORABLE")&amp;IF(F844="SÍ"," + CIERRE","")</x:f>
        <x:v>LABORABLE</x:v>
      </x:c>
      <x:c r="I844" t="str">
        <x:f>TEXT(G844,"yyyy-mm")</x:f>
        <x:v>2027-04</x:v>
      </x:c>
    </x:row>
    <x:row r="845" ht="19" customHeight="1">
      <x:c r="A845" s="2" t="n">
        <x:v>46501</x:v>
      </x:c>
      <x:c r="B845" t="str">
        <x:f>CHOOSE(WEEKDAY(A845,2),"Lunes","Martes","Miércoles","Jueves","Viernes","Sábado","Domingo")</x:f>
        <x:v>Sábado</x:v>
      </x:c>
      <x:c r="C845" t="str">
        <x:f>IF(COUNTIF(FERIADOS!$A$2:$A$250,A845)&gt;0,"SÍ","NO")</x:f>
        <x:v>NO</x:v>
      </x:c>
      <x:c r="D845" t="str">
        <x:f>IF(AND(WEEKDAY(A845,2)&lt;=5,C845="NO"),"SÍ","NO")</x:f>
        <x:v>NO</x:v>
      </x:c>
      <x:c r="E845" s="2" t="n">
        <x:f>WORKDAY.INTL(A845-1,1,1,FERIADOS!$A$2:$A$250)</x:f>
        <x:v>46503</x:v>
      </x:c>
      <x:c r="F845" t="str">
        <x:f>IF(E845&gt;=WORKDAY.INTL(EOMONTH(E845,0)+1,-2,1,FERIADOS!$A$2:$A$250),"SÍ","NO")</x:f>
        <x:v>NO</x:v>
      </x:c>
      <x:c r="G845" s="10" t="n">
        <x:f>IF(F845="SÍ",EOMONTH(E845,0)+1,DATE(YEAR(E845),MONTH(E845),1))</x:f>
        <x:v>46478</x:v>
      </x:c>
      <x:c r="H845" t="str">
        <x:f>IF(D845="NO",IF(C845="SÍ","FERIADO","FIN DE SEMANA"),"LABORABLE")&amp;IF(F845="SÍ"," + CIERRE","")</x:f>
        <x:v>FIN DE SEMANA</x:v>
      </x:c>
      <x:c r="I845" t="str">
        <x:f>TEXT(G845,"yyyy-mm")</x:f>
        <x:v>2027-04</x:v>
      </x:c>
    </x:row>
    <x:row r="846" ht="19" customHeight="1">
      <x:c r="A846" s="2" t="n">
        <x:v>46502</x:v>
      </x:c>
      <x:c r="B846" t="str">
        <x:f>CHOOSE(WEEKDAY(A846,2),"Lunes","Martes","Miércoles","Jueves","Viernes","Sábado","Domingo")</x:f>
        <x:v>Domingo</x:v>
      </x:c>
      <x:c r="C846" t="str">
        <x:f>IF(COUNTIF(FERIADOS!$A$2:$A$250,A846)&gt;0,"SÍ","NO")</x:f>
        <x:v>NO</x:v>
      </x:c>
      <x:c r="D846" t="str">
        <x:f>IF(AND(WEEKDAY(A846,2)&lt;=5,C846="NO"),"SÍ","NO")</x:f>
        <x:v>NO</x:v>
      </x:c>
      <x:c r="E846" s="2" t="n">
        <x:f>WORKDAY.INTL(A846-1,1,1,FERIADOS!$A$2:$A$250)</x:f>
        <x:v>46503</x:v>
      </x:c>
      <x:c r="F846" t="str">
        <x:f>IF(E846&gt;=WORKDAY.INTL(EOMONTH(E846,0)+1,-2,1,FERIADOS!$A$2:$A$250),"SÍ","NO")</x:f>
        <x:v>NO</x:v>
      </x:c>
      <x:c r="G846" s="10" t="n">
        <x:f>IF(F846="SÍ",EOMONTH(E846,0)+1,DATE(YEAR(E846),MONTH(E846),1))</x:f>
        <x:v>46478</x:v>
      </x:c>
      <x:c r="H846" t="str">
        <x:f>IF(D846="NO",IF(C846="SÍ","FERIADO","FIN DE SEMANA"),"LABORABLE")&amp;IF(F846="SÍ"," + CIERRE","")</x:f>
        <x:v>FIN DE SEMANA</x:v>
      </x:c>
      <x:c r="I846" t="str">
        <x:f>TEXT(G846,"yyyy-mm")</x:f>
        <x:v>2027-04</x:v>
      </x:c>
    </x:row>
    <x:row r="847" ht="19" customHeight="1">
      <x:c r="A847" s="2" t="n">
        <x:v>46503</x:v>
      </x:c>
      <x:c r="B847" t="str">
        <x:f>CHOOSE(WEEKDAY(A847,2),"Lunes","Martes","Miércoles","Jueves","Viernes","Sábado","Domingo")</x:f>
        <x:v>Lunes</x:v>
      </x:c>
      <x:c r="C847" t="str">
        <x:f>IF(COUNTIF(FERIADOS!$A$2:$A$250,A847)&gt;0,"SÍ","NO")</x:f>
        <x:v>NO</x:v>
      </x:c>
      <x:c r="D847" t="str">
        <x:f>IF(AND(WEEKDAY(A847,2)&lt;=5,C847="NO"),"SÍ","NO")</x:f>
        <x:v>SÍ</x:v>
      </x:c>
      <x:c r="E847" s="2" t="n">
        <x:f>WORKDAY.INTL(A847-1,1,1,FERIADOS!$A$2:$A$250)</x:f>
        <x:v>46503</x:v>
      </x:c>
      <x:c r="F847" t="str">
        <x:f>IF(E847&gt;=WORKDAY.INTL(EOMONTH(E847,0)+1,-2,1,FERIADOS!$A$2:$A$250),"SÍ","NO")</x:f>
        <x:v>NO</x:v>
      </x:c>
      <x:c r="G847" s="10" t="n">
        <x:f>IF(F847="SÍ",EOMONTH(E847,0)+1,DATE(YEAR(E847),MONTH(E847),1))</x:f>
        <x:v>46478</x:v>
      </x:c>
      <x:c r="H847" t="str">
        <x:f>IF(D847="NO",IF(C847="SÍ","FERIADO","FIN DE SEMANA"),"LABORABLE")&amp;IF(F847="SÍ"," + CIERRE","")</x:f>
        <x:v>LABORABLE</x:v>
      </x:c>
      <x:c r="I847" t="str">
        <x:f>TEXT(G847,"yyyy-mm")</x:f>
        <x:v>2027-04</x:v>
      </x:c>
    </x:row>
    <x:row r="848" ht="19" customHeight="1">
      <x:c r="A848" s="2" t="n">
        <x:v>46504</x:v>
      </x:c>
      <x:c r="B848" t="str">
        <x:f>CHOOSE(WEEKDAY(A848,2),"Lunes","Martes","Miércoles","Jueves","Viernes","Sábado","Domingo")</x:f>
        <x:v>Martes</x:v>
      </x:c>
      <x:c r="C848" t="str">
        <x:f>IF(COUNTIF(FERIADOS!$A$2:$A$250,A848)&gt;0,"SÍ","NO")</x:f>
        <x:v>NO</x:v>
      </x:c>
      <x:c r="D848" t="str">
        <x:f>IF(AND(WEEKDAY(A848,2)&lt;=5,C848="NO"),"SÍ","NO")</x:f>
        <x:v>SÍ</x:v>
      </x:c>
      <x:c r="E848" s="2" t="n">
        <x:f>WORKDAY.INTL(A848-1,1,1,FERIADOS!$A$2:$A$250)</x:f>
        <x:v>46504</x:v>
      </x:c>
      <x:c r="F848" t="str">
        <x:f>IF(E848&gt;=WORKDAY.INTL(EOMONTH(E848,0)+1,-2,1,FERIADOS!$A$2:$A$250),"SÍ","NO")</x:f>
        <x:v>NO</x:v>
      </x:c>
      <x:c r="G848" s="10" t="n">
        <x:f>IF(F848="SÍ",EOMONTH(E848,0)+1,DATE(YEAR(E848),MONTH(E848),1))</x:f>
        <x:v>46478</x:v>
      </x:c>
      <x:c r="H848" t="str">
        <x:f>IF(D848="NO",IF(C848="SÍ","FERIADO","FIN DE SEMANA"),"LABORABLE")&amp;IF(F848="SÍ"," + CIERRE","")</x:f>
        <x:v>LABORABLE</x:v>
      </x:c>
      <x:c r="I848" t="str">
        <x:f>TEXT(G848,"yyyy-mm")</x:f>
        <x:v>2027-04</x:v>
      </x:c>
    </x:row>
    <x:row r="849" ht="19" customHeight="1">
      <x:c r="A849" s="2" t="n">
        <x:v>46505</x:v>
      </x:c>
      <x:c r="B849" t="str">
        <x:f>CHOOSE(WEEKDAY(A849,2),"Lunes","Martes","Miércoles","Jueves","Viernes","Sábado","Domingo")</x:f>
        <x:v>Miércoles</x:v>
      </x:c>
      <x:c r="C849" t="str">
        <x:f>IF(COUNTIF(FERIADOS!$A$2:$A$250,A849)&gt;0,"SÍ","NO")</x:f>
        <x:v>NO</x:v>
      </x:c>
      <x:c r="D849" t="str">
        <x:f>IF(AND(WEEKDAY(A849,2)&lt;=5,C849="NO"),"SÍ","NO")</x:f>
        <x:v>SÍ</x:v>
      </x:c>
      <x:c r="E849" s="2" t="n">
        <x:f>WORKDAY.INTL(A849-1,1,1,FERIADOS!$A$2:$A$250)</x:f>
        <x:v>46505</x:v>
      </x:c>
      <x:c r="F849" t="str">
        <x:f>IF(E849&gt;=WORKDAY.INTL(EOMONTH(E849,0)+1,-2,1,FERIADOS!$A$2:$A$250),"SÍ","NO")</x:f>
        <x:v>SÍ</x:v>
      </x:c>
      <x:c r="G849" s="10" t="n">
        <x:f>IF(F849="SÍ",EOMONTH(E849,0)+1,DATE(YEAR(E849),MONTH(E849),1))</x:f>
        <x:v>46508</x:v>
      </x:c>
      <x:c r="H849" t="str">
        <x:f>IF(D849="NO",IF(C849="SÍ","FERIADO","FIN DE SEMANA"),"LABORABLE")&amp;IF(F849="SÍ"," + CIERRE","")</x:f>
        <x:v>LABORABLE + CIERRE</x:v>
      </x:c>
      <x:c r="I849" t="str">
        <x:f>TEXT(G849,"yyyy-mm")</x:f>
        <x:v>2027-05</x:v>
      </x:c>
    </x:row>
    <x:row r="850" ht="19" customHeight="1">
      <x:c r="A850" s="2" t="n">
        <x:v>46506</x:v>
      </x:c>
      <x:c r="B850" t="str">
        <x:f>CHOOSE(WEEKDAY(A850,2),"Lunes","Martes","Miércoles","Jueves","Viernes","Sábado","Domingo")</x:f>
        <x:v>Jueves</x:v>
      </x:c>
      <x:c r="C850" t="str">
        <x:f>IF(COUNTIF(FERIADOS!$A$2:$A$250,A850)&gt;0,"SÍ","NO")</x:f>
        <x:v>NO</x:v>
      </x:c>
      <x:c r="D850" t="str">
        <x:f>IF(AND(WEEKDAY(A850,2)&lt;=5,C850="NO"),"SÍ","NO")</x:f>
        <x:v>SÍ</x:v>
      </x:c>
      <x:c r="E850" s="2" t="n">
        <x:f>WORKDAY.INTL(A850-1,1,1,FERIADOS!$A$2:$A$250)</x:f>
        <x:v>46506</x:v>
      </x:c>
      <x:c r="F850" t="str">
        <x:f>IF(E850&gt;=WORKDAY.INTL(EOMONTH(E850,0)+1,-2,1,FERIADOS!$A$2:$A$250),"SÍ","NO")</x:f>
        <x:v>SÍ</x:v>
      </x:c>
      <x:c r="G850" s="10" t="n">
        <x:f>IF(F850="SÍ",EOMONTH(E850,0)+1,DATE(YEAR(E850),MONTH(E850),1))</x:f>
        <x:v>46508</x:v>
      </x:c>
      <x:c r="H850" t="str">
        <x:f>IF(D850="NO",IF(C850="SÍ","FERIADO","FIN DE SEMANA"),"LABORABLE")&amp;IF(F850="SÍ"," + CIERRE","")</x:f>
        <x:v>LABORABLE + CIERRE</x:v>
      </x:c>
      <x:c r="I850" t="str">
        <x:f>TEXT(G850,"yyyy-mm")</x:f>
        <x:v>2027-05</x:v>
      </x:c>
    </x:row>
    <x:row r="851" ht="19" customHeight="1">
      <x:c r="A851" s="2" t="n">
        <x:v>46507</x:v>
      </x:c>
      <x:c r="B851" t="str">
        <x:f>CHOOSE(WEEKDAY(A851,2),"Lunes","Martes","Miércoles","Jueves","Viernes","Sábado","Domingo")</x:f>
        <x:v>Viernes</x:v>
      </x:c>
      <x:c r="C851" t="str">
        <x:f>IF(COUNTIF(FERIADOS!$A$2:$A$250,A851)&gt;0,"SÍ","NO")</x:f>
        <x:v>SÍ</x:v>
      </x:c>
      <x:c r="D851" t="str">
        <x:f>IF(AND(WEEKDAY(A851,2)&lt;=5,C851="NO"),"SÍ","NO")</x:f>
        <x:v>NO</x:v>
      </x:c>
      <x:c r="E851" s="2" t="n">
        <x:f>WORKDAY.INTL(A851-1,1,1,FERIADOS!$A$2:$A$250)</x:f>
        <x:v>46510</x:v>
      </x:c>
      <x:c r="F851" t="str">
        <x:f>IF(E851&gt;=WORKDAY.INTL(EOMONTH(E851,0)+1,-2,1,FERIADOS!$A$2:$A$250),"SÍ","NO")</x:f>
        <x:v>NO</x:v>
      </x:c>
      <x:c r="G851" s="10" t="n">
        <x:f>IF(F851="SÍ",EOMONTH(E851,0)+1,DATE(YEAR(E851),MONTH(E851),1))</x:f>
        <x:v>46508</x:v>
      </x:c>
      <x:c r="H851" t="str">
        <x:f>IF(D851="NO",IF(C851="SÍ","FERIADO","FIN DE SEMANA"),"LABORABLE")&amp;IF(F851="SÍ"," + CIERRE","")</x:f>
        <x:v>FERIADO</x:v>
      </x:c>
      <x:c r="I851" t="str">
        <x:f>TEXT(G851,"yyyy-mm")</x:f>
        <x:v>2027-05</x:v>
      </x:c>
    </x:row>
    <x:row r="852" ht="19" customHeight="1">
      <x:c r="A852" s="2" t="n">
        <x:v>46508</x:v>
      </x:c>
      <x:c r="B852" t="str">
        <x:f>CHOOSE(WEEKDAY(A852,2),"Lunes","Martes","Miércoles","Jueves","Viernes","Sábado","Domingo")</x:f>
        <x:v>Sábado</x:v>
      </x:c>
      <x:c r="C852" t="str">
        <x:f>IF(COUNTIF(FERIADOS!$A$2:$A$250,A852)&gt;0,"SÍ","NO")</x:f>
        <x:v>NO</x:v>
      </x:c>
      <x:c r="D852" t="str">
        <x:f>IF(AND(WEEKDAY(A852,2)&lt;=5,C852="NO"),"SÍ","NO")</x:f>
        <x:v>NO</x:v>
      </x:c>
      <x:c r="E852" s="2" t="n">
        <x:f>WORKDAY.INTL(A852-1,1,1,FERIADOS!$A$2:$A$250)</x:f>
        <x:v>46510</x:v>
      </x:c>
      <x:c r="F852" t="str">
        <x:f>IF(E852&gt;=WORKDAY.INTL(EOMONTH(E852,0)+1,-2,1,FERIADOS!$A$2:$A$250),"SÍ","NO")</x:f>
        <x:v>NO</x:v>
      </x:c>
      <x:c r="G852" s="10" t="n">
        <x:f>IF(F852="SÍ",EOMONTH(E852,0)+1,DATE(YEAR(E852),MONTH(E852),1))</x:f>
        <x:v>46508</x:v>
      </x:c>
      <x:c r="H852" t="str">
        <x:f>IF(D852="NO",IF(C852="SÍ","FERIADO","FIN DE SEMANA"),"LABORABLE")&amp;IF(F852="SÍ"," + CIERRE","")</x:f>
        <x:v>FIN DE SEMANA</x:v>
      </x:c>
      <x:c r="I852" t="str">
        <x:f>TEXT(G852,"yyyy-mm")</x:f>
        <x:v>2027-05</x:v>
      </x:c>
    </x:row>
    <x:row r="853" ht="19" customHeight="1">
      <x:c r="A853" s="2" t="n">
        <x:v>46509</x:v>
      </x:c>
      <x:c r="B853" t="str">
        <x:f>CHOOSE(WEEKDAY(A853,2),"Lunes","Martes","Miércoles","Jueves","Viernes","Sábado","Domingo")</x:f>
        <x:v>Domingo</x:v>
      </x:c>
      <x:c r="C853" t="str">
        <x:f>IF(COUNTIF(FERIADOS!$A$2:$A$250,A853)&gt;0,"SÍ","NO")</x:f>
        <x:v>NO</x:v>
      </x:c>
      <x:c r="D853" t="str">
        <x:f>IF(AND(WEEKDAY(A853,2)&lt;=5,C853="NO"),"SÍ","NO")</x:f>
        <x:v>NO</x:v>
      </x:c>
      <x:c r="E853" s="2" t="n">
        <x:f>WORKDAY.INTL(A853-1,1,1,FERIADOS!$A$2:$A$250)</x:f>
        <x:v>46510</x:v>
      </x:c>
      <x:c r="F853" t="str">
        <x:f>IF(E853&gt;=WORKDAY.INTL(EOMONTH(E853,0)+1,-2,1,FERIADOS!$A$2:$A$250),"SÍ","NO")</x:f>
        <x:v>NO</x:v>
      </x:c>
      <x:c r="G853" s="10" t="n">
        <x:f>IF(F853="SÍ",EOMONTH(E853,0)+1,DATE(YEAR(E853),MONTH(E853),1))</x:f>
        <x:v>46508</x:v>
      </x:c>
      <x:c r="H853" t="str">
        <x:f>IF(D853="NO",IF(C853="SÍ","FERIADO","FIN DE SEMANA"),"LABORABLE")&amp;IF(F853="SÍ"," + CIERRE","")</x:f>
        <x:v>FIN DE SEMANA</x:v>
      </x:c>
      <x:c r="I853" t="str">
        <x:f>TEXT(G853,"yyyy-mm")</x:f>
        <x:v>2027-05</x:v>
      </x:c>
    </x:row>
    <x:row r="854" ht="19" customHeight="1">
      <x:c r="A854" s="2" t="n">
        <x:v>46510</x:v>
      </x:c>
      <x:c r="B854" t="str">
        <x:f>CHOOSE(WEEKDAY(A854,2),"Lunes","Martes","Miércoles","Jueves","Viernes","Sábado","Domingo")</x:f>
        <x:v>Lunes</x:v>
      </x:c>
      <x:c r="C854" t="str">
        <x:f>IF(COUNTIF(FERIADOS!$A$2:$A$250,A854)&gt;0,"SÍ","NO")</x:f>
        <x:v>NO</x:v>
      </x:c>
      <x:c r="D854" t="str">
        <x:f>IF(AND(WEEKDAY(A854,2)&lt;=5,C854="NO"),"SÍ","NO")</x:f>
        <x:v>SÍ</x:v>
      </x:c>
      <x:c r="E854" s="2" t="n">
        <x:f>WORKDAY.INTL(A854-1,1,1,FERIADOS!$A$2:$A$250)</x:f>
        <x:v>46510</x:v>
      </x:c>
      <x:c r="F854" t="str">
        <x:f>IF(E854&gt;=WORKDAY.INTL(EOMONTH(E854,0)+1,-2,1,FERIADOS!$A$2:$A$250),"SÍ","NO")</x:f>
        <x:v>NO</x:v>
      </x:c>
      <x:c r="G854" s="10" t="n">
        <x:f>IF(F854="SÍ",EOMONTH(E854,0)+1,DATE(YEAR(E854),MONTH(E854),1))</x:f>
        <x:v>46508</x:v>
      </x:c>
      <x:c r="H854" t="str">
        <x:f>IF(D854="NO",IF(C854="SÍ","FERIADO","FIN DE SEMANA"),"LABORABLE")&amp;IF(F854="SÍ"," + CIERRE","")</x:f>
        <x:v>LABORABLE</x:v>
      </x:c>
      <x:c r="I854" t="str">
        <x:f>TEXT(G854,"yyyy-mm")</x:f>
        <x:v>2027-05</x:v>
      </x:c>
    </x:row>
    <x:row r="855" ht="19" customHeight="1">
      <x:c r="A855" s="2" t="n">
        <x:v>46511</x:v>
      </x:c>
      <x:c r="B855" t="str">
        <x:f>CHOOSE(WEEKDAY(A855,2),"Lunes","Martes","Miércoles","Jueves","Viernes","Sábado","Domingo")</x:f>
        <x:v>Martes</x:v>
      </x:c>
      <x:c r="C855" t="str">
        <x:f>IF(COUNTIF(FERIADOS!$A$2:$A$250,A855)&gt;0,"SÍ","NO")</x:f>
        <x:v>NO</x:v>
      </x:c>
      <x:c r="D855" t="str">
        <x:f>IF(AND(WEEKDAY(A855,2)&lt;=5,C855="NO"),"SÍ","NO")</x:f>
        <x:v>SÍ</x:v>
      </x:c>
      <x:c r="E855" s="2" t="n">
        <x:f>WORKDAY.INTL(A855-1,1,1,FERIADOS!$A$2:$A$250)</x:f>
        <x:v>46511</x:v>
      </x:c>
      <x:c r="F855" t="str">
        <x:f>IF(E855&gt;=WORKDAY.INTL(EOMONTH(E855,0)+1,-2,1,FERIADOS!$A$2:$A$250),"SÍ","NO")</x:f>
        <x:v>NO</x:v>
      </x:c>
      <x:c r="G855" s="10" t="n">
        <x:f>IF(F855="SÍ",EOMONTH(E855,0)+1,DATE(YEAR(E855),MONTH(E855),1))</x:f>
        <x:v>46508</x:v>
      </x:c>
      <x:c r="H855" t="str">
        <x:f>IF(D855="NO",IF(C855="SÍ","FERIADO","FIN DE SEMANA"),"LABORABLE")&amp;IF(F855="SÍ"," + CIERRE","")</x:f>
        <x:v>LABORABLE</x:v>
      </x:c>
      <x:c r="I855" t="str">
        <x:f>TEXT(G855,"yyyy-mm")</x:f>
        <x:v>2027-05</x:v>
      </x:c>
    </x:row>
    <x:row r="856" ht="19" customHeight="1">
      <x:c r="A856" s="2" t="n">
        <x:v>46512</x:v>
      </x:c>
      <x:c r="B856" t="str">
        <x:f>CHOOSE(WEEKDAY(A856,2),"Lunes","Martes","Miércoles","Jueves","Viernes","Sábado","Domingo")</x:f>
        <x:v>Miércoles</x:v>
      </x:c>
      <x:c r="C856" t="str">
        <x:f>IF(COUNTIF(FERIADOS!$A$2:$A$250,A856)&gt;0,"SÍ","NO")</x:f>
        <x:v>NO</x:v>
      </x:c>
      <x:c r="D856" t="str">
        <x:f>IF(AND(WEEKDAY(A856,2)&lt;=5,C856="NO"),"SÍ","NO")</x:f>
        <x:v>SÍ</x:v>
      </x:c>
      <x:c r="E856" s="2" t="n">
        <x:f>WORKDAY.INTL(A856-1,1,1,FERIADOS!$A$2:$A$250)</x:f>
        <x:v>46512</x:v>
      </x:c>
      <x:c r="F856" t="str">
        <x:f>IF(E856&gt;=WORKDAY.INTL(EOMONTH(E856,0)+1,-2,1,FERIADOS!$A$2:$A$250),"SÍ","NO")</x:f>
        <x:v>NO</x:v>
      </x:c>
      <x:c r="G856" s="10" t="n">
        <x:f>IF(F856="SÍ",EOMONTH(E856,0)+1,DATE(YEAR(E856),MONTH(E856),1))</x:f>
        <x:v>46508</x:v>
      </x:c>
      <x:c r="H856" t="str">
        <x:f>IF(D856="NO",IF(C856="SÍ","FERIADO","FIN DE SEMANA"),"LABORABLE")&amp;IF(F856="SÍ"," + CIERRE","")</x:f>
        <x:v>LABORABLE</x:v>
      </x:c>
      <x:c r="I856" t="str">
        <x:f>TEXT(G856,"yyyy-mm")</x:f>
        <x:v>2027-05</x:v>
      </x:c>
    </x:row>
    <x:row r="857" ht="19" customHeight="1">
      <x:c r="A857" s="2" t="n">
        <x:v>46513</x:v>
      </x:c>
      <x:c r="B857" t="str">
        <x:f>CHOOSE(WEEKDAY(A857,2),"Lunes","Martes","Miércoles","Jueves","Viernes","Sábado","Domingo")</x:f>
        <x:v>Jueves</x:v>
      </x:c>
      <x:c r="C857" t="str">
        <x:f>IF(COUNTIF(FERIADOS!$A$2:$A$250,A857)&gt;0,"SÍ","NO")</x:f>
        <x:v>NO</x:v>
      </x:c>
      <x:c r="D857" t="str">
        <x:f>IF(AND(WEEKDAY(A857,2)&lt;=5,C857="NO"),"SÍ","NO")</x:f>
        <x:v>SÍ</x:v>
      </x:c>
      <x:c r="E857" s="2" t="n">
        <x:f>WORKDAY.INTL(A857-1,1,1,FERIADOS!$A$2:$A$250)</x:f>
        <x:v>46513</x:v>
      </x:c>
      <x:c r="F857" t="str">
        <x:f>IF(E857&gt;=WORKDAY.INTL(EOMONTH(E857,0)+1,-2,1,FERIADOS!$A$2:$A$250),"SÍ","NO")</x:f>
        <x:v>NO</x:v>
      </x:c>
      <x:c r="G857" s="10" t="n">
        <x:f>IF(F857="SÍ",EOMONTH(E857,0)+1,DATE(YEAR(E857),MONTH(E857),1))</x:f>
        <x:v>46508</x:v>
      </x:c>
      <x:c r="H857" t="str">
        <x:f>IF(D857="NO",IF(C857="SÍ","FERIADO","FIN DE SEMANA"),"LABORABLE")&amp;IF(F857="SÍ"," + CIERRE","")</x:f>
        <x:v>LABORABLE</x:v>
      </x:c>
      <x:c r="I857" t="str">
        <x:f>TEXT(G857,"yyyy-mm")</x:f>
        <x:v>2027-05</x:v>
      </x:c>
    </x:row>
    <x:row r="858" ht="19" customHeight="1">
      <x:c r="A858" s="2" t="n">
        <x:v>46514</x:v>
      </x:c>
      <x:c r="B858" t="str">
        <x:f>CHOOSE(WEEKDAY(A858,2),"Lunes","Martes","Miércoles","Jueves","Viernes","Sábado","Domingo")</x:f>
        <x:v>Viernes</x:v>
      </x:c>
      <x:c r="C858" t="str">
        <x:f>IF(COUNTIF(FERIADOS!$A$2:$A$250,A858)&gt;0,"SÍ","NO")</x:f>
        <x:v>NO</x:v>
      </x:c>
      <x:c r="D858" t="str">
        <x:f>IF(AND(WEEKDAY(A858,2)&lt;=5,C858="NO"),"SÍ","NO")</x:f>
        <x:v>SÍ</x:v>
      </x:c>
      <x:c r="E858" s="2" t="n">
        <x:f>WORKDAY.INTL(A858-1,1,1,FERIADOS!$A$2:$A$250)</x:f>
        <x:v>46514</x:v>
      </x:c>
      <x:c r="F858" t="str">
        <x:f>IF(E858&gt;=WORKDAY.INTL(EOMONTH(E858,0)+1,-2,1,FERIADOS!$A$2:$A$250),"SÍ","NO")</x:f>
        <x:v>NO</x:v>
      </x:c>
      <x:c r="G858" s="10" t="n">
        <x:f>IF(F858="SÍ",EOMONTH(E858,0)+1,DATE(YEAR(E858),MONTH(E858),1))</x:f>
        <x:v>46508</x:v>
      </x:c>
      <x:c r="H858" t="str">
        <x:f>IF(D858="NO",IF(C858="SÍ","FERIADO","FIN DE SEMANA"),"LABORABLE")&amp;IF(F858="SÍ"," + CIERRE","")</x:f>
        <x:v>LABORABLE</x:v>
      </x:c>
      <x:c r="I858" t="str">
        <x:f>TEXT(G858,"yyyy-mm")</x:f>
        <x:v>2027-05</x:v>
      </x:c>
    </x:row>
    <x:row r="859" ht="19" customHeight="1">
      <x:c r="A859" s="2" t="n">
        <x:v>46515</x:v>
      </x:c>
      <x:c r="B859" t="str">
        <x:f>CHOOSE(WEEKDAY(A859,2),"Lunes","Martes","Miércoles","Jueves","Viernes","Sábado","Domingo")</x:f>
        <x:v>Sábado</x:v>
      </x:c>
      <x:c r="C859" t="str">
        <x:f>IF(COUNTIF(FERIADOS!$A$2:$A$250,A859)&gt;0,"SÍ","NO")</x:f>
        <x:v>NO</x:v>
      </x:c>
      <x:c r="D859" t="str">
        <x:f>IF(AND(WEEKDAY(A859,2)&lt;=5,C859="NO"),"SÍ","NO")</x:f>
        <x:v>NO</x:v>
      </x:c>
      <x:c r="E859" s="2" t="n">
        <x:f>WORKDAY.INTL(A859-1,1,1,FERIADOS!$A$2:$A$250)</x:f>
        <x:v>46517</x:v>
      </x:c>
      <x:c r="F859" t="str">
        <x:f>IF(E859&gt;=WORKDAY.INTL(EOMONTH(E859,0)+1,-2,1,FERIADOS!$A$2:$A$250),"SÍ","NO")</x:f>
        <x:v>NO</x:v>
      </x:c>
      <x:c r="G859" s="10" t="n">
        <x:f>IF(F859="SÍ",EOMONTH(E859,0)+1,DATE(YEAR(E859),MONTH(E859),1))</x:f>
        <x:v>46508</x:v>
      </x:c>
      <x:c r="H859" t="str">
        <x:f>IF(D859="NO",IF(C859="SÍ","FERIADO","FIN DE SEMANA"),"LABORABLE")&amp;IF(F859="SÍ"," + CIERRE","")</x:f>
        <x:v>FIN DE SEMANA</x:v>
      </x:c>
      <x:c r="I859" t="str">
        <x:f>TEXT(G859,"yyyy-mm")</x:f>
        <x:v>2027-05</x:v>
      </x:c>
    </x:row>
    <x:row r="860" ht="19" customHeight="1">
      <x:c r="A860" s="2" t="n">
        <x:v>46516</x:v>
      </x:c>
      <x:c r="B860" t="str">
        <x:f>CHOOSE(WEEKDAY(A860,2),"Lunes","Martes","Miércoles","Jueves","Viernes","Sábado","Domingo")</x:f>
        <x:v>Domingo</x:v>
      </x:c>
      <x:c r="C860" t="str">
        <x:f>IF(COUNTIF(FERIADOS!$A$2:$A$250,A860)&gt;0,"SÍ","NO")</x:f>
        <x:v>NO</x:v>
      </x:c>
      <x:c r="D860" t="str">
        <x:f>IF(AND(WEEKDAY(A860,2)&lt;=5,C860="NO"),"SÍ","NO")</x:f>
        <x:v>NO</x:v>
      </x:c>
      <x:c r="E860" s="2" t="n">
        <x:f>WORKDAY.INTL(A860-1,1,1,FERIADOS!$A$2:$A$250)</x:f>
        <x:v>46517</x:v>
      </x:c>
      <x:c r="F860" t="str">
        <x:f>IF(E860&gt;=WORKDAY.INTL(EOMONTH(E860,0)+1,-2,1,FERIADOS!$A$2:$A$250),"SÍ","NO")</x:f>
        <x:v>NO</x:v>
      </x:c>
      <x:c r="G860" s="10" t="n">
        <x:f>IF(F860="SÍ",EOMONTH(E860,0)+1,DATE(YEAR(E860),MONTH(E860),1))</x:f>
        <x:v>46508</x:v>
      </x:c>
      <x:c r="H860" t="str">
        <x:f>IF(D860="NO",IF(C860="SÍ","FERIADO","FIN DE SEMANA"),"LABORABLE")&amp;IF(F860="SÍ"," + CIERRE","")</x:f>
        <x:v>FIN DE SEMANA</x:v>
      </x:c>
      <x:c r="I860" t="str">
        <x:f>TEXT(G860,"yyyy-mm")</x:f>
        <x:v>2027-05</x:v>
      </x:c>
    </x:row>
    <x:row r="861" ht="19" customHeight="1">
      <x:c r="A861" s="2" t="n">
        <x:v>46517</x:v>
      </x:c>
      <x:c r="B861" t="str">
        <x:f>CHOOSE(WEEKDAY(A861,2),"Lunes","Martes","Miércoles","Jueves","Viernes","Sábado","Domingo")</x:f>
        <x:v>Lunes</x:v>
      </x:c>
      <x:c r="C861" t="str">
        <x:f>IF(COUNTIF(FERIADOS!$A$2:$A$250,A861)&gt;0,"SÍ","NO")</x:f>
        <x:v>NO</x:v>
      </x:c>
      <x:c r="D861" t="str">
        <x:f>IF(AND(WEEKDAY(A861,2)&lt;=5,C861="NO"),"SÍ","NO")</x:f>
        <x:v>SÍ</x:v>
      </x:c>
      <x:c r="E861" s="2" t="n">
        <x:f>WORKDAY.INTL(A861-1,1,1,FERIADOS!$A$2:$A$250)</x:f>
        <x:v>46517</x:v>
      </x:c>
      <x:c r="F861" t="str">
        <x:f>IF(E861&gt;=WORKDAY.INTL(EOMONTH(E861,0)+1,-2,1,FERIADOS!$A$2:$A$250),"SÍ","NO")</x:f>
        <x:v>NO</x:v>
      </x:c>
      <x:c r="G861" s="10" t="n">
        <x:f>IF(F861="SÍ",EOMONTH(E861,0)+1,DATE(YEAR(E861),MONTH(E861),1))</x:f>
        <x:v>46508</x:v>
      </x:c>
      <x:c r="H861" t="str">
        <x:f>IF(D861="NO",IF(C861="SÍ","FERIADO","FIN DE SEMANA"),"LABORABLE")&amp;IF(F861="SÍ"," + CIERRE","")</x:f>
        <x:v>LABORABLE</x:v>
      </x:c>
      <x:c r="I861" t="str">
        <x:f>TEXT(G861,"yyyy-mm")</x:f>
        <x:v>2027-05</x:v>
      </x:c>
    </x:row>
    <x:row r="862" ht="19" customHeight="1">
      <x:c r="A862" s="2" t="n">
        <x:v>46518</x:v>
      </x:c>
      <x:c r="B862" t="str">
        <x:f>CHOOSE(WEEKDAY(A862,2),"Lunes","Martes","Miércoles","Jueves","Viernes","Sábado","Domingo")</x:f>
        <x:v>Martes</x:v>
      </x:c>
      <x:c r="C862" t="str">
        <x:f>IF(COUNTIF(FERIADOS!$A$2:$A$250,A862)&gt;0,"SÍ","NO")</x:f>
        <x:v>NO</x:v>
      </x:c>
      <x:c r="D862" t="str">
        <x:f>IF(AND(WEEKDAY(A862,2)&lt;=5,C862="NO"),"SÍ","NO")</x:f>
        <x:v>SÍ</x:v>
      </x:c>
      <x:c r="E862" s="2" t="n">
        <x:f>WORKDAY.INTL(A862-1,1,1,FERIADOS!$A$2:$A$250)</x:f>
        <x:v>46518</x:v>
      </x:c>
      <x:c r="F862" t="str">
        <x:f>IF(E862&gt;=WORKDAY.INTL(EOMONTH(E862,0)+1,-2,1,FERIADOS!$A$2:$A$250),"SÍ","NO")</x:f>
        <x:v>NO</x:v>
      </x:c>
      <x:c r="G862" s="10" t="n">
        <x:f>IF(F862="SÍ",EOMONTH(E862,0)+1,DATE(YEAR(E862),MONTH(E862),1))</x:f>
        <x:v>46508</x:v>
      </x:c>
      <x:c r="H862" t="str">
        <x:f>IF(D862="NO",IF(C862="SÍ","FERIADO","FIN DE SEMANA"),"LABORABLE")&amp;IF(F862="SÍ"," + CIERRE","")</x:f>
        <x:v>LABORABLE</x:v>
      </x:c>
      <x:c r="I862" t="str">
        <x:f>TEXT(G862,"yyyy-mm")</x:f>
        <x:v>2027-05</x:v>
      </x:c>
    </x:row>
    <x:row r="863" ht="19" customHeight="1">
      <x:c r="A863" s="2" t="n">
        <x:v>46519</x:v>
      </x:c>
      <x:c r="B863" t="str">
        <x:f>CHOOSE(WEEKDAY(A863,2),"Lunes","Martes","Miércoles","Jueves","Viernes","Sábado","Domingo")</x:f>
        <x:v>Miércoles</x:v>
      </x:c>
      <x:c r="C863" t="str">
        <x:f>IF(COUNTIF(FERIADOS!$A$2:$A$250,A863)&gt;0,"SÍ","NO")</x:f>
        <x:v>NO</x:v>
      </x:c>
      <x:c r="D863" t="str">
        <x:f>IF(AND(WEEKDAY(A863,2)&lt;=5,C863="NO"),"SÍ","NO")</x:f>
        <x:v>SÍ</x:v>
      </x:c>
      <x:c r="E863" s="2" t="n">
        <x:f>WORKDAY.INTL(A863-1,1,1,FERIADOS!$A$2:$A$250)</x:f>
        <x:v>46519</x:v>
      </x:c>
      <x:c r="F863" t="str">
        <x:f>IF(E863&gt;=WORKDAY.INTL(EOMONTH(E863,0)+1,-2,1,FERIADOS!$A$2:$A$250),"SÍ","NO")</x:f>
        <x:v>NO</x:v>
      </x:c>
      <x:c r="G863" s="10" t="n">
        <x:f>IF(F863="SÍ",EOMONTH(E863,0)+1,DATE(YEAR(E863),MONTH(E863),1))</x:f>
        <x:v>46508</x:v>
      </x:c>
      <x:c r="H863" t="str">
        <x:f>IF(D863="NO",IF(C863="SÍ","FERIADO","FIN DE SEMANA"),"LABORABLE")&amp;IF(F863="SÍ"," + CIERRE","")</x:f>
        <x:v>LABORABLE</x:v>
      </x:c>
      <x:c r="I863" t="str">
        <x:f>TEXT(G863,"yyyy-mm")</x:f>
        <x:v>2027-05</x:v>
      </x:c>
    </x:row>
    <x:row r="864" ht="19" customHeight="1">
      <x:c r="A864" s="2" t="n">
        <x:v>46520</x:v>
      </x:c>
      <x:c r="B864" t="str">
        <x:f>CHOOSE(WEEKDAY(A864,2),"Lunes","Martes","Miércoles","Jueves","Viernes","Sábado","Domingo")</x:f>
        <x:v>Jueves</x:v>
      </x:c>
      <x:c r="C864" t="str">
        <x:f>IF(COUNTIF(FERIADOS!$A$2:$A$250,A864)&gt;0,"SÍ","NO")</x:f>
        <x:v>NO</x:v>
      </x:c>
      <x:c r="D864" t="str">
        <x:f>IF(AND(WEEKDAY(A864,2)&lt;=5,C864="NO"),"SÍ","NO")</x:f>
        <x:v>SÍ</x:v>
      </x:c>
      <x:c r="E864" s="2" t="n">
        <x:f>WORKDAY.INTL(A864-1,1,1,FERIADOS!$A$2:$A$250)</x:f>
        <x:v>46520</x:v>
      </x:c>
      <x:c r="F864" t="str">
        <x:f>IF(E864&gt;=WORKDAY.INTL(EOMONTH(E864,0)+1,-2,1,FERIADOS!$A$2:$A$250),"SÍ","NO")</x:f>
        <x:v>NO</x:v>
      </x:c>
      <x:c r="G864" s="10" t="n">
        <x:f>IF(F864="SÍ",EOMONTH(E864,0)+1,DATE(YEAR(E864),MONTH(E864),1))</x:f>
        <x:v>46508</x:v>
      </x:c>
      <x:c r="H864" t="str">
        <x:f>IF(D864="NO",IF(C864="SÍ","FERIADO","FIN DE SEMANA"),"LABORABLE")&amp;IF(F864="SÍ"," + CIERRE","")</x:f>
        <x:v>LABORABLE</x:v>
      </x:c>
      <x:c r="I864" t="str">
        <x:f>TEXT(G864,"yyyy-mm")</x:f>
        <x:v>2027-05</x:v>
      </x:c>
    </x:row>
    <x:row r="865" ht="19" customHeight="1">
      <x:c r="A865" s="2" t="n">
        <x:v>46521</x:v>
      </x:c>
      <x:c r="B865" t="str">
        <x:f>CHOOSE(WEEKDAY(A865,2),"Lunes","Martes","Miércoles","Jueves","Viernes","Sábado","Domingo")</x:f>
        <x:v>Viernes</x:v>
      </x:c>
      <x:c r="C865" t="str">
        <x:f>IF(COUNTIF(FERIADOS!$A$2:$A$250,A865)&gt;0,"SÍ","NO")</x:f>
        <x:v>NO</x:v>
      </x:c>
      <x:c r="D865" t="str">
        <x:f>IF(AND(WEEKDAY(A865,2)&lt;=5,C865="NO"),"SÍ","NO")</x:f>
        <x:v>SÍ</x:v>
      </x:c>
      <x:c r="E865" s="2" t="n">
        <x:f>WORKDAY.INTL(A865-1,1,1,FERIADOS!$A$2:$A$250)</x:f>
        <x:v>46521</x:v>
      </x:c>
      <x:c r="F865" t="str">
        <x:f>IF(E865&gt;=WORKDAY.INTL(EOMONTH(E865,0)+1,-2,1,FERIADOS!$A$2:$A$250),"SÍ","NO")</x:f>
        <x:v>NO</x:v>
      </x:c>
      <x:c r="G865" s="10" t="n">
        <x:f>IF(F865="SÍ",EOMONTH(E865,0)+1,DATE(YEAR(E865),MONTH(E865),1))</x:f>
        <x:v>46508</x:v>
      </x:c>
      <x:c r="H865" t="str">
        <x:f>IF(D865="NO",IF(C865="SÍ","FERIADO","FIN DE SEMANA"),"LABORABLE")&amp;IF(F865="SÍ"," + CIERRE","")</x:f>
        <x:v>LABORABLE</x:v>
      </x:c>
      <x:c r="I865" t="str">
        <x:f>TEXT(G865,"yyyy-mm")</x:f>
        <x:v>2027-05</x:v>
      </x:c>
    </x:row>
    <x:row r="866" ht="19" customHeight="1">
      <x:c r="A866" s="2" t="n">
        <x:v>46522</x:v>
      </x:c>
      <x:c r="B866" t="str">
        <x:f>CHOOSE(WEEKDAY(A866,2),"Lunes","Martes","Miércoles","Jueves","Viernes","Sábado","Domingo")</x:f>
        <x:v>Sábado</x:v>
      </x:c>
      <x:c r="C866" t="str">
        <x:f>IF(COUNTIF(FERIADOS!$A$2:$A$250,A866)&gt;0,"SÍ","NO")</x:f>
        <x:v>NO</x:v>
      </x:c>
      <x:c r="D866" t="str">
        <x:f>IF(AND(WEEKDAY(A866,2)&lt;=5,C866="NO"),"SÍ","NO")</x:f>
        <x:v>NO</x:v>
      </x:c>
      <x:c r="E866" s="2" t="n">
        <x:f>WORKDAY.INTL(A866-1,1,1,FERIADOS!$A$2:$A$250)</x:f>
        <x:v>46524</x:v>
      </x:c>
      <x:c r="F866" t="str">
        <x:f>IF(E866&gt;=WORKDAY.INTL(EOMONTH(E866,0)+1,-2,1,FERIADOS!$A$2:$A$250),"SÍ","NO")</x:f>
        <x:v>NO</x:v>
      </x:c>
      <x:c r="G866" s="10" t="n">
        <x:f>IF(F866="SÍ",EOMONTH(E866,0)+1,DATE(YEAR(E866),MONTH(E866),1))</x:f>
        <x:v>46508</x:v>
      </x:c>
      <x:c r="H866" t="str">
        <x:f>IF(D866="NO",IF(C866="SÍ","FERIADO","FIN DE SEMANA"),"LABORABLE")&amp;IF(F866="SÍ"," + CIERRE","")</x:f>
        <x:v>FIN DE SEMANA</x:v>
      </x:c>
      <x:c r="I866" t="str">
        <x:f>TEXT(G866,"yyyy-mm")</x:f>
        <x:v>2027-05</x:v>
      </x:c>
    </x:row>
    <x:row r="867" ht="19" customHeight="1">
      <x:c r="A867" s="2" t="n">
        <x:v>46523</x:v>
      </x:c>
      <x:c r="B867" t="str">
        <x:f>CHOOSE(WEEKDAY(A867,2),"Lunes","Martes","Miércoles","Jueves","Viernes","Sábado","Domingo")</x:f>
        <x:v>Domingo</x:v>
      </x:c>
      <x:c r="C867" t="str">
        <x:f>IF(COUNTIF(FERIADOS!$A$2:$A$250,A867)&gt;0,"SÍ","NO")</x:f>
        <x:v>NO</x:v>
      </x:c>
      <x:c r="D867" t="str">
        <x:f>IF(AND(WEEKDAY(A867,2)&lt;=5,C867="NO"),"SÍ","NO")</x:f>
        <x:v>NO</x:v>
      </x:c>
      <x:c r="E867" s="2" t="n">
        <x:f>WORKDAY.INTL(A867-1,1,1,FERIADOS!$A$2:$A$250)</x:f>
        <x:v>46524</x:v>
      </x:c>
      <x:c r="F867" t="str">
        <x:f>IF(E867&gt;=WORKDAY.INTL(EOMONTH(E867,0)+1,-2,1,FERIADOS!$A$2:$A$250),"SÍ","NO")</x:f>
        <x:v>NO</x:v>
      </x:c>
      <x:c r="G867" s="10" t="n">
        <x:f>IF(F867="SÍ",EOMONTH(E867,0)+1,DATE(YEAR(E867),MONTH(E867),1))</x:f>
        <x:v>46508</x:v>
      </x:c>
      <x:c r="H867" t="str">
        <x:f>IF(D867="NO",IF(C867="SÍ","FERIADO","FIN DE SEMANA"),"LABORABLE")&amp;IF(F867="SÍ"," + CIERRE","")</x:f>
        <x:v>FIN DE SEMANA</x:v>
      </x:c>
      <x:c r="I867" t="str">
        <x:f>TEXT(G867,"yyyy-mm")</x:f>
        <x:v>2027-05</x:v>
      </x:c>
    </x:row>
    <x:row r="868" ht="19" customHeight="1">
      <x:c r="A868" s="2" t="n">
        <x:v>46524</x:v>
      </x:c>
      <x:c r="B868" t="str">
        <x:f>CHOOSE(WEEKDAY(A868,2),"Lunes","Martes","Miércoles","Jueves","Viernes","Sábado","Domingo")</x:f>
        <x:v>Lunes</x:v>
      </x:c>
      <x:c r="C868" t="str">
        <x:f>IF(COUNTIF(FERIADOS!$A$2:$A$250,A868)&gt;0,"SÍ","NO")</x:f>
        <x:v>NO</x:v>
      </x:c>
      <x:c r="D868" t="str">
        <x:f>IF(AND(WEEKDAY(A868,2)&lt;=5,C868="NO"),"SÍ","NO")</x:f>
        <x:v>SÍ</x:v>
      </x:c>
      <x:c r="E868" s="2" t="n">
        <x:f>WORKDAY.INTL(A868-1,1,1,FERIADOS!$A$2:$A$250)</x:f>
        <x:v>46524</x:v>
      </x:c>
      <x:c r="F868" t="str">
        <x:f>IF(E868&gt;=WORKDAY.INTL(EOMONTH(E868,0)+1,-2,1,FERIADOS!$A$2:$A$250),"SÍ","NO")</x:f>
        <x:v>NO</x:v>
      </x:c>
      <x:c r="G868" s="10" t="n">
        <x:f>IF(F868="SÍ",EOMONTH(E868,0)+1,DATE(YEAR(E868),MONTH(E868),1))</x:f>
        <x:v>46508</x:v>
      </x:c>
      <x:c r="H868" t="str">
        <x:f>IF(D868="NO",IF(C868="SÍ","FERIADO","FIN DE SEMANA"),"LABORABLE")&amp;IF(F868="SÍ"," + CIERRE","")</x:f>
        <x:v>LABORABLE</x:v>
      </x:c>
      <x:c r="I868" t="str">
        <x:f>TEXT(G868,"yyyy-mm")</x:f>
        <x:v>2027-05</x:v>
      </x:c>
    </x:row>
    <x:row r="869" ht="19" customHeight="1">
      <x:c r="A869" s="2" t="n">
        <x:v>46525</x:v>
      </x:c>
      <x:c r="B869" t="str">
        <x:f>CHOOSE(WEEKDAY(A869,2),"Lunes","Martes","Miércoles","Jueves","Viernes","Sábado","Domingo")</x:f>
        <x:v>Martes</x:v>
      </x:c>
      <x:c r="C869" t="str">
        <x:f>IF(COUNTIF(FERIADOS!$A$2:$A$250,A869)&gt;0,"SÍ","NO")</x:f>
        <x:v>NO</x:v>
      </x:c>
      <x:c r="D869" t="str">
        <x:f>IF(AND(WEEKDAY(A869,2)&lt;=5,C869="NO"),"SÍ","NO")</x:f>
        <x:v>SÍ</x:v>
      </x:c>
      <x:c r="E869" s="2" t="n">
        <x:f>WORKDAY.INTL(A869-1,1,1,FERIADOS!$A$2:$A$250)</x:f>
        <x:v>46525</x:v>
      </x:c>
      <x:c r="F869" t="str">
        <x:f>IF(E869&gt;=WORKDAY.INTL(EOMONTH(E869,0)+1,-2,1,FERIADOS!$A$2:$A$250),"SÍ","NO")</x:f>
        <x:v>NO</x:v>
      </x:c>
      <x:c r="G869" s="10" t="n">
        <x:f>IF(F869="SÍ",EOMONTH(E869,0)+1,DATE(YEAR(E869),MONTH(E869),1))</x:f>
        <x:v>46508</x:v>
      </x:c>
      <x:c r="H869" t="str">
        <x:f>IF(D869="NO",IF(C869="SÍ","FERIADO","FIN DE SEMANA"),"LABORABLE")&amp;IF(F869="SÍ"," + CIERRE","")</x:f>
        <x:v>LABORABLE</x:v>
      </x:c>
      <x:c r="I869" t="str">
        <x:f>TEXT(G869,"yyyy-mm")</x:f>
        <x:v>2027-05</x:v>
      </x:c>
    </x:row>
    <x:row r="870" ht="19" customHeight="1">
      <x:c r="A870" s="2" t="n">
        <x:v>46526</x:v>
      </x:c>
      <x:c r="B870" t="str">
        <x:f>CHOOSE(WEEKDAY(A870,2),"Lunes","Martes","Miércoles","Jueves","Viernes","Sábado","Domingo")</x:f>
        <x:v>Miércoles</x:v>
      </x:c>
      <x:c r="C870" t="str">
        <x:f>IF(COUNTIF(FERIADOS!$A$2:$A$250,A870)&gt;0,"SÍ","NO")</x:f>
        <x:v>NO</x:v>
      </x:c>
      <x:c r="D870" t="str">
        <x:f>IF(AND(WEEKDAY(A870,2)&lt;=5,C870="NO"),"SÍ","NO")</x:f>
        <x:v>SÍ</x:v>
      </x:c>
      <x:c r="E870" s="2" t="n">
        <x:f>WORKDAY.INTL(A870-1,1,1,FERIADOS!$A$2:$A$250)</x:f>
        <x:v>46526</x:v>
      </x:c>
      <x:c r="F870" t="str">
        <x:f>IF(E870&gt;=WORKDAY.INTL(EOMONTH(E870,0)+1,-2,1,FERIADOS!$A$2:$A$250),"SÍ","NO")</x:f>
        <x:v>NO</x:v>
      </x:c>
      <x:c r="G870" s="10" t="n">
        <x:f>IF(F870="SÍ",EOMONTH(E870,0)+1,DATE(YEAR(E870),MONTH(E870),1))</x:f>
        <x:v>46508</x:v>
      </x:c>
      <x:c r="H870" t="str">
        <x:f>IF(D870="NO",IF(C870="SÍ","FERIADO","FIN DE SEMANA"),"LABORABLE")&amp;IF(F870="SÍ"," + CIERRE","")</x:f>
        <x:v>LABORABLE</x:v>
      </x:c>
      <x:c r="I870" t="str">
        <x:f>TEXT(G870,"yyyy-mm")</x:f>
        <x:v>2027-05</x:v>
      </x:c>
    </x:row>
    <x:row r="871" ht="19" customHeight="1">
      <x:c r="A871" s="2" t="n">
        <x:v>46527</x:v>
      </x:c>
      <x:c r="B871" t="str">
        <x:f>CHOOSE(WEEKDAY(A871,2),"Lunes","Martes","Miércoles","Jueves","Viernes","Sábado","Domingo")</x:f>
        <x:v>Jueves</x:v>
      </x:c>
      <x:c r="C871" t="str">
        <x:f>IF(COUNTIF(FERIADOS!$A$2:$A$250,A871)&gt;0,"SÍ","NO")</x:f>
        <x:v>NO</x:v>
      </x:c>
      <x:c r="D871" t="str">
        <x:f>IF(AND(WEEKDAY(A871,2)&lt;=5,C871="NO"),"SÍ","NO")</x:f>
        <x:v>SÍ</x:v>
      </x:c>
      <x:c r="E871" s="2" t="n">
        <x:f>WORKDAY.INTL(A871-1,1,1,FERIADOS!$A$2:$A$250)</x:f>
        <x:v>46527</x:v>
      </x:c>
      <x:c r="F871" t="str">
        <x:f>IF(E871&gt;=WORKDAY.INTL(EOMONTH(E871,0)+1,-2,1,FERIADOS!$A$2:$A$250),"SÍ","NO")</x:f>
        <x:v>NO</x:v>
      </x:c>
      <x:c r="G871" s="10" t="n">
        <x:f>IF(F871="SÍ",EOMONTH(E871,0)+1,DATE(YEAR(E871),MONTH(E871),1))</x:f>
        <x:v>46508</x:v>
      </x:c>
      <x:c r="H871" t="str">
        <x:f>IF(D871="NO",IF(C871="SÍ","FERIADO","FIN DE SEMANA"),"LABORABLE")&amp;IF(F871="SÍ"," + CIERRE","")</x:f>
        <x:v>LABORABLE</x:v>
      </x:c>
      <x:c r="I871" t="str">
        <x:f>TEXT(G871,"yyyy-mm")</x:f>
        <x:v>2027-05</x:v>
      </x:c>
    </x:row>
    <x:row r="872" ht="19" customHeight="1">
      <x:c r="A872" s="2" t="n">
        <x:v>46528</x:v>
      </x:c>
      <x:c r="B872" t="str">
        <x:f>CHOOSE(WEEKDAY(A872,2),"Lunes","Martes","Miércoles","Jueves","Viernes","Sábado","Domingo")</x:f>
        <x:v>Viernes</x:v>
      </x:c>
      <x:c r="C872" t="str">
        <x:f>IF(COUNTIF(FERIADOS!$A$2:$A$250,A872)&gt;0,"SÍ","NO")</x:f>
        <x:v>NO</x:v>
      </x:c>
      <x:c r="D872" t="str">
        <x:f>IF(AND(WEEKDAY(A872,2)&lt;=5,C872="NO"),"SÍ","NO")</x:f>
        <x:v>SÍ</x:v>
      </x:c>
      <x:c r="E872" s="2" t="n">
        <x:f>WORKDAY.INTL(A872-1,1,1,FERIADOS!$A$2:$A$250)</x:f>
        <x:v>46528</x:v>
      </x:c>
      <x:c r="F872" t="str">
        <x:f>IF(E872&gt;=WORKDAY.INTL(EOMONTH(E872,0)+1,-2,1,FERIADOS!$A$2:$A$250),"SÍ","NO")</x:f>
        <x:v>NO</x:v>
      </x:c>
      <x:c r="G872" s="10" t="n">
        <x:f>IF(F872="SÍ",EOMONTH(E872,0)+1,DATE(YEAR(E872),MONTH(E872),1))</x:f>
        <x:v>46508</x:v>
      </x:c>
      <x:c r="H872" t="str">
        <x:f>IF(D872="NO",IF(C872="SÍ","FERIADO","FIN DE SEMANA"),"LABORABLE")&amp;IF(F872="SÍ"," + CIERRE","")</x:f>
        <x:v>LABORABLE</x:v>
      </x:c>
      <x:c r="I872" t="str">
        <x:f>TEXT(G872,"yyyy-mm")</x:f>
        <x:v>2027-05</x:v>
      </x:c>
    </x:row>
    <x:row r="873" ht="19" customHeight="1">
      <x:c r="A873" s="2" t="n">
        <x:v>46529</x:v>
      </x:c>
      <x:c r="B873" t="str">
        <x:f>CHOOSE(WEEKDAY(A873,2),"Lunes","Martes","Miércoles","Jueves","Viernes","Sábado","Domingo")</x:f>
        <x:v>Sábado</x:v>
      </x:c>
      <x:c r="C873" t="str">
        <x:f>IF(COUNTIF(FERIADOS!$A$2:$A$250,A873)&gt;0,"SÍ","NO")</x:f>
        <x:v>NO</x:v>
      </x:c>
      <x:c r="D873" t="str">
        <x:f>IF(AND(WEEKDAY(A873,2)&lt;=5,C873="NO"),"SÍ","NO")</x:f>
        <x:v>NO</x:v>
      </x:c>
      <x:c r="E873" s="2" t="n">
        <x:f>WORKDAY.INTL(A873-1,1,1,FERIADOS!$A$2:$A$250)</x:f>
        <x:v>46532</x:v>
      </x:c>
      <x:c r="F873" t="str">
        <x:f>IF(E873&gt;=WORKDAY.INTL(EOMONTH(E873,0)+1,-2,1,FERIADOS!$A$2:$A$250),"SÍ","NO")</x:f>
        <x:v>NO</x:v>
      </x:c>
      <x:c r="G873" s="10" t="n">
        <x:f>IF(F873="SÍ",EOMONTH(E873,0)+1,DATE(YEAR(E873),MONTH(E873),1))</x:f>
        <x:v>46508</x:v>
      </x:c>
      <x:c r="H873" t="str">
        <x:f>IF(D873="NO",IF(C873="SÍ","FERIADO","FIN DE SEMANA"),"LABORABLE")&amp;IF(F873="SÍ"," + CIERRE","")</x:f>
        <x:v>FIN DE SEMANA</x:v>
      </x:c>
      <x:c r="I873" t="str">
        <x:f>TEXT(G873,"yyyy-mm")</x:f>
        <x:v>2027-05</x:v>
      </x:c>
    </x:row>
    <x:row r="874" ht="19" customHeight="1">
      <x:c r="A874" s="2" t="n">
        <x:v>46530</x:v>
      </x:c>
      <x:c r="B874" t="str">
        <x:f>CHOOSE(WEEKDAY(A874,2),"Lunes","Martes","Miércoles","Jueves","Viernes","Sábado","Domingo")</x:f>
        <x:v>Domingo</x:v>
      </x:c>
      <x:c r="C874" t="str">
        <x:f>IF(COUNTIF(FERIADOS!$A$2:$A$250,A874)&gt;0,"SÍ","NO")</x:f>
        <x:v>NO</x:v>
      </x:c>
      <x:c r="D874" t="str">
        <x:f>IF(AND(WEEKDAY(A874,2)&lt;=5,C874="NO"),"SÍ","NO")</x:f>
        <x:v>NO</x:v>
      </x:c>
      <x:c r="E874" s="2" t="n">
        <x:f>WORKDAY.INTL(A874-1,1,1,FERIADOS!$A$2:$A$250)</x:f>
        <x:v>46532</x:v>
      </x:c>
      <x:c r="F874" t="str">
        <x:f>IF(E874&gt;=WORKDAY.INTL(EOMONTH(E874,0)+1,-2,1,FERIADOS!$A$2:$A$250),"SÍ","NO")</x:f>
        <x:v>NO</x:v>
      </x:c>
      <x:c r="G874" s="10" t="n">
        <x:f>IF(F874="SÍ",EOMONTH(E874,0)+1,DATE(YEAR(E874),MONTH(E874),1))</x:f>
        <x:v>46508</x:v>
      </x:c>
      <x:c r="H874" t="str">
        <x:f>IF(D874="NO",IF(C874="SÍ","FERIADO","FIN DE SEMANA"),"LABORABLE")&amp;IF(F874="SÍ"," + CIERRE","")</x:f>
        <x:v>FIN DE SEMANA</x:v>
      </x:c>
      <x:c r="I874" t="str">
        <x:f>TEXT(G874,"yyyy-mm")</x:f>
        <x:v>2027-05</x:v>
      </x:c>
    </x:row>
    <x:row r="875" ht="19" customHeight="1">
      <x:c r="A875" s="2" t="n">
        <x:v>46531</x:v>
      </x:c>
      <x:c r="B875" t="str">
        <x:f>CHOOSE(WEEKDAY(A875,2),"Lunes","Martes","Miércoles","Jueves","Viernes","Sábado","Domingo")</x:f>
        <x:v>Lunes</x:v>
      </x:c>
      <x:c r="C875" t="str">
        <x:f>IF(COUNTIF(FERIADOS!$A$2:$A$250,A875)&gt;0,"SÍ","NO")</x:f>
        <x:v>SÍ</x:v>
      </x:c>
      <x:c r="D875" t="str">
        <x:f>IF(AND(WEEKDAY(A875,2)&lt;=5,C875="NO"),"SÍ","NO")</x:f>
        <x:v>NO</x:v>
      </x:c>
      <x:c r="E875" s="2" t="n">
        <x:f>WORKDAY.INTL(A875-1,1,1,FERIADOS!$A$2:$A$250)</x:f>
        <x:v>46532</x:v>
      </x:c>
      <x:c r="F875" t="str">
        <x:f>IF(E875&gt;=WORKDAY.INTL(EOMONTH(E875,0)+1,-2,1,FERIADOS!$A$2:$A$250),"SÍ","NO")</x:f>
        <x:v>NO</x:v>
      </x:c>
      <x:c r="G875" s="10" t="n">
        <x:f>IF(F875="SÍ",EOMONTH(E875,0)+1,DATE(YEAR(E875),MONTH(E875),1))</x:f>
        <x:v>46508</x:v>
      </x:c>
      <x:c r="H875" t="str">
        <x:f>IF(D875="NO",IF(C875="SÍ","FERIADO","FIN DE SEMANA"),"LABORABLE")&amp;IF(F875="SÍ"," + CIERRE","")</x:f>
        <x:v>FERIADO</x:v>
      </x:c>
      <x:c r="I875" t="str">
        <x:f>TEXT(G875,"yyyy-mm")</x:f>
        <x:v>2027-05</x:v>
      </x:c>
    </x:row>
    <x:row r="876" ht="19" customHeight="1">
      <x:c r="A876" s="2" t="n">
        <x:v>46532</x:v>
      </x:c>
      <x:c r="B876" t="str">
        <x:f>CHOOSE(WEEKDAY(A876,2),"Lunes","Martes","Miércoles","Jueves","Viernes","Sábado","Domingo")</x:f>
        <x:v>Martes</x:v>
      </x:c>
      <x:c r="C876" t="str">
        <x:f>IF(COUNTIF(FERIADOS!$A$2:$A$250,A876)&gt;0,"SÍ","NO")</x:f>
        <x:v>NO</x:v>
      </x:c>
      <x:c r="D876" t="str">
        <x:f>IF(AND(WEEKDAY(A876,2)&lt;=5,C876="NO"),"SÍ","NO")</x:f>
        <x:v>SÍ</x:v>
      </x:c>
      <x:c r="E876" s="2" t="n">
        <x:f>WORKDAY.INTL(A876-1,1,1,FERIADOS!$A$2:$A$250)</x:f>
        <x:v>46532</x:v>
      </x:c>
      <x:c r="F876" t="str">
        <x:f>IF(E876&gt;=WORKDAY.INTL(EOMONTH(E876,0)+1,-2,1,FERIADOS!$A$2:$A$250),"SÍ","NO")</x:f>
        <x:v>NO</x:v>
      </x:c>
      <x:c r="G876" s="10" t="n">
        <x:f>IF(F876="SÍ",EOMONTH(E876,0)+1,DATE(YEAR(E876),MONTH(E876),1))</x:f>
        <x:v>46508</x:v>
      </x:c>
      <x:c r="H876" t="str">
        <x:f>IF(D876="NO",IF(C876="SÍ","FERIADO","FIN DE SEMANA"),"LABORABLE")&amp;IF(F876="SÍ"," + CIERRE","")</x:f>
        <x:v>LABORABLE</x:v>
      </x:c>
      <x:c r="I876" t="str">
        <x:f>TEXT(G876,"yyyy-mm")</x:f>
        <x:v>2027-05</x:v>
      </x:c>
    </x:row>
    <x:row r="877" ht="19" customHeight="1">
      <x:c r="A877" s="2" t="n">
        <x:v>46533</x:v>
      </x:c>
      <x:c r="B877" t="str">
        <x:f>CHOOSE(WEEKDAY(A877,2),"Lunes","Martes","Miércoles","Jueves","Viernes","Sábado","Domingo")</x:f>
        <x:v>Miércoles</x:v>
      </x:c>
      <x:c r="C877" t="str">
        <x:f>IF(COUNTIF(FERIADOS!$A$2:$A$250,A877)&gt;0,"SÍ","NO")</x:f>
        <x:v>NO</x:v>
      </x:c>
      <x:c r="D877" t="str">
        <x:f>IF(AND(WEEKDAY(A877,2)&lt;=5,C877="NO"),"SÍ","NO")</x:f>
        <x:v>SÍ</x:v>
      </x:c>
      <x:c r="E877" s="2" t="n">
        <x:f>WORKDAY.INTL(A877-1,1,1,FERIADOS!$A$2:$A$250)</x:f>
        <x:v>46533</x:v>
      </x:c>
      <x:c r="F877" t="str">
        <x:f>IF(E877&gt;=WORKDAY.INTL(EOMONTH(E877,0)+1,-2,1,FERIADOS!$A$2:$A$250),"SÍ","NO")</x:f>
        <x:v>NO</x:v>
      </x:c>
      <x:c r="G877" s="10" t="n">
        <x:f>IF(F877="SÍ",EOMONTH(E877,0)+1,DATE(YEAR(E877),MONTH(E877),1))</x:f>
        <x:v>46508</x:v>
      </x:c>
      <x:c r="H877" t="str">
        <x:f>IF(D877="NO",IF(C877="SÍ","FERIADO","FIN DE SEMANA"),"LABORABLE")&amp;IF(F877="SÍ"," + CIERRE","")</x:f>
        <x:v>LABORABLE</x:v>
      </x:c>
      <x:c r="I877" t="str">
        <x:f>TEXT(G877,"yyyy-mm")</x:f>
        <x:v>2027-05</x:v>
      </x:c>
    </x:row>
    <x:row r="878" ht="19" customHeight="1">
      <x:c r="A878" s="2" t="n">
        <x:v>46534</x:v>
      </x:c>
      <x:c r="B878" t="str">
        <x:f>CHOOSE(WEEKDAY(A878,2),"Lunes","Martes","Miércoles","Jueves","Viernes","Sábado","Domingo")</x:f>
        <x:v>Jueves</x:v>
      </x:c>
      <x:c r="C878" t="str">
        <x:f>IF(COUNTIF(FERIADOS!$A$2:$A$250,A878)&gt;0,"SÍ","NO")</x:f>
        <x:v>NO</x:v>
      </x:c>
      <x:c r="D878" t="str">
        <x:f>IF(AND(WEEKDAY(A878,2)&lt;=5,C878="NO"),"SÍ","NO")</x:f>
        <x:v>SÍ</x:v>
      </x:c>
      <x:c r="E878" s="2" t="n">
        <x:f>WORKDAY.INTL(A878-1,1,1,FERIADOS!$A$2:$A$250)</x:f>
        <x:v>46534</x:v>
      </x:c>
      <x:c r="F878" t="str">
        <x:f>IF(E878&gt;=WORKDAY.INTL(EOMONTH(E878,0)+1,-2,1,FERIADOS!$A$2:$A$250),"SÍ","NO")</x:f>
        <x:v>NO</x:v>
      </x:c>
      <x:c r="G878" s="10" t="n">
        <x:f>IF(F878="SÍ",EOMONTH(E878,0)+1,DATE(YEAR(E878),MONTH(E878),1))</x:f>
        <x:v>46508</x:v>
      </x:c>
      <x:c r="H878" t="str">
        <x:f>IF(D878="NO",IF(C878="SÍ","FERIADO","FIN DE SEMANA"),"LABORABLE")&amp;IF(F878="SÍ"," + CIERRE","")</x:f>
        <x:v>LABORABLE</x:v>
      </x:c>
      <x:c r="I878" t="str">
        <x:f>TEXT(G878,"yyyy-mm")</x:f>
        <x:v>2027-05</x:v>
      </x:c>
    </x:row>
    <x:row r="879" ht="19" customHeight="1">
      <x:c r="A879" s="2" t="n">
        <x:v>46535</x:v>
      </x:c>
      <x:c r="B879" t="str">
        <x:f>CHOOSE(WEEKDAY(A879,2),"Lunes","Martes","Miércoles","Jueves","Viernes","Sábado","Domingo")</x:f>
        <x:v>Viernes</x:v>
      </x:c>
      <x:c r="C879" t="str">
        <x:f>IF(COUNTIF(FERIADOS!$A$2:$A$250,A879)&gt;0,"SÍ","NO")</x:f>
        <x:v>NO</x:v>
      </x:c>
      <x:c r="D879" t="str">
        <x:f>IF(AND(WEEKDAY(A879,2)&lt;=5,C879="NO"),"SÍ","NO")</x:f>
        <x:v>SÍ</x:v>
      </x:c>
      <x:c r="E879" s="2" t="n">
        <x:f>WORKDAY.INTL(A879-1,1,1,FERIADOS!$A$2:$A$250)</x:f>
        <x:v>46535</x:v>
      </x:c>
      <x:c r="F879" t="str">
        <x:f>IF(E879&gt;=WORKDAY.INTL(EOMONTH(E879,0)+1,-2,1,FERIADOS!$A$2:$A$250),"SÍ","NO")</x:f>
        <x:v>SÍ</x:v>
      </x:c>
      <x:c r="G879" s="10" t="n">
        <x:f>IF(F879="SÍ",EOMONTH(E879,0)+1,DATE(YEAR(E879),MONTH(E879),1))</x:f>
        <x:v>46539</x:v>
      </x:c>
      <x:c r="H879" t="str">
        <x:f>IF(D879="NO",IF(C879="SÍ","FERIADO","FIN DE SEMANA"),"LABORABLE")&amp;IF(F879="SÍ"," + CIERRE","")</x:f>
        <x:v>LABORABLE + CIERRE</x:v>
      </x:c>
      <x:c r="I879" t="str">
        <x:f>TEXT(G879,"yyyy-mm")</x:f>
        <x:v>2027-06</x:v>
      </x:c>
    </x:row>
    <x:row r="880" ht="19" customHeight="1">
      <x:c r="A880" s="2" t="n">
        <x:v>46536</x:v>
      </x:c>
      <x:c r="B880" t="str">
        <x:f>CHOOSE(WEEKDAY(A880,2),"Lunes","Martes","Miércoles","Jueves","Viernes","Sábado","Domingo")</x:f>
        <x:v>Sábado</x:v>
      </x:c>
      <x:c r="C880" t="str">
        <x:f>IF(COUNTIF(FERIADOS!$A$2:$A$250,A880)&gt;0,"SÍ","NO")</x:f>
        <x:v>NO</x:v>
      </x:c>
      <x:c r="D880" t="str">
        <x:f>IF(AND(WEEKDAY(A880,2)&lt;=5,C880="NO"),"SÍ","NO")</x:f>
        <x:v>NO</x:v>
      </x:c>
      <x:c r="E880" s="2" t="n">
        <x:f>WORKDAY.INTL(A880-1,1,1,FERIADOS!$A$2:$A$250)</x:f>
        <x:v>46538</x:v>
      </x:c>
      <x:c r="F880" t="str">
        <x:f>IF(E880&gt;=WORKDAY.INTL(EOMONTH(E880,0)+1,-2,1,FERIADOS!$A$2:$A$250),"SÍ","NO")</x:f>
        <x:v>SÍ</x:v>
      </x:c>
      <x:c r="G880" s="10" t="n">
        <x:f>IF(F880="SÍ",EOMONTH(E880,0)+1,DATE(YEAR(E880),MONTH(E880),1))</x:f>
        <x:v>46539</x:v>
      </x:c>
      <x:c r="H880" t="str">
        <x:f>IF(D880="NO",IF(C880="SÍ","FERIADO","FIN DE SEMANA"),"LABORABLE")&amp;IF(F880="SÍ"," + CIERRE","")</x:f>
        <x:v>FIN DE SEMANA + CIERRE</x:v>
      </x:c>
      <x:c r="I880" t="str">
        <x:f>TEXT(G880,"yyyy-mm")</x:f>
        <x:v>2027-06</x:v>
      </x:c>
    </x:row>
    <x:row r="881" ht="19" customHeight="1">
      <x:c r="A881" s="2" t="n">
        <x:v>46537</x:v>
      </x:c>
      <x:c r="B881" t="str">
        <x:f>CHOOSE(WEEKDAY(A881,2),"Lunes","Martes","Miércoles","Jueves","Viernes","Sábado","Domingo")</x:f>
        <x:v>Domingo</x:v>
      </x:c>
      <x:c r="C881" t="str">
        <x:f>IF(COUNTIF(FERIADOS!$A$2:$A$250,A881)&gt;0,"SÍ","NO")</x:f>
        <x:v>NO</x:v>
      </x:c>
      <x:c r="D881" t="str">
        <x:f>IF(AND(WEEKDAY(A881,2)&lt;=5,C881="NO"),"SÍ","NO")</x:f>
        <x:v>NO</x:v>
      </x:c>
      <x:c r="E881" s="2" t="n">
        <x:f>WORKDAY.INTL(A881-1,1,1,FERIADOS!$A$2:$A$250)</x:f>
        <x:v>46538</x:v>
      </x:c>
      <x:c r="F881" t="str">
        <x:f>IF(E881&gt;=WORKDAY.INTL(EOMONTH(E881,0)+1,-2,1,FERIADOS!$A$2:$A$250),"SÍ","NO")</x:f>
        <x:v>SÍ</x:v>
      </x:c>
      <x:c r="G881" s="10" t="n">
        <x:f>IF(F881="SÍ",EOMONTH(E881,0)+1,DATE(YEAR(E881),MONTH(E881),1))</x:f>
        <x:v>46539</x:v>
      </x:c>
      <x:c r="H881" t="str">
        <x:f>IF(D881="NO",IF(C881="SÍ","FERIADO","FIN DE SEMANA"),"LABORABLE")&amp;IF(F881="SÍ"," + CIERRE","")</x:f>
        <x:v>FIN DE SEMANA + CIERRE</x:v>
      </x:c>
      <x:c r="I881" t="str">
        <x:f>TEXT(G881,"yyyy-mm")</x:f>
        <x:v>2027-06</x:v>
      </x:c>
    </x:row>
    <x:row r="882" ht="19" customHeight="1">
      <x:c r="A882" s="2" t="n">
        <x:v>46538</x:v>
      </x:c>
      <x:c r="B882" t="str">
        <x:f>CHOOSE(WEEKDAY(A882,2),"Lunes","Martes","Miércoles","Jueves","Viernes","Sábado","Domingo")</x:f>
        <x:v>Lunes</x:v>
      </x:c>
      <x:c r="C882" t="str">
        <x:f>IF(COUNTIF(FERIADOS!$A$2:$A$250,A882)&gt;0,"SÍ","NO")</x:f>
        <x:v>NO</x:v>
      </x:c>
      <x:c r="D882" t="str">
        <x:f>IF(AND(WEEKDAY(A882,2)&lt;=5,C882="NO"),"SÍ","NO")</x:f>
        <x:v>SÍ</x:v>
      </x:c>
      <x:c r="E882" s="2" t="n">
        <x:f>WORKDAY.INTL(A882-1,1,1,FERIADOS!$A$2:$A$250)</x:f>
        <x:v>46538</x:v>
      </x:c>
      <x:c r="F882" t="str">
        <x:f>IF(E882&gt;=WORKDAY.INTL(EOMONTH(E882,0)+1,-2,1,FERIADOS!$A$2:$A$250),"SÍ","NO")</x:f>
        <x:v>SÍ</x:v>
      </x:c>
      <x:c r="G882" s="10" t="n">
        <x:f>IF(F882="SÍ",EOMONTH(E882,0)+1,DATE(YEAR(E882),MONTH(E882),1))</x:f>
        <x:v>46539</x:v>
      </x:c>
      <x:c r="H882" t="str">
        <x:f>IF(D882="NO",IF(C882="SÍ","FERIADO","FIN DE SEMANA"),"LABORABLE")&amp;IF(F882="SÍ"," + CIERRE","")</x:f>
        <x:v>LABORABLE + CIERRE</x:v>
      </x:c>
      <x:c r="I882" t="str">
        <x:f>TEXT(G882,"yyyy-mm")</x:f>
        <x:v>2027-06</x:v>
      </x:c>
    </x:row>
    <x:row r="883" ht="19" customHeight="1">
      <x:c r="A883" s="2" t="n">
        <x:v>46539</x:v>
      </x:c>
      <x:c r="B883" t="str">
        <x:f>CHOOSE(WEEKDAY(A883,2),"Lunes","Martes","Miércoles","Jueves","Viernes","Sábado","Domingo")</x:f>
        <x:v>Martes</x:v>
      </x:c>
      <x:c r="C883" t="str">
        <x:f>IF(COUNTIF(FERIADOS!$A$2:$A$250,A883)&gt;0,"SÍ","NO")</x:f>
        <x:v>NO</x:v>
      </x:c>
      <x:c r="D883" t="str">
        <x:f>IF(AND(WEEKDAY(A883,2)&lt;=5,C883="NO"),"SÍ","NO")</x:f>
        <x:v>SÍ</x:v>
      </x:c>
      <x:c r="E883" s="2" t="n">
        <x:f>WORKDAY.INTL(A883-1,1,1,FERIADOS!$A$2:$A$250)</x:f>
        <x:v>46539</x:v>
      </x:c>
      <x:c r="F883" t="str">
        <x:f>IF(E883&gt;=WORKDAY.INTL(EOMONTH(E883,0)+1,-2,1,FERIADOS!$A$2:$A$250),"SÍ","NO")</x:f>
        <x:v>NO</x:v>
      </x:c>
      <x:c r="G883" s="10" t="n">
        <x:f>IF(F883="SÍ",EOMONTH(E883,0)+1,DATE(YEAR(E883),MONTH(E883),1))</x:f>
        <x:v>46539</x:v>
      </x:c>
      <x:c r="H883" t="str">
        <x:f>IF(D883="NO",IF(C883="SÍ","FERIADO","FIN DE SEMANA"),"LABORABLE")&amp;IF(F883="SÍ"," + CIERRE","")</x:f>
        <x:v>LABORABLE</x:v>
      </x:c>
      <x:c r="I883" t="str">
        <x:f>TEXT(G883,"yyyy-mm")</x:f>
        <x:v>2027-06</x:v>
      </x:c>
    </x:row>
    <x:row r="884" ht="19" customHeight="1">
      <x:c r="A884" s="2" t="n">
        <x:v>46540</x:v>
      </x:c>
      <x:c r="B884" t="str">
        <x:f>CHOOSE(WEEKDAY(A884,2),"Lunes","Martes","Miércoles","Jueves","Viernes","Sábado","Domingo")</x:f>
        <x:v>Miércoles</x:v>
      </x:c>
      <x:c r="C884" t="str">
        <x:f>IF(COUNTIF(FERIADOS!$A$2:$A$250,A884)&gt;0,"SÍ","NO")</x:f>
        <x:v>NO</x:v>
      </x:c>
      <x:c r="D884" t="str">
        <x:f>IF(AND(WEEKDAY(A884,2)&lt;=5,C884="NO"),"SÍ","NO")</x:f>
        <x:v>SÍ</x:v>
      </x:c>
      <x:c r="E884" s="2" t="n">
        <x:f>WORKDAY.INTL(A884-1,1,1,FERIADOS!$A$2:$A$250)</x:f>
        <x:v>46540</x:v>
      </x:c>
      <x:c r="F884" t="str">
        <x:f>IF(E884&gt;=WORKDAY.INTL(EOMONTH(E884,0)+1,-2,1,FERIADOS!$A$2:$A$250),"SÍ","NO")</x:f>
        <x:v>NO</x:v>
      </x:c>
      <x:c r="G884" s="10" t="n">
        <x:f>IF(F884="SÍ",EOMONTH(E884,0)+1,DATE(YEAR(E884),MONTH(E884),1))</x:f>
        <x:v>46539</x:v>
      </x:c>
      <x:c r="H884" t="str">
        <x:f>IF(D884="NO",IF(C884="SÍ","FERIADO","FIN DE SEMANA"),"LABORABLE")&amp;IF(F884="SÍ"," + CIERRE","")</x:f>
        <x:v>LABORABLE</x:v>
      </x:c>
      <x:c r="I884" t="str">
        <x:f>TEXT(G884,"yyyy-mm")</x:f>
        <x:v>2027-06</x:v>
      </x:c>
    </x:row>
    <x:row r="885" ht="19" customHeight="1">
      <x:c r="A885" s="2" t="n">
        <x:v>46541</x:v>
      </x:c>
      <x:c r="B885" t="str">
        <x:f>CHOOSE(WEEKDAY(A885,2),"Lunes","Martes","Miércoles","Jueves","Viernes","Sábado","Domingo")</x:f>
        <x:v>Jueves</x:v>
      </x:c>
      <x:c r="C885" t="str">
        <x:f>IF(COUNTIF(FERIADOS!$A$2:$A$250,A885)&gt;0,"SÍ","NO")</x:f>
        <x:v>NO</x:v>
      </x:c>
      <x:c r="D885" t="str">
        <x:f>IF(AND(WEEKDAY(A885,2)&lt;=5,C885="NO"),"SÍ","NO")</x:f>
        <x:v>SÍ</x:v>
      </x:c>
      <x:c r="E885" s="2" t="n">
        <x:f>WORKDAY.INTL(A885-1,1,1,FERIADOS!$A$2:$A$250)</x:f>
        <x:v>46541</x:v>
      </x:c>
      <x:c r="F885" t="str">
        <x:f>IF(E885&gt;=WORKDAY.INTL(EOMONTH(E885,0)+1,-2,1,FERIADOS!$A$2:$A$250),"SÍ","NO")</x:f>
        <x:v>NO</x:v>
      </x:c>
      <x:c r="G885" s="10" t="n">
        <x:f>IF(F885="SÍ",EOMONTH(E885,0)+1,DATE(YEAR(E885),MONTH(E885),1))</x:f>
        <x:v>46539</x:v>
      </x:c>
      <x:c r="H885" t="str">
        <x:f>IF(D885="NO",IF(C885="SÍ","FERIADO","FIN DE SEMANA"),"LABORABLE")&amp;IF(F885="SÍ"," + CIERRE","")</x:f>
        <x:v>LABORABLE</x:v>
      </x:c>
      <x:c r="I885" t="str">
        <x:f>TEXT(G885,"yyyy-mm")</x:f>
        <x:v>2027-06</x:v>
      </x:c>
    </x:row>
    <x:row r="886" ht="19" customHeight="1">
      <x:c r="A886" s="2" t="n">
        <x:v>46542</x:v>
      </x:c>
      <x:c r="B886" t="str">
        <x:f>CHOOSE(WEEKDAY(A886,2),"Lunes","Martes","Miércoles","Jueves","Viernes","Sábado","Domingo")</x:f>
        <x:v>Viernes</x:v>
      </x:c>
      <x:c r="C886" t="str">
        <x:f>IF(COUNTIF(FERIADOS!$A$2:$A$250,A886)&gt;0,"SÍ","NO")</x:f>
        <x:v>NO</x:v>
      </x:c>
      <x:c r="D886" t="str">
        <x:f>IF(AND(WEEKDAY(A886,2)&lt;=5,C886="NO"),"SÍ","NO")</x:f>
        <x:v>SÍ</x:v>
      </x:c>
      <x:c r="E886" s="2" t="n">
        <x:f>WORKDAY.INTL(A886-1,1,1,FERIADOS!$A$2:$A$250)</x:f>
        <x:v>46542</x:v>
      </x:c>
      <x:c r="F886" t="str">
        <x:f>IF(E886&gt;=WORKDAY.INTL(EOMONTH(E886,0)+1,-2,1,FERIADOS!$A$2:$A$250),"SÍ","NO")</x:f>
        <x:v>NO</x:v>
      </x:c>
      <x:c r="G886" s="10" t="n">
        <x:f>IF(F886="SÍ",EOMONTH(E886,0)+1,DATE(YEAR(E886),MONTH(E886),1))</x:f>
        <x:v>46539</x:v>
      </x:c>
      <x:c r="H886" t="str">
        <x:f>IF(D886="NO",IF(C886="SÍ","FERIADO","FIN DE SEMANA"),"LABORABLE")&amp;IF(F886="SÍ"," + CIERRE","")</x:f>
        <x:v>LABORABLE</x:v>
      </x:c>
      <x:c r="I886" t="str">
        <x:f>TEXT(G886,"yyyy-mm")</x:f>
        <x:v>2027-06</x:v>
      </x:c>
    </x:row>
    <x:row r="887" ht="19" customHeight="1">
      <x:c r="A887" s="2" t="n">
        <x:v>46543</x:v>
      </x:c>
      <x:c r="B887" t="str">
        <x:f>CHOOSE(WEEKDAY(A887,2),"Lunes","Martes","Miércoles","Jueves","Viernes","Sábado","Domingo")</x:f>
        <x:v>Sábado</x:v>
      </x:c>
      <x:c r="C887" t="str">
        <x:f>IF(COUNTIF(FERIADOS!$A$2:$A$250,A887)&gt;0,"SÍ","NO")</x:f>
        <x:v>NO</x:v>
      </x:c>
      <x:c r="D887" t="str">
        <x:f>IF(AND(WEEKDAY(A887,2)&lt;=5,C887="NO"),"SÍ","NO")</x:f>
        <x:v>NO</x:v>
      </x:c>
      <x:c r="E887" s="2" t="n">
        <x:f>WORKDAY.INTL(A887-1,1,1,FERIADOS!$A$2:$A$250)</x:f>
        <x:v>46545</x:v>
      </x:c>
      <x:c r="F887" t="str">
        <x:f>IF(E887&gt;=WORKDAY.INTL(EOMONTH(E887,0)+1,-2,1,FERIADOS!$A$2:$A$250),"SÍ","NO")</x:f>
        <x:v>NO</x:v>
      </x:c>
      <x:c r="G887" s="10" t="n">
        <x:f>IF(F887="SÍ",EOMONTH(E887,0)+1,DATE(YEAR(E887),MONTH(E887),1))</x:f>
        <x:v>46539</x:v>
      </x:c>
      <x:c r="H887" t="str">
        <x:f>IF(D887="NO",IF(C887="SÍ","FERIADO","FIN DE SEMANA"),"LABORABLE")&amp;IF(F887="SÍ"," + CIERRE","")</x:f>
        <x:v>FIN DE SEMANA</x:v>
      </x:c>
      <x:c r="I887" t="str">
        <x:f>TEXT(G887,"yyyy-mm")</x:f>
        <x:v>2027-06</x:v>
      </x:c>
    </x:row>
    <x:row r="888" ht="19" customHeight="1">
      <x:c r="A888" s="2" t="n">
        <x:v>46544</x:v>
      </x:c>
      <x:c r="B888" t="str">
        <x:f>CHOOSE(WEEKDAY(A888,2),"Lunes","Martes","Miércoles","Jueves","Viernes","Sábado","Domingo")</x:f>
        <x:v>Domingo</x:v>
      </x:c>
      <x:c r="C888" t="str">
        <x:f>IF(COUNTIF(FERIADOS!$A$2:$A$250,A888)&gt;0,"SÍ","NO")</x:f>
        <x:v>NO</x:v>
      </x:c>
      <x:c r="D888" t="str">
        <x:f>IF(AND(WEEKDAY(A888,2)&lt;=5,C888="NO"),"SÍ","NO")</x:f>
        <x:v>NO</x:v>
      </x:c>
      <x:c r="E888" s="2" t="n">
        <x:f>WORKDAY.INTL(A888-1,1,1,FERIADOS!$A$2:$A$250)</x:f>
        <x:v>46545</x:v>
      </x:c>
      <x:c r="F888" t="str">
        <x:f>IF(E888&gt;=WORKDAY.INTL(EOMONTH(E888,0)+1,-2,1,FERIADOS!$A$2:$A$250),"SÍ","NO")</x:f>
        <x:v>NO</x:v>
      </x:c>
      <x:c r="G888" s="10" t="n">
        <x:f>IF(F888="SÍ",EOMONTH(E888,0)+1,DATE(YEAR(E888),MONTH(E888),1))</x:f>
        <x:v>46539</x:v>
      </x:c>
      <x:c r="H888" t="str">
        <x:f>IF(D888="NO",IF(C888="SÍ","FERIADO","FIN DE SEMANA"),"LABORABLE")&amp;IF(F888="SÍ"," + CIERRE","")</x:f>
        <x:v>FIN DE SEMANA</x:v>
      </x:c>
      <x:c r="I888" t="str">
        <x:f>TEXT(G888,"yyyy-mm")</x:f>
        <x:v>2027-06</x:v>
      </x:c>
    </x:row>
    <x:row r="889" ht="19" customHeight="1">
      <x:c r="A889" s="2" t="n">
        <x:v>46545</x:v>
      </x:c>
      <x:c r="B889" t="str">
        <x:f>CHOOSE(WEEKDAY(A889,2),"Lunes","Martes","Miércoles","Jueves","Viernes","Sábado","Domingo")</x:f>
        <x:v>Lunes</x:v>
      </x:c>
      <x:c r="C889" t="str">
        <x:f>IF(COUNTIF(FERIADOS!$A$2:$A$250,A889)&gt;0,"SÍ","NO")</x:f>
        <x:v>NO</x:v>
      </x:c>
      <x:c r="D889" t="str">
        <x:f>IF(AND(WEEKDAY(A889,2)&lt;=5,C889="NO"),"SÍ","NO")</x:f>
        <x:v>SÍ</x:v>
      </x:c>
      <x:c r="E889" s="2" t="n">
        <x:f>WORKDAY.INTL(A889-1,1,1,FERIADOS!$A$2:$A$250)</x:f>
        <x:v>46545</x:v>
      </x:c>
      <x:c r="F889" t="str">
        <x:f>IF(E889&gt;=WORKDAY.INTL(EOMONTH(E889,0)+1,-2,1,FERIADOS!$A$2:$A$250),"SÍ","NO")</x:f>
        <x:v>NO</x:v>
      </x:c>
      <x:c r="G889" s="10" t="n">
        <x:f>IF(F889="SÍ",EOMONTH(E889,0)+1,DATE(YEAR(E889),MONTH(E889),1))</x:f>
        <x:v>46539</x:v>
      </x:c>
      <x:c r="H889" t="str">
        <x:f>IF(D889="NO",IF(C889="SÍ","FERIADO","FIN DE SEMANA"),"LABORABLE")&amp;IF(F889="SÍ"," + CIERRE","")</x:f>
        <x:v>LABORABLE</x:v>
      </x:c>
      <x:c r="I889" t="str">
        <x:f>TEXT(G889,"yyyy-mm")</x:f>
        <x:v>2027-06</x:v>
      </x:c>
    </x:row>
    <x:row r="890" ht="19" customHeight="1">
      <x:c r="A890" s="2" t="n">
        <x:v>46546</x:v>
      </x:c>
      <x:c r="B890" t="str">
        <x:f>CHOOSE(WEEKDAY(A890,2),"Lunes","Martes","Miércoles","Jueves","Viernes","Sábado","Domingo")</x:f>
        <x:v>Martes</x:v>
      </x:c>
      <x:c r="C890" t="str">
        <x:f>IF(COUNTIF(FERIADOS!$A$2:$A$250,A890)&gt;0,"SÍ","NO")</x:f>
        <x:v>NO</x:v>
      </x:c>
      <x:c r="D890" t="str">
        <x:f>IF(AND(WEEKDAY(A890,2)&lt;=5,C890="NO"),"SÍ","NO")</x:f>
        <x:v>SÍ</x:v>
      </x:c>
      <x:c r="E890" s="2" t="n">
        <x:f>WORKDAY.INTL(A890-1,1,1,FERIADOS!$A$2:$A$250)</x:f>
        <x:v>46546</x:v>
      </x:c>
      <x:c r="F890" t="str">
        <x:f>IF(E890&gt;=WORKDAY.INTL(EOMONTH(E890,0)+1,-2,1,FERIADOS!$A$2:$A$250),"SÍ","NO")</x:f>
        <x:v>NO</x:v>
      </x:c>
      <x:c r="G890" s="10" t="n">
        <x:f>IF(F890="SÍ",EOMONTH(E890,0)+1,DATE(YEAR(E890),MONTH(E890),1))</x:f>
        <x:v>46539</x:v>
      </x:c>
      <x:c r="H890" t="str">
        <x:f>IF(D890="NO",IF(C890="SÍ","FERIADO","FIN DE SEMANA"),"LABORABLE")&amp;IF(F890="SÍ"," + CIERRE","")</x:f>
        <x:v>LABORABLE</x:v>
      </x:c>
      <x:c r="I890" t="str">
        <x:f>TEXT(G890,"yyyy-mm")</x:f>
        <x:v>2027-06</x:v>
      </x:c>
    </x:row>
    <x:row r="891" ht="19" customHeight="1">
      <x:c r="A891" s="2" t="n">
        <x:v>46547</x:v>
      </x:c>
      <x:c r="B891" t="str">
        <x:f>CHOOSE(WEEKDAY(A891,2),"Lunes","Martes","Miércoles","Jueves","Viernes","Sábado","Domingo")</x:f>
        <x:v>Miércoles</x:v>
      </x:c>
      <x:c r="C891" t="str">
        <x:f>IF(COUNTIF(FERIADOS!$A$2:$A$250,A891)&gt;0,"SÍ","NO")</x:f>
        <x:v>NO</x:v>
      </x:c>
      <x:c r="D891" t="str">
        <x:f>IF(AND(WEEKDAY(A891,2)&lt;=5,C891="NO"),"SÍ","NO")</x:f>
        <x:v>SÍ</x:v>
      </x:c>
      <x:c r="E891" s="2" t="n">
        <x:f>WORKDAY.INTL(A891-1,1,1,FERIADOS!$A$2:$A$250)</x:f>
        <x:v>46547</x:v>
      </x:c>
      <x:c r="F891" t="str">
        <x:f>IF(E891&gt;=WORKDAY.INTL(EOMONTH(E891,0)+1,-2,1,FERIADOS!$A$2:$A$250),"SÍ","NO")</x:f>
        <x:v>NO</x:v>
      </x:c>
      <x:c r="G891" s="10" t="n">
        <x:f>IF(F891="SÍ",EOMONTH(E891,0)+1,DATE(YEAR(E891),MONTH(E891),1))</x:f>
        <x:v>46539</x:v>
      </x:c>
      <x:c r="H891" t="str">
        <x:f>IF(D891="NO",IF(C891="SÍ","FERIADO","FIN DE SEMANA"),"LABORABLE")&amp;IF(F891="SÍ"," + CIERRE","")</x:f>
        <x:v>LABORABLE</x:v>
      </x:c>
      <x:c r="I891" t="str">
        <x:f>TEXT(G891,"yyyy-mm")</x:f>
        <x:v>2027-06</x:v>
      </x:c>
    </x:row>
    <x:row r="892" ht="19" customHeight="1">
      <x:c r="A892" s="2" t="n">
        <x:v>46548</x:v>
      </x:c>
      <x:c r="B892" t="str">
        <x:f>CHOOSE(WEEKDAY(A892,2),"Lunes","Martes","Miércoles","Jueves","Viernes","Sábado","Domingo")</x:f>
        <x:v>Jueves</x:v>
      </x:c>
      <x:c r="C892" t="str">
        <x:f>IF(COUNTIF(FERIADOS!$A$2:$A$250,A892)&gt;0,"SÍ","NO")</x:f>
        <x:v>NO</x:v>
      </x:c>
      <x:c r="D892" t="str">
        <x:f>IF(AND(WEEKDAY(A892,2)&lt;=5,C892="NO"),"SÍ","NO")</x:f>
        <x:v>SÍ</x:v>
      </x:c>
      <x:c r="E892" s="2" t="n">
        <x:f>WORKDAY.INTL(A892-1,1,1,FERIADOS!$A$2:$A$250)</x:f>
        <x:v>46548</x:v>
      </x:c>
      <x:c r="F892" t="str">
        <x:f>IF(E892&gt;=WORKDAY.INTL(EOMONTH(E892,0)+1,-2,1,FERIADOS!$A$2:$A$250),"SÍ","NO")</x:f>
        <x:v>NO</x:v>
      </x:c>
      <x:c r="G892" s="10" t="n">
        <x:f>IF(F892="SÍ",EOMONTH(E892,0)+1,DATE(YEAR(E892),MONTH(E892),1))</x:f>
        <x:v>46539</x:v>
      </x:c>
      <x:c r="H892" t="str">
        <x:f>IF(D892="NO",IF(C892="SÍ","FERIADO","FIN DE SEMANA"),"LABORABLE")&amp;IF(F892="SÍ"," + CIERRE","")</x:f>
        <x:v>LABORABLE</x:v>
      </x:c>
      <x:c r="I892" t="str">
        <x:f>TEXT(G892,"yyyy-mm")</x:f>
        <x:v>2027-06</x:v>
      </x:c>
    </x:row>
    <x:row r="893" ht="19" customHeight="1">
      <x:c r="A893" s="2" t="n">
        <x:v>46549</x:v>
      </x:c>
      <x:c r="B893" t="str">
        <x:f>CHOOSE(WEEKDAY(A893,2),"Lunes","Martes","Miércoles","Jueves","Viernes","Sábado","Domingo")</x:f>
        <x:v>Viernes</x:v>
      </x:c>
      <x:c r="C893" t="str">
        <x:f>IF(COUNTIF(FERIADOS!$A$2:$A$250,A893)&gt;0,"SÍ","NO")</x:f>
        <x:v>NO</x:v>
      </x:c>
      <x:c r="D893" t="str">
        <x:f>IF(AND(WEEKDAY(A893,2)&lt;=5,C893="NO"),"SÍ","NO")</x:f>
        <x:v>SÍ</x:v>
      </x:c>
      <x:c r="E893" s="2" t="n">
        <x:f>WORKDAY.INTL(A893-1,1,1,FERIADOS!$A$2:$A$250)</x:f>
        <x:v>46549</x:v>
      </x:c>
      <x:c r="F893" t="str">
        <x:f>IF(E893&gt;=WORKDAY.INTL(EOMONTH(E893,0)+1,-2,1,FERIADOS!$A$2:$A$250),"SÍ","NO")</x:f>
        <x:v>NO</x:v>
      </x:c>
      <x:c r="G893" s="10" t="n">
        <x:f>IF(F893="SÍ",EOMONTH(E893,0)+1,DATE(YEAR(E893),MONTH(E893),1))</x:f>
        <x:v>46539</x:v>
      </x:c>
      <x:c r="H893" t="str">
        <x:f>IF(D893="NO",IF(C893="SÍ","FERIADO","FIN DE SEMANA"),"LABORABLE")&amp;IF(F893="SÍ"," + CIERRE","")</x:f>
        <x:v>LABORABLE</x:v>
      </x:c>
      <x:c r="I893" t="str">
        <x:f>TEXT(G893,"yyyy-mm")</x:f>
        <x:v>2027-06</x:v>
      </x:c>
    </x:row>
    <x:row r="894" ht="19" customHeight="1">
      <x:c r="A894" s="2" t="n">
        <x:v>46550</x:v>
      </x:c>
      <x:c r="B894" t="str">
        <x:f>CHOOSE(WEEKDAY(A894,2),"Lunes","Martes","Miércoles","Jueves","Viernes","Sábado","Domingo")</x:f>
        <x:v>Sábado</x:v>
      </x:c>
      <x:c r="C894" t="str">
        <x:f>IF(COUNTIF(FERIADOS!$A$2:$A$250,A894)&gt;0,"SÍ","NO")</x:f>
        <x:v>NO</x:v>
      </x:c>
      <x:c r="D894" t="str">
        <x:f>IF(AND(WEEKDAY(A894,2)&lt;=5,C894="NO"),"SÍ","NO")</x:f>
        <x:v>NO</x:v>
      </x:c>
      <x:c r="E894" s="2" t="n">
        <x:f>WORKDAY.INTL(A894-1,1,1,FERIADOS!$A$2:$A$250)</x:f>
        <x:v>46552</x:v>
      </x:c>
      <x:c r="F894" t="str">
        <x:f>IF(E894&gt;=WORKDAY.INTL(EOMONTH(E894,0)+1,-2,1,FERIADOS!$A$2:$A$250),"SÍ","NO")</x:f>
        <x:v>NO</x:v>
      </x:c>
      <x:c r="G894" s="10" t="n">
        <x:f>IF(F894="SÍ",EOMONTH(E894,0)+1,DATE(YEAR(E894),MONTH(E894),1))</x:f>
        <x:v>46539</x:v>
      </x:c>
      <x:c r="H894" t="str">
        <x:f>IF(D894="NO",IF(C894="SÍ","FERIADO","FIN DE SEMANA"),"LABORABLE")&amp;IF(F894="SÍ"," + CIERRE","")</x:f>
        <x:v>FIN DE SEMANA</x:v>
      </x:c>
      <x:c r="I894" t="str">
        <x:f>TEXT(G894,"yyyy-mm")</x:f>
        <x:v>2027-06</x:v>
      </x:c>
    </x:row>
    <x:row r="895" ht="19" customHeight="1">
      <x:c r="A895" s="2" t="n">
        <x:v>46551</x:v>
      </x:c>
      <x:c r="B895" t="str">
        <x:f>CHOOSE(WEEKDAY(A895,2),"Lunes","Martes","Miércoles","Jueves","Viernes","Sábado","Domingo")</x:f>
        <x:v>Domingo</x:v>
      </x:c>
      <x:c r="C895" t="str">
        <x:f>IF(COUNTIF(FERIADOS!$A$2:$A$250,A895)&gt;0,"SÍ","NO")</x:f>
        <x:v>NO</x:v>
      </x:c>
      <x:c r="D895" t="str">
        <x:f>IF(AND(WEEKDAY(A895,2)&lt;=5,C895="NO"),"SÍ","NO")</x:f>
        <x:v>NO</x:v>
      </x:c>
      <x:c r="E895" s="2" t="n">
        <x:f>WORKDAY.INTL(A895-1,1,1,FERIADOS!$A$2:$A$250)</x:f>
        <x:v>46552</x:v>
      </x:c>
      <x:c r="F895" t="str">
        <x:f>IF(E895&gt;=WORKDAY.INTL(EOMONTH(E895,0)+1,-2,1,FERIADOS!$A$2:$A$250),"SÍ","NO")</x:f>
        <x:v>NO</x:v>
      </x:c>
      <x:c r="G895" s="10" t="n">
        <x:f>IF(F895="SÍ",EOMONTH(E895,0)+1,DATE(YEAR(E895),MONTH(E895),1))</x:f>
        <x:v>46539</x:v>
      </x:c>
      <x:c r="H895" t="str">
        <x:f>IF(D895="NO",IF(C895="SÍ","FERIADO","FIN DE SEMANA"),"LABORABLE")&amp;IF(F895="SÍ"," + CIERRE","")</x:f>
        <x:v>FIN DE SEMANA</x:v>
      </x:c>
      <x:c r="I895" t="str">
        <x:f>TEXT(G895,"yyyy-mm")</x:f>
        <x:v>2027-06</x:v>
      </x:c>
    </x:row>
    <x:row r="896" ht="19" customHeight="1">
      <x:c r="A896" s="2" t="n">
        <x:v>46552</x:v>
      </x:c>
      <x:c r="B896" t="str">
        <x:f>CHOOSE(WEEKDAY(A896,2),"Lunes","Martes","Miércoles","Jueves","Viernes","Sábado","Domingo")</x:f>
        <x:v>Lunes</x:v>
      </x:c>
      <x:c r="C896" t="str">
        <x:f>IF(COUNTIF(FERIADOS!$A$2:$A$250,A896)&gt;0,"SÍ","NO")</x:f>
        <x:v>NO</x:v>
      </x:c>
      <x:c r="D896" t="str">
        <x:f>IF(AND(WEEKDAY(A896,2)&lt;=5,C896="NO"),"SÍ","NO")</x:f>
        <x:v>SÍ</x:v>
      </x:c>
      <x:c r="E896" s="2" t="n">
        <x:f>WORKDAY.INTL(A896-1,1,1,FERIADOS!$A$2:$A$250)</x:f>
        <x:v>46552</x:v>
      </x:c>
      <x:c r="F896" t="str">
        <x:f>IF(E896&gt;=WORKDAY.INTL(EOMONTH(E896,0)+1,-2,1,FERIADOS!$A$2:$A$250),"SÍ","NO")</x:f>
        <x:v>NO</x:v>
      </x:c>
      <x:c r="G896" s="10" t="n">
        <x:f>IF(F896="SÍ",EOMONTH(E896,0)+1,DATE(YEAR(E896),MONTH(E896),1))</x:f>
        <x:v>46539</x:v>
      </x:c>
      <x:c r="H896" t="str">
        <x:f>IF(D896="NO",IF(C896="SÍ","FERIADO","FIN DE SEMANA"),"LABORABLE")&amp;IF(F896="SÍ"," + CIERRE","")</x:f>
        <x:v>LABORABLE</x:v>
      </x:c>
      <x:c r="I896" t="str">
        <x:f>TEXT(G896,"yyyy-mm")</x:f>
        <x:v>2027-06</x:v>
      </x:c>
    </x:row>
    <x:row r="897" ht="19" customHeight="1">
      <x:c r="A897" s="2" t="n">
        <x:v>46553</x:v>
      </x:c>
      <x:c r="B897" t="str">
        <x:f>CHOOSE(WEEKDAY(A897,2),"Lunes","Martes","Miércoles","Jueves","Viernes","Sábado","Domingo")</x:f>
        <x:v>Martes</x:v>
      </x:c>
      <x:c r="C897" t="str">
        <x:f>IF(COUNTIF(FERIADOS!$A$2:$A$250,A897)&gt;0,"SÍ","NO")</x:f>
        <x:v>NO</x:v>
      </x:c>
      <x:c r="D897" t="str">
        <x:f>IF(AND(WEEKDAY(A897,2)&lt;=5,C897="NO"),"SÍ","NO")</x:f>
        <x:v>SÍ</x:v>
      </x:c>
      <x:c r="E897" s="2" t="n">
        <x:f>WORKDAY.INTL(A897-1,1,1,FERIADOS!$A$2:$A$250)</x:f>
        <x:v>46553</x:v>
      </x:c>
      <x:c r="F897" t="str">
        <x:f>IF(E897&gt;=WORKDAY.INTL(EOMONTH(E897,0)+1,-2,1,FERIADOS!$A$2:$A$250),"SÍ","NO")</x:f>
        <x:v>NO</x:v>
      </x:c>
      <x:c r="G897" s="10" t="n">
        <x:f>IF(F897="SÍ",EOMONTH(E897,0)+1,DATE(YEAR(E897),MONTH(E897),1))</x:f>
        <x:v>46539</x:v>
      </x:c>
      <x:c r="H897" t="str">
        <x:f>IF(D897="NO",IF(C897="SÍ","FERIADO","FIN DE SEMANA"),"LABORABLE")&amp;IF(F897="SÍ"," + CIERRE","")</x:f>
        <x:v>LABORABLE</x:v>
      </x:c>
      <x:c r="I897" t="str">
        <x:f>TEXT(G897,"yyyy-mm")</x:f>
        <x:v>2027-06</x:v>
      </x:c>
    </x:row>
    <x:row r="898" ht="19" customHeight="1">
      <x:c r="A898" s="2" t="n">
        <x:v>46554</x:v>
      </x:c>
      <x:c r="B898" t="str">
        <x:f>CHOOSE(WEEKDAY(A898,2),"Lunes","Martes","Miércoles","Jueves","Viernes","Sábado","Domingo")</x:f>
        <x:v>Miércoles</x:v>
      </x:c>
      <x:c r="C898" t="str">
        <x:f>IF(COUNTIF(FERIADOS!$A$2:$A$250,A898)&gt;0,"SÍ","NO")</x:f>
        <x:v>NO</x:v>
      </x:c>
      <x:c r="D898" t="str">
        <x:f>IF(AND(WEEKDAY(A898,2)&lt;=5,C898="NO"),"SÍ","NO")</x:f>
        <x:v>SÍ</x:v>
      </x:c>
      <x:c r="E898" s="2" t="n">
        <x:f>WORKDAY.INTL(A898-1,1,1,FERIADOS!$A$2:$A$250)</x:f>
        <x:v>46554</x:v>
      </x:c>
      <x:c r="F898" t="str">
        <x:f>IF(E898&gt;=WORKDAY.INTL(EOMONTH(E898,0)+1,-2,1,FERIADOS!$A$2:$A$250),"SÍ","NO")</x:f>
        <x:v>NO</x:v>
      </x:c>
      <x:c r="G898" s="10" t="n">
        <x:f>IF(F898="SÍ",EOMONTH(E898,0)+1,DATE(YEAR(E898),MONTH(E898),1))</x:f>
        <x:v>46539</x:v>
      </x:c>
      <x:c r="H898" t="str">
        <x:f>IF(D898="NO",IF(C898="SÍ","FERIADO","FIN DE SEMANA"),"LABORABLE")&amp;IF(F898="SÍ"," + CIERRE","")</x:f>
        <x:v>LABORABLE</x:v>
      </x:c>
      <x:c r="I898" t="str">
        <x:f>TEXT(G898,"yyyy-mm")</x:f>
        <x:v>2027-06</x:v>
      </x:c>
    </x:row>
    <x:row r="899" ht="19" customHeight="1">
      <x:c r="A899" s="2" t="n">
        <x:v>46555</x:v>
      </x:c>
      <x:c r="B899" t="str">
        <x:f>CHOOSE(WEEKDAY(A899,2),"Lunes","Martes","Miércoles","Jueves","Viernes","Sábado","Domingo")</x:f>
        <x:v>Jueves</x:v>
      </x:c>
      <x:c r="C899" t="str">
        <x:f>IF(COUNTIF(FERIADOS!$A$2:$A$250,A899)&gt;0,"SÍ","NO")</x:f>
        <x:v>NO</x:v>
      </x:c>
      <x:c r="D899" t="str">
        <x:f>IF(AND(WEEKDAY(A899,2)&lt;=5,C899="NO"),"SÍ","NO")</x:f>
        <x:v>SÍ</x:v>
      </x:c>
      <x:c r="E899" s="2" t="n">
        <x:f>WORKDAY.INTL(A899-1,1,1,FERIADOS!$A$2:$A$250)</x:f>
        <x:v>46555</x:v>
      </x:c>
      <x:c r="F899" t="str">
        <x:f>IF(E899&gt;=WORKDAY.INTL(EOMONTH(E899,0)+1,-2,1,FERIADOS!$A$2:$A$250),"SÍ","NO")</x:f>
        <x:v>NO</x:v>
      </x:c>
      <x:c r="G899" s="10" t="n">
        <x:f>IF(F899="SÍ",EOMONTH(E899,0)+1,DATE(YEAR(E899),MONTH(E899),1))</x:f>
        <x:v>46539</x:v>
      </x:c>
      <x:c r="H899" t="str">
        <x:f>IF(D899="NO",IF(C899="SÍ","FERIADO","FIN DE SEMANA"),"LABORABLE")&amp;IF(F899="SÍ"," + CIERRE","")</x:f>
        <x:v>LABORABLE</x:v>
      </x:c>
      <x:c r="I899" t="str">
        <x:f>TEXT(G899,"yyyy-mm")</x:f>
        <x:v>2027-06</x:v>
      </x:c>
    </x:row>
    <x:row r="900" ht="19" customHeight="1">
      <x:c r="A900" s="2" t="n">
        <x:v>46556</x:v>
      </x:c>
      <x:c r="B900" t="str">
        <x:f>CHOOSE(WEEKDAY(A900,2),"Lunes","Martes","Miércoles","Jueves","Viernes","Sábado","Domingo")</x:f>
        <x:v>Viernes</x:v>
      </x:c>
      <x:c r="C900" t="str">
        <x:f>IF(COUNTIF(FERIADOS!$A$2:$A$250,A900)&gt;0,"SÍ","NO")</x:f>
        <x:v>NO</x:v>
      </x:c>
      <x:c r="D900" t="str">
        <x:f>IF(AND(WEEKDAY(A900,2)&lt;=5,C900="NO"),"SÍ","NO")</x:f>
        <x:v>SÍ</x:v>
      </x:c>
      <x:c r="E900" s="2" t="n">
        <x:f>WORKDAY.INTL(A900-1,1,1,FERIADOS!$A$2:$A$250)</x:f>
        <x:v>46556</x:v>
      </x:c>
      <x:c r="F900" t="str">
        <x:f>IF(E900&gt;=WORKDAY.INTL(EOMONTH(E900,0)+1,-2,1,FERIADOS!$A$2:$A$250),"SÍ","NO")</x:f>
        <x:v>NO</x:v>
      </x:c>
      <x:c r="G900" s="10" t="n">
        <x:f>IF(F900="SÍ",EOMONTH(E900,0)+1,DATE(YEAR(E900),MONTH(E900),1))</x:f>
        <x:v>46539</x:v>
      </x:c>
      <x:c r="H900" t="str">
        <x:f>IF(D900="NO",IF(C900="SÍ","FERIADO","FIN DE SEMANA"),"LABORABLE")&amp;IF(F900="SÍ"," + CIERRE","")</x:f>
        <x:v>LABORABLE</x:v>
      </x:c>
      <x:c r="I900" t="str">
        <x:f>TEXT(G900,"yyyy-mm")</x:f>
        <x:v>2027-06</x:v>
      </x:c>
    </x:row>
    <x:row r="901" ht="19" customHeight="1">
      <x:c r="A901" s="2" t="n">
        <x:v>46557</x:v>
      </x:c>
      <x:c r="B901" t="str">
        <x:f>CHOOSE(WEEKDAY(A901,2),"Lunes","Martes","Miércoles","Jueves","Viernes","Sábado","Domingo")</x:f>
        <x:v>Sábado</x:v>
      </x:c>
      <x:c r="C901" t="str">
        <x:f>IF(COUNTIF(FERIADOS!$A$2:$A$250,A901)&gt;0,"SÍ","NO")</x:f>
        <x:v>NO</x:v>
      </x:c>
      <x:c r="D901" t="str">
        <x:f>IF(AND(WEEKDAY(A901,2)&lt;=5,C901="NO"),"SÍ","NO")</x:f>
        <x:v>NO</x:v>
      </x:c>
      <x:c r="E901" s="2" t="n">
        <x:f>WORKDAY.INTL(A901-1,1,1,FERIADOS!$A$2:$A$250)</x:f>
        <x:v>46559</x:v>
      </x:c>
      <x:c r="F901" t="str">
        <x:f>IF(E901&gt;=WORKDAY.INTL(EOMONTH(E901,0)+1,-2,1,FERIADOS!$A$2:$A$250),"SÍ","NO")</x:f>
        <x:v>NO</x:v>
      </x:c>
      <x:c r="G901" s="10" t="n">
        <x:f>IF(F901="SÍ",EOMONTH(E901,0)+1,DATE(YEAR(E901),MONTH(E901),1))</x:f>
        <x:v>46539</x:v>
      </x:c>
      <x:c r="H901" t="str">
        <x:f>IF(D901="NO",IF(C901="SÍ","FERIADO","FIN DE SEMANA"),"LABORABLE")&amp;IF(F901="SÍ"," + CIERRE","")</x:f>
        <x:v>FIN DE SEMANA</x:v>
      </x:c>
      <x:c r="I901" t="str">
        <x:f>TEXT(G901,"yyyy-mm")</x:f>
        <x:v>2027-06</x:v>
      </x:c>
    </x:row>
    <x:row r="902" ht="19" customHeight="1">
      <x:c r="A902" s="2" t="n">
        <x:v>46558</x:v>
      </x:c>
      <x:c r="B902" t="str">
        <x:f>CHOOSE(WEEKDAY(A902,2),"Lunes","Martes","Miércoles","Jueves","Viernes","Sábado","Domingo")</x:f>
        <x:v>Domingo</x:v>
      </x:c>
      <x:c r="C902" t="str">
        <x:f>IF(COUNTIF(FERIADOS!$A$2:$A$250,A902)&gt;0,"SÍ","NO")</x:f>
        <x:v>NO</x:v>
      </x:c>
      <x:c r="D902" t="str">
        <x:f>IF(AND(WEEKDAY(A902,2)&lt;=5,C902="NO"),"SÍ","NO")</x:f>
        <x:v>NO</x:v>
      </x:c>
      <x:c r="E902" s="2" t="n">
        <x:f>WORKDAY.INTL(A902-1,1,1,FERIADOS!$A$2:$A$250)</x:f>
        <x:v>46559</x:v>
      </x:c>
      <x:c r="F902" t="str">
        <x:f>IF(E902&gt;=WORKDAY.INTL(EOMONTH(E902,0)+1,-2,1,FERIADOS!$A$2:$A$250),"SÍ","NO")</x:f>
        <x:v>NO</x:v>
      </x:c>
      <x:c r="G902" s="10" t="n">
        <x:f>IF(F902="SÍ",EOMONTH(E902,0)+1,DATE(YEAR(E902),MONTH(E902),1))</x:f>
        <x:v>46539</x:v>
      </x:c>
      <x:c r="H902" t="str">
        <x:f>IF(D902="NO",IF(C902="SÍ","FERIADO","FIN DE SEMANA"),"LABORABLE")&amp;IF(F902="SÍ"," + CIERRE","")</x:f>
        <x:v>FIN DE SEMANA</x:v>
      </x:c>
      <x:c r="I902" t="str">
        <x:f>TEXT(G902,"yyyy-mm")</x:f>
        <x:v>2027-06</x:v>
      </x:c>
    </x:row>
    <x:row r="903" ht="19" customHeight="1">
      <x:c r="A903" s="2" t="n">
        <x:v>46559</x:v>
      </x:c>
      <x:c r="B903" t="str">
        <x:f>CHOOSE(WEEKDAY(A903,2),"Lunes","Martes","Miércoles","Jueves","Viernes","Sábado","Domingo")</x:f>
        <x:v>Lunes</x:v>
      </x:c>
      <x:c r="C903" t="str">
        <x:f>IF(COUNTIF(FERIADOS!$A$2:$A$250,A903)&gt;0,"SÍ","NO")</x:f>
        <x:v>NO</x:v>
      </x:c>
      <x:c r="D903" t="str">
        <x:f>IF(AND(WEEKDAY(A903,2)&lt;=5,C903="NO"),"SÍ","NO")</x:f>
        <x:v>SÍ</x:v>
      </x:c>
      <x:c r="E903" s="2" t="n">
        <x:f>WORKDAY.INTL(A903-1,1,1,FERIADOS!$A$2:$A$250)</x:f>
        <x:v>46559</x:v>
      </x:c>
      <x:c r="F903" t="str">
        <x:f>IF(E903&gt;=WORKDAY.INTL(EOMONTH(E903,0)+1,-2,1,FERIADOS!$A$2:$A$250),"SÍ","NO")</x:f>
        <x:v>NO</x:v>
      </x:c>
      <x:c r="G903" s="10" t="n">
        <x:f>IF(F903="SÍ",EOMONTH(E903,0)+1,DATE(YEAR(E903),MONTH(E903),1))</x:f>
        <x:v>46539</x:v>
      </x:c>
      <x:c r="H903" t="str">
        <x:f>IF(D903="NO",IF(C903="SÍ","FERIADO","FIN DE SEMANA"),"LABORABLE")&amp;IF(F903="SÍ"," + CIERRE","")</x:f>
        <x:v>LABORABLE</x:v>
      </x:c>
      <x:c r="I903" t="str">
        <x:f>TEXT(G903,"yyyy-mm")</x:f>
        <x:v>2027-06</x:v>
      </x:c>
    </x:row>
    <x:row r="904" ht="19" customHeight="1">
      <x:c r="A904" s="2" t="n">
        <x:v>46560</x:v>
      </x:c>
      <x:c r="B904" t="str">
        <x:f>CHOOSE(WEEKDAY(A904,2),"Lunes","Martes","Miércoles","Jueves","Viernes","Sábado","Domingo")</x:f>
        <x:v>Martes</x:v>
      </x:c>
      <x:c r="C904" t="str">
        <x:f>IF(COUNTIF(FERIADOS!$A$2:$A$250,A904)&gt;0,"SÍ","NO")</x:f>
        <x:v>NO</x:v>
      </x:c>
      <x:c r="D904" t="str">
        <x:f>IF(AND(WEEKDAY(A904,2)&lt;=5,C904="NO"),"SÍ","NO")</x:f>
        <x:v>SÍ</x:v>
      </x:c>
      <x:c r="E904" s="2" t="n">
        <x:f>WORKDAY.INTL(A904-1,1,1,FERIADOS!$A$2:$A$250)</x:f>
        <x:v>46560</x:v>
      </x:c>
      <x:c r="F904" t="str">
        <x:f>IF(E904&gt;=WORKDAY.INTL(EOMONTH(E904,0)+1,-2,1,FERIADOS!$A$2:$A$250),"SÍ","NO")</x:f>
        <x:v>NO</x:v>
      </x:c>
      <x:c r="G904" s="10" t="n">
        <x:f>IF(F904="SÍ",EOMONTH(E904,0)+1,DATE(YEAR(E904),MONTH(E904),1))</x:f>
        <x:v>46539</x:v>
      </x:c>
      <x:c r="H904" t="str">
        <x:f>IF(D904="NO",IF(C904="SÍ","FERIADO","FIN DE SEMANA"),"LABORABLE")&amp;IF(F904="SÍ"," + CIERRE","")</x:f>
        <x:v>LABORABLE</x:v>
      </x:c>
      <x:c r="I904" t="str">
        <x:f>TEXT(G904,"yyyy-mm")</x:f>
        <x:v>2027-06</x:v>
      </x:c>
    </x:row>
    <x:row r="905" ht="19" customHeight="1">
      <x:c r="A905" s="2" t="n">
        <x:v>46561</x:v>
      </x:c>
      <x:c r="B905" t="str">
        <x:f>CHOOSE(WEEKDAY(A905,2),"Lunes","Martes","Miércoles","Jueves","Viernes","Sábado","Domingo")</x:f>
        <x:v>Miércoles</x:v>
      </x:c>
      <x:c r="C905" t="str">
        <x:f>IF(COUNTIF(FERIADOS!$A$2:$A$250,A905)&gt;0,"SÍ","NO")</x:f>
        <x:v>NO</x:v>
      </x:c>
      <x:c r="D905" t="str">
        <x:f>IF(AND(WEEKDAY(A905,2)&lt;=5,C905="NO"),"SÍ","NO")</x:f>
        <x:v>SÍ</x:v>
      </x:c>
      <x:c r="E905" s="2" t="n">
        <x:f>WORKDAY.INTL(A905-1,1,1,FERIADOS!$A$2:$A$250)</x:f>
        <x:v>46561</x:v>
      </x:c>
      <x:c r="F905" t="str">
        <x:f>IF(E905&gt;=WORKDAY.INTL(EOMONTH(E905,0)+1,-2,1,FERIADOS!$A$2:$A$250),"SÍ","NO")</x:f>
        <x:v>NO</x:v>
      </x:c>
      <x:c r="G905" s="10" t="n">
        <x:f>IF(F905="SÍ",EOMONTH(E905,0)+1,DATE(YEAR(E905),MONTH(E905),1))</x:f>
        <x:v>46539</x:v>
      </x:c>
      <x:c r="H905" t="str">
        <x:f>IF(D905="NO",IF(C905="SÍ","FERIADO","FIN DE SEMANA"),"LABORABLE")&amp;IF(F905="SÍ"," + CIERRE","")</x:f>
        <x:v>LABORABLE</x:v>
      </x:c>
      <x:c r="I905" t="str">
        <x:f>TEXT(G905,"yyyy-mm")</x:f>
        <x:v>2027-06</x:v>
      </x:c>
    </x:row>
    <x:row r="906" ht="19" customHeight="1">
      <x:c r="A906" s="2" t="n">
        <x:v>46562</x:v>
      </x:c>
      <x:c r="B906" t="str">
        <x:f>CHOOSE(WEEKDAY(A906,2),"Lunes","Martes","Miércoles","Jueves","Viernes","Sábado","Domingo")</x:f>
        <x:v>Jueves</x:v>
      </x:c>
      <x:c r="C906" t="str">
        <x:f>IF(COUNTIF(FERIADOS!$A$2:$A$250,A906)&gt;0,"SÍ","NO")</x:f>
        <x:v>NO</x:v>
      </x:c>
      <x:c r="D906" t="str">
        <x:f>IF(AND(WEEKDAY(A906,2)&lt;=5,C906="NO"),"SÍ","NO")</x:f>
        <x:v>SÍ</x:v>
      </x:c>
      <x:c r="E906" s="2" t="n">
        <x:f>WORKDAY.INTL(A906-1,1,1,FERIADOS!$A$2:$A$250)</x:f>
        <x:v>46562</x:v>
      </x:c>
      <x:c r="F906" t="str">
        <x:f>IF(E906&gt;=WORKDAY.INTL(EOMONTH(E906,0)+1,-2,1,FERIADOS!$A$2:$A$250),"SÍ","NO")</x:f>
        <x:v>NO</x:v>
      </x:c>
      <x:c r="G906" s="10" t="n">
        <x:f>IF(F906="SÍ",EOMONTH(E906,0)+1,DATE(YEAR(E906),MONTH(E906),1))</x:f>
        <x:v>46539</x:v>
      </x:c>
      <x:c r="H906" t="str">
        <x:f>IF(D906="NO",IF(C906="SÍ","FERIADO","FIN DE SEMANA"),"LABORABLE")&amp;IF(F906="SÍ"," + CIERRE","")</x:f>
        <x:v>LABORABLE</x:v>
      </x:c>
      <x:c r="I906" t="str">
        <x:f>TEXT(G906,"yyyy-mm")</x:f>
        <x:v>2027-06</x:v>
      </x:c>
    </x:row>
    <x:row r="907" ht="19" customHeight="1">
      <x:c r="A907" s="2" t="n">
        <x:v>46563</x:v>
      </x:c>
      <x:c r="B907" t="str">
        <x:f>CHOOSE(WEEKDAY(A907,2),"Lunes","Martes","Miércoles","Jueves","Viernes","Sábado","Domingo")</x:f>
        <x:v>Viernes</x:v>
      </x:c>
      <x:c r="C907" t="str">
        <x:f>IF(COUNTIF(FERIADOS!$A$2:$A$250,A907)&gt;0,"SÍ","NO")</x:f>
        <x:v>NO</x:v>
      </x:c>
      <x:c r="D907" t="str">
        <x:f>IF(AND(WEEKDAY(A907,2)&lt;=5,C907="NO"),"SÍ","NO")</x:f>
        <x:v>SÍ</x:v>
      </x:c>
      <x:c r="E907" s="2" t="n">
        <x:f>WORKDAY.INTL(A907-1,1,1,FERIADOS!$A$2:$A$250)</x:f>
        <x:v>46563</x:v>
      </x:c>
      <x:c r="F907" t="str">
        <x:f>IF(E907&gt;=WORKDAY.INTL(EOMONTH(E907,0)+1,-2,1,FERIADOS!$A$2:$A$250),"SÍ","NO")</x:f>
        <x:v>NO</x:v>
      </x:c>
      <x:c r="G907" s="10" t="n">
        <x:f>IF(F907="SÍ",EOMONTH(E907,0)+1,DATE(YEAR(E907),MONTH(E907),1))</x:f>
        <x:v>46539</x:v>
      </x:c>
      <x:c r="H907" t="str">
        <x:f>IF(D907="NO",IF(C907="SÍ","FERIADO","FIN DE SEMANA"),"LABORABLE")&amp;IF(F907="SÍ"," + CIERRE","")</x:f>
        <x:v>LABORABLE</x:v>
      </x:c>
      <x:c r="I907" t="str">
        <x:f>TEXT(G907,"yyyy-mm")</x:f>
        <x:v>2027-06</x:v>
      </x:c>
    </x:row>
    <x:row r="908" ht="19" customHeight="1">
      <x:c r="A908" s="2" t="n">
        <x:v>46564</x:v>
      </x:c>
      <x:c r="B908" t="str">
        <x:f>CHOOSE(WEEKDAY(A908,2),"Lunes","Martes","Miércoles","Jueves","Viernes","Sábado","Domingo")</x:f>
        <x:v>Sábado</x:v>
      </x:c>
      <x:c r="C908" t="str">
        <x:f>IF(COUNTIF(FERIADOS!$A$2:$A$250,A908)&gt;0,"SÍ","NO")</x:f>
        <x:v>NO</x:v>
      </x:c>
      <x:c r="D908" t="str">
        <x:f>IF(AND(WEEKDAY(A908,2)&lt;=5,C908="NO"),"SÍ","NO")</x:f>
        <x:v>NO</x:v>
      </x:c>
      <x:c r="E908" s="2" t="n">
        <x:f>WORKDAY.INTL(A908-1,1,1,FERIADOS!$A$2:$A$250)</x:f>
        <x:v>46566</x:v>
      </x:c>
      <x:c r="F908" t="str">
        <x:f>IF(E908&gt;=WORKDAY.INTL(EOMONTH(E908,0)+1,-2,1,FERIADOS!$A$2:$A$250),"SÍ","NO")</x:f>
        <x:v>NO</x:v>
      </x:c>
      <x:c r="G908" s="10" t="n">
        <x:f>IF(F908="SÍ",EOMONTH(E908,0)+1,DATE(YEAR(E908),MONTH(E908),1))</x:f>
        <x:v>46539</x:v>
      </x:c>
      <x:c r="H908" t="str">
        <x:f>IF(D908="NO",IF(C908="SÍ","FERIADO","FIN DE SEMANA"),"LABORABLE")&amp;IF(F908="SÍ"," + CIERRE","")</x:f>
        <x:v>FIN DE SEMANA</x:v>
      </x:c>
      <x:c r="I908" t="str">
        <x:f>TEXT(G908,"yyyy-mm")</x:f>
        <x:v>2027-06</x:v>
      </x:c>
    </x:row>
    <x:row r="909" ht="19" customHeight="1">
      <x:c r="A909" s="2" t="n">
        <x:v>46565</x:v>
      </x:c>
      <x:c r="B909" t="str">
        <x:f>CHOOSE(WEEKDAY(A909,2),"Lunes","Martes","Miércoles","Jueves","Viernes","Sábado","Domingo")</x:f>
        <x:v>Domingo</x:v>
      </x:c>
      <x:c r="C909" t="str">
        <x:f>IF(COUNTIF(FERIADOS!$A$2:$A$250,A909)&gt;0,"SÍ","NO")</x:f>
        <x:v>NO</x:v>
      </x:c>
      <x:c r="D909" t="str">
        <x:f>IF(AND(WEEKDAY(A909,2)&lt;=5,C909="NO"),"SÍ","NO")</x:f>
        <x:v>NO</x:v>
      </x:c>
      <x:c r="E909" s="2" t="n">
        <x:f>WORKDAY.INTL(A909-1,1,1,FERIADOS!$A$2:$A$250)</x:f>
        <x:v>46566</x:v>
      </x:c>
      <x:c r="F909" t="str">
        <x:f>IF(E909&gt;=WORKDAY.INTL(EOMONTH(E909,0)+1,-2,1,FERIADOS!$A$2:$A$250),"SÍ","NO")</x:f>
        <x:v>NO</x:v>
      </x:c>
      <x:c r="G909" s="10" t="n">
        <x:f>IF(F909="SÍ",EOMONTH(E909,0)+1,DATE(YEAR(E909),MONTH(E909),1))</x:f>
        <x:v>46539</x:v>
      </x:c>
      <x:c r="H909" t="str">
        <x:f>IF(D909="NO",IF(C909="SÍ","FERIADO","FIN DE SEMANA"),"LABORABLE")&amp;IF(F909="SÍ"," + CIERRE","")</x:f>
        <x:v>FIN DE SEMANA</x:v>
      </x:c>
      <x:c r="I909" t="str">
        <x:f>TEXT(G909,"yyyy-mm")</x:f>
        <x:v>2027-06</x:v>
      </x:c>
    </x:row>
    <x:row r="910" ht="19" customHeight="1">
      <x:c r="A910" s="2" t="n">
        <x:v>46566</x:v>
      </x:c>
      <x:c r="B910" t="str">
        <x:f>CHOOSE(WEEKDAY(A910,2),"Lunes","Martes","Miércoles","Jueves","Viernes","Sábado","Domingo")</x:f>
        <x:v>Lunes</x:v>
      </x:c>
      <x:c r="C910" t="str">
        <x:f>IF(COUNTIF(FERIADOS!$A$2:$A$250,A910)&gt;0,"SÍ","NO")</x:f>
        <x:v>NO</x:v>
      </x:c>
      <x:c r="D910" t="str">
        <x:f>IF(AND(WEEKDAY(A910,2)&lt;=5,C910="NO"),"SÍ","NO")</x:f>
        <x:v>SÍ</x:v>
      </x:c>
      <x:c r="E910" s="2" t="n">
        <x:f>WORKDAY.INTL(A910-1,1,1,FERIADOS!$A$2:$A$250)</x:f>
        <x:v>46566</x:v>
      </x:c>
      <x:c r="F910" t="str">
        <x:f>IF(E910&gt;=WORKDAY.INTL(EOMONTH(E910,0)+1,-2,1,FERIADOS!$A$2:$A$250),"SÍ","NO")</x:f>
        <x:v>NO</x:v>
      </x:c>
      <x:c r="G910" s="10" t="n">
        <x:f>IF(F910="SÍ",EOMONTH(E910,0)+1,DATE(YEAR(E910),MONTH(E910),1))</x:f>
        <x:v>46539</x:v>
      </x:c>
      <x:c r="H910" t="str">
        <x:f>IF(D910="NO",IF(C910="SÍ","FERIADO","FIN DE SEMANA"),"LABORABLE")&amp;IF(F910="SÍ"," + CIERRE","")</x:f>
        <x:v>LABORABLE</x:v>
      </x:c>
      <x:c r="I910" t="str">
        <x:f>TEXT(G910,"yyyy-mm")</x:f>
        <x:v>2027-06</x:v>
      </x:c>
    </x:row>
    <x:row r="911" ht="19" customHeight="1">
      <x:c r="A911" s="2" t="n">
        <x:v>46567</x:v>
      </x:c>
      <x:c r="B911" t="str">
        <x:f>CHOOSE(WEEKDAY(A911,2),"Lunes","Martes","Miércoles","Jueves","Viernes","Sábado","Domingo")</x:f>
        <x:v>Martes</x:v>
      </x:c>
      <x:c r="C911" t="str">
        <x:f>IF(COUNTIF(FERIADOS!$A$2:$A$250,A911)&gt;0,"SÍ","NO")</x:f>
        <x:v>NO</x:v>
      </x:c>
      <x:c r="D911" t="str">
        <x:f>IF(AND(WEEKDAY(A911,2)&lt;=5,C911="NO"),"SÍ","NO")</x:f>
        <x:v>SÍ</x:v>
      </x:c>
      <x:c r="E911" s="2" t="n">
        <x:f>WORKDAY.INTL(A911-1,1,1,FERIADOS!$A$2:$A$250)</x:f>
        <x:v>46567</x:v>
      </x:c>
      <x:c r="F911" t="str">
        <x:f>IF(E911&gt;=WORKDAY.INTL(EOMONTH(E911,0)+1,-2,1,FERIADOS!$A$2:$A$250),"SÍ","NO")</x:f>
        <x:v>SÍ</x:v>
      </x:c>
      <x:c r="G911" s="10" t="n">
        <x:f>IF(F911="SÍ",EOMONTH(E911,0)+1,DATE(YEAR(E911),MONTH(E911),1))</x:f>
        <x:v>46569</x:v>
      </x:c>
      <x:c r="H911" t="str">
        <x:f>IF(D911="NO",IF(C911="SÍ","FERIADO","FIN DE SEMANA"),"LABORABLE")&amp;IF(F911="SÍ"," + CIERRE","")</x:f>
        <x:v>LABORABLE + CIERRE</x:v>
      </x:c>
      <x:c r="I911" t="str">
        <x:f>TEXT(G911,"yyyy-mm")</x:f>
        <x:v>2027-07</x:v>
      </x:c>
    </x:row>
    <x:row r="912" ht="19" customHeight="1">
      <x:c r="A912" s="2" t="n">
        <x:v>46568</x:v>
      </x:c>
      <x:c r="B912" t="str">
        <x:f>CHOOSE(WEEKDAY(A912,2),"Lunes","Martes","Miércoles","Jueves","Viernes","Sábado","Domingo")</x:f>
        <x:v>Miércoles</x:v>
      </x:c>
      <x:c r="C912" t="str">
        <x:f>IF(COUNTIF(FERIADOS!$A$2:$A$250,A912)&gt;0,"SÍ","NO")</x:f>
        <x:v>NO</x:v>
      </x:c>
      <x:c r="D912" t="str">
        <x:f>IF(AND(WEEKDAY(A912,2)&lt;=5,C912="NO"),"SÍ","NO")</x:f>
        <x:v>SÍ</x:v>
      </x:c>
      <x:c r="E912" s="2" t="n">
        <x:f>WORKDAY.INTL(A912-1,1,1,FERIADOS!$A$2:$A$250)</x:f>
        <x:v>46568</x:v>
      </x:c>
      <x:c r="F912" t="str">
        <x:f>IF(E912&gt;=WORKDAY.INTL(EOMONTH(E912,0)+1,-2,1,FERIADOS!$A$2:$A$250),"SÍ","NO")</x:f>
        <x:v>SÍ</x:v>
      </x:c>
      <x:c r="G912" s="10" t="n">
        <x:f>IF(F912="SÍ",EOMONTH(E912,0)+1,DATE(YEAR(E912),MONTH(E912),1))</x:f>
        <x:v>46569</x:v>
      </x:c>
      <x:c r="H912" t="str">
        <x:f>IF(D912="NO",IF(C912="SÍ","FERIADO","FIN DE SEMANA"),"LABORABLE")&amp;IF(F912="SÍ"," + CIERRE","")</x:f>
        <x:v>LABORABLE + CIERRE</x:v>
      </x:c>
      <x:c r="I912" t="str">
        <x:f>TEXT(G912,"yyyy-mm")</x:f>
        <x:v>2027-07</x:v>
      </x:c>
    </x:row>
    <x:row r="913" ht="19" customHeight="1">
      <x:c r="A913" s="2" t="n">
        <x:v>46569</x:v>
      </x:c>
      <x:c r="B913" t="str">
        <x:f>CHOOSE(WEEKDAY(A913,2),"Lunes","Martes","Miércoles","Jueves","Viernes","Sábado","Domingo")</x:f>
        <x:v>Jueves</x:v>
      </x:c>
      <x:c r="C913" t="str">
        <x:f>IF(COUNTIF(FERIADOS!$A$2:$A$250,A913)&gt;0,"SÍ","NO")</x:f>
        <x:v>NO</x:v>
      </x:c>
      <x:c r="D913" t="str">
        <x:f>IF(AND(WEEKDAY(A913,2)&lt;=5,C913="NO"),"SÍ","NO")</x:f>
        <x:v>SÍ</x:v>
      </x:c>
      <x:c r="E913" s="2" t="n">
        <x:f>WORKDAY.INTL(A913-1,1,1,FERIADOS!$A$2:$A$250)</x:f>
        <x:v>46569</x:v>
      </x:c>
      <x:c r="F913" t="str">
        <x:f>IF(E913&gt;=WORKDAY.INTL(EOMONTH(E913,0)+1,-2,1,FERIADOS!$A$2:$A$250),"SÍ","NO")</x:f>
        <x:v>NO</x:v>
      </x:c>
      <x:c r="G913" s="10" t="n">
        <x:f>IF(F913="SÍ",EOMONTH(E913,0)+1,DATE(YEAR(E913),MONTH(E913),1))</x:f>
        <x:v>46569</x:v>
      </x:c>
      <x:c r="H913" t="str">
        <x:f>IF(D913="NO",IF(C913="SÍ","FERIADO","FIN DE SEMANA"),"LABORABLE")&amp;IF(F913="SÍ"," + CIERRE","")</x:f>
        <x:v>LABORABLE</x:v>
      </x:c>
      <x:c r="I913" t="str">
        <x:f>TEXT(G913,"yyyy-mm")</x:f>
        <x:v>2027-07</x:v>
      </x:c>
    </x:row>
    <x:row r="914" ht="19" customHeight="1">
      <x:c r="A914" s="2" t="n">
        <x:v>46570</x:v>
      </x:c>
      <x:c r="B914" t="str">
        <x:f>CHOOSE(WEEKDAY(A914,2),"Lunes","Martes","Miércoles","Jueves","Viernes","Sábado","Domingo")</x:f>
        <x:v>Viernes</x:v>
      </x:c>
      <x:c r="C914" t="str">
        <x:f>IF(COUNTIF(FERIADOS!$A$2:$A$250,A914)&gt;0,"SÍ","NO")</x:f>
        <x:v>NO</x:v>
      </x:c>
      <x:c r="D914" t="str">
        <x:f>IF(AND(WEEKDAY(A914,2)&lt;=5,C914="NO"),"SÍ","NO")</x:f>
        <x:v>SÍ</x:v>
      </x:c>
      <x:c r="E914" s="2" t="n">
        <x:f>WORKDAY.INTL(A914-1,1,1,FERIADOS!$A$2:$A$250)</x:f>
        <x:v>46570</x:v>
      </x:c>
      <x:c r="F914" t="str">
        <x:f>IF(E914&gt;=WORKDAY.INTL(EOMONTH(E914,0)+1,-2,1,FERIADOS!$A$2:$A$250),"SÍ","NO")</x:f>
        <x:v>NO</x:v>
      </x:c>
      <x:c r="G914" s="10" t="n">
        <x:f>IF(F914="SÍ",EOMONTH(E914,0)+1,DATE(YEAR(E914),MONTH(E914),1))</x:f>
        <x:v>46569</x:v>
      </x:c>
      <x:c r="H914" t="str">
        <x:f>IF(D914="NO",IF(C914="SÍ","FERIADO","FIN DE SEMANA"),"LABORABLE")&amp;IF(F914="SÍ"," + CIERRE","")</x:f>
        <x:v>LABORABLE</x:v>
      </x:c>
      <x:c r="I914" t="str">
        <x:f>TEXT(G914,"yyyy-mm")</x:f>
        <x:v>2027-07</x:v>
      </x:c>
    </x:row>
    <x:row r="915" ht="19" customHeight="1">
      <x:c r="A915" s="2" t="n">
        <x:v>46571</x:v>
      </x:c>
      <x:c r="B915" t="str">
        <x:f>CHOOSE(WEEKDAY(A915,2),"Lunes","Martes","Miércoles","Jueves","Viernes","Sábado","Domingo")</x:f>
        <x:v>Sábado</x:v>
      </x:c>
      <x:c r="C915" t="str">
        <x:f>IF(COUNTIF(FERIADOS!$A$2:$A$250,A915)&gt;0,"SÍ","NO")</x:f>
        <x:v>NO</x:v>
      </x:c>
      <x:c r="D915" t="str">
        <x:f>IF(AND(WEEKDAY(A915,2)&lt;=5,C915="NO"),"SÍ","NO")</x:f>
        <x:v>NO</x:v>
      </x:c>
      <x:c r="E915" s="2" t="n">
        <x:f>WORKDAY.INTL(A915-1,1,1,FERIADOS!$A$2:$A$250)</x:f>
        <x:v>46573</x:v>
      </x:c>
      <x:c r="F915" t="str">
        <x:f>IF(E915&gt;=WORKDAY.INTL(EOMONTH(E915,0)+1,-2,1,FERIADOS!$A$2:$A$250),"SÍ","NO")</x:f>
        <x:v>NO</x:v>
      </x:c>
      <x:c r="G915" s="10" t="n">
        <x:f>IF(F915="SÍ",EOMONTH(E915,0)+1,DATE(YEAR(E915),MONTH(E915),1))</x:f>
        <x:v>46569</x:v>
      </x:c>
      <x:c r="H915" t="str">
        <x:f>IF(D915="NO",IF(C915="SÍ","FERIADO","FIN DE SEMANA"),"LABORABLE")&amp;IF(F915="SÍ"," + CIERRE","")</x:f>
        <x:v>FIN DE SEMANA</x:v>
      </x:c>
      <x:c r="I915" t="str">
        <x:f>TEXT(G915,"yyyy-mm")</x:f>
        <x:v>2027-07</x:v>
      </x:c>
    </x:row>
    <x:row r="916" ht="19" customHeight="1">
      <x:c r="A916" s="2" t="n">
        <x:v>46572</x:v>
      </x:c>
      <x:c r="B916" t="str">
        <x:f>CHOOSE(WEEKDAY(A916,2),"Lunes","Martes","Miércoles","Jueves","Viernes","Sábado","Domingo")</x:f>
        <x:v>Domingo</x:v>
      </x:c>
      <x:c r="C916" t="str">
        <x:f>IF(COUNTIF(FERIADOS!$A$2:$A$250,A916)&gt;0,"SÍ","NO")</x:f>
        <x:v>NO</x:v>
      </x:c>
      <x:c r="D916" t="str">
        <x:f>IF(AND(WEEKDAY(A916,2)&lt;=5,C916="NO"),"SÍ","NO")</x:f>
        <x:v>NO</x:v>
      </x:c>
      <x:c r="E916" s="2" t="n">
        <x:f>WORKDAY.INTL(A916-1,1,1,FERIADOS!$A$2:$A$250)</x:f>
        <x:v>46573</x:v>
      </x:c>
      <x:c r="F916" t="str">
        <x:f>IF(E916&gt;=WORKDAY.INTL(EOMONTH(E916,0)+1,-2,1,FERIADOS!$A$2:$A$250),"SÍ","NO")</x:f>
        <x:v>NO</x:v>
      </x:c>
      <x:c r="G916" s="10" t="n">
        <x:f>IF(F916="SÍ",EOMONTH(E916,0)+1,DATE(YEAR(E916),MONTH(E916),1))</x:f>
        <x:v>46569</x:v>
      </x:c>
      <x:c r="H916" t="str">
        <x:f>IF(D916="NO",IF(C916="SÍ","FERIADO","FIN DE SEMANA"),"LABORABLE")&amp;IF(F916="SÍ"," + CIERRE","")</x:f>
        <x:v>FIN DE SEMANA</x:v>
      </x:c>
      <x:c r="I916" t="str">
        <x:f>TEXT(G916,"yyyy-mm")</x:f>
        <x:v>2027-07</x:v>
      </x:c>
    </x:row>
    <x:row r="917" ht="19" customHeight="1">
      <x:c r="A917" s="2" t="n">
        <x:v>46573</x:v>
      </x:c>
      <x:c r="B917" t="str">
        <x:f>CHOOSE(WEEKDAY(A917,2),"Lunes","Martes","Miércoles","Jueves","Viernes","Sábado","Domingo")</x:f>
        <x:v>Lunes</x:v>
      </x:c>
      <x:c r="C917" t="str">
        <x:f>IF(COUNTIF(FERIADOS!$A$2:$A$250,A917)&gt;0,"SÍ","NO")</x:f>
        <x:v>NO</x:v>
      </x:c>
      <x:c r="D917" t="str">
        <x:f>IF(AND(WEEKDAY(A917,2)&lt;=5,C917="NO"),"SÍ","NO")</x:f>
        <x:v>SÍ</x:v>
      </x:c>
      <x:c r="E917" s="2" t="n">
        <x:f>WORKDAY.INTL(A917-1,1,1,FERIADOS!$A$2:$A$250)</x:f>
        <x:v>46573</x:v>
      </x:c>
      <x:c r="F917" t="str">
        <x:f>IF(E917&gt;=WORKDAY.INTL(EOMONTH(E917,0)+1,-2,1,FERIADOS!$A$2:$A$250),"SÍ","NO")</x:f>
        <x:v>NO</x:v>
      </x:c>
      <x:c r="G917" s="10" t="n">
        <x:f>IF(F917="SÍ",EOMONTH(E917,0)+1,DATE(YEAR(E917),MONTH(E917),1))</x:f>
        <x:v>46569</x:v>
      </x:c>
      <x:c r="H917" t="str">
        <x:f>IF(D917="NO",IF(C917="SÍ","FERIADO","FIN DE SEMANA"),"LABORABLE")&amp;IF(F917="SÍ"," + CIERRE","")</x:f>
        <x:v>LABORABLE</x:v>
      </x:c>
      <x:c r="I917" t="str">
        <x:f>TEXT(G917,"yyyy-mm")</x:f>
        <x:v>2027-07</x:v>
      </x:c>
    </x:row>
    <x:row r="918" ht="19" customHeight="1">
      <x:c r="A918" s="2" t="n">
        <x:v>46574</x:v>
      </x:c>
      <x:c r="B918" t="str">
        <x:f>CHOOSE(WEEKDAY(A918,2),"Lunes","Martes","Miércoles","Jueves","Viernes","Sábado","Domingo")</x:f>
        <x:v>Martes</x:v>
      </x:c>
      <x:c r="C918" t="str">
        <x:f>IF(COUNTIF(FERIADOS!$A$2:$A$250,A918)&gt;0,"SÍ","NO")</x:f>
        <x:v>NO</x:v>
      </x:c>
      <x:c r="D918" t="str">
        <x:f>IF(AND(WEEKDAY(A918,2)&lt;=5,C918="NO"),"SÍ","NO")</x:f>
        <x:v>SÍ</x:v>
      </x:c>
      <x:c r="E918" s="2" t="n">
        <x:f>WORKDAY.INTL(A918-1,1,1,FERIADOS!$A$2:$A$250)</x:f>
        <x:v>46574</x:v>
      </x:c>
      <x:c r="F918" t="str">
        <x:f>IF(E918&gt;=WORKDAY.INTL(EOMONTH(E918,0)+1,-2,1,FERIADOS!$A$2:$A$250),"SÍ","NO")</x:f>
        <x:v>NO</x:v>
      </x:c>
      <x:c r="G918" s="10" t="n">
        <x:f>IF(F918="SÍ",EOMONTH(E918,0)+1,DATE(YEAR(E918),MONTH(E918),1))</x:f>
        <x:v>46569</x:v>
      </x:c>
      <x:c r="H918" t="str">
        <x:f>IF(D918="NO",IF(C918="SÍ","FERIADO","FIN DE SEMANA"),"LABORABLE")&amp;IF(F918="SÍ"," + CIERRE","")</x:f>
        <x:v>LABORABLE</x:v>
      </x:c>
      <x:c r="I918" t="str">
        <x:f>TEXT(G918,"yyyy-mm")</x:f>
        <x:v>2027-07</x:v>
      </x:c>
    </x:row>
    <x:row r="919" ht="19" customHeight="1">
      <x:c r="A919" s="2" t="n">
        <x:v>46575</x:v>
      </x:c>
      <x:c r="B919" t="str">
        <x:f>CHOOSE(WEEKDAY(A919,2),"Lunes","Martes","Miércoles","Jueves","Viernes","Sábado","Domingo")</x:f>
        <x:v>Miércoles</x:v>
      </x:c>
      <x:c r="C919" t="str">
        <x:f>IF(COUNTIF(FERIADOS!$A$2:$A$250,A919)&gt;0,"SÍ","NO")</x:f>
        <x:v>NO</x:v>
      </x:c>
      <x:c r="D919" t="str">
        <x:f>IF(AND(WEEKDAY(A919,2)&lt;=5,C919="NO"),"SÍ","NO")</x:f>
        <x:v>SÍ</x:v>
      </x:c>
      <x:c r="E919" s="2" t="n">
        <x:f>WORKDAY.INTL(A919-1,1,1,FERIADOS!$A$2:$A$250)</x:f>
        <x:v>46575</x:v>
      </x:c>
      <x:c r="F919" t="str">
        <x:f>IF(E919&gt;=WORKDAY.INTL(EOMONTH(E919,0)+1,-2,1,FERIADOS!$A$2:$A$250),"SÍ","NO")</x:f>
        <x:v>NO</x:v>
      </x:c>
      <x:c r="G919" s="10" t="n">
        <x:f>IF(F919="SÍ",EOMONTH(E919,0)+1,DATE(YEAR(E919),MONTH(E919),1))</x:f>
        <x:v>46569</x:v>
      </x:c>
      <x:c r="H919" t="str">
        <x:f>IF(D919="NO",IF(C919="SÍ","FERIADO","FIN DE SEMANA"),"LABORABLE")&amp;IF(F919="SÍ"," + CIERRE","")</x:f>
        <x:v>LABORABLE</x:v>
      </x:c>
      <x:c r="I919" t="str">
        <x:f>TEXT(G919,"yyyy-mm")</x:f>
        <x:v>2027-07</x:v>
      </x:c>
    </x:row>
    <x:row r="920" ht="19" customHeight="1">
      <x:c r="A920" s="2" t="n">
        <x:v>46576</x:v>
      </x:c>
      <x:c r="B920" t="str">
        <x:f>CHOOSE(WEEKDAY(A920,2),"Lunes","Martes","Miércoles","Jueves","Viernes","Sábado","Domingo")</x:f>
        <x:v>Jueves</x:v>
      </x:c>
      <x:c r="C920" t="str">
        <x:f>IF(COUNTIF(FERIADOS!$A$2:$A$250,A920)&gt;0,"SÍ","NO")</x:f>
        <x:v>NO</x:v>
      </x:c>
      <x:c r="D920" t="str">
        <x:f>IF(AND(WEEKDAY(A920,2)&lt;=5,C920="NO"),"SÍ","NO")</x:f>
        <x:v>SÍ</x:v>
      </x:c>
      <x:c r="E920" s="2" t="n">
        <x:f>WORKDAY.INTL(A920-1,1,1,FERIADOS!$A$2:$A$250)</x:f>
        <x:v>46576</x:v>
      </x:c>
      <x:c r="F920" t="str">
        <x:f>IF(E920&gt;=WORKDAY.INTL(EOMONTH(E920,0)+1,-2,1,FERIADOS!$A$2:$A$250),"SÍ","NO")</x:f>
        <x:v>NO</x:v>
      </x:c>
      <x:c r="G920" s="10" t="n">
        <x:f>IF(F920="SÍ",EOMONTH(E920,0)+1,DATE(YEAR(E920),MONTH(E920),1))</x:f>
        <x:v>46569</x:v>
      </x:c>
      <x:c r="H920" t="str">
        <x:f>IF(D920="NO",IF(C920="SÍ","FERIADO","FIN DE SEMANA"),"LABORABLE")&amp;IF(F920="SÍ"," + CIERRE","")</x:f>
        <x:v>LABORABLE</x:v>
      </x:c>
      <x:c r="I920" t="str">
        <x:f>TEXT(G920,"yyyy-mm")</x:f>
        <x:v>2027-07</x:v>
      </x:c>
    </x:row>
    <x:row r="921" ht="19" customHeight="1">
      <x:c r="A921" s="2" t="n">
        <x:v>46577</x:v>
      </x:c>
      <x:c r="B921" t="str">
        <x:f>CHOOSE(WEEKDAY(A921,2),"Lunes","Martes","Miércoles","Jueves","Viernes","Sábado","Domingo")</x:f>
        <x:v>Viernes</x:v>
      </x:c>
      <x:c r="C921" t="str">
        <x:f>IF(COUNTIF(FERIADOS!$A$2:$A$250,A921)&gt;0,"SÍ","NO")</x:f>
        <x:v>NO</x:v>
      </x:c>
      <x:c r="D921" t="str">
        <x:f>IF(AND(WEEKDAY(A921,2)&lt;=5,C921="NO"),"SÍ","NO")</x:f>
        <x:v>SÍ</x:v>
      </x:c>
      <x:c r="E921" s="2" t="n">
        <x:f>WORKDAY.INTL(A921-1,1,1,FERIADOS!$A$2:$A$250)</x:f>
        <x:v>46577</x:v>
      </x:c>
      <x:c r="F921" t="str">
        <x:f>IF(E921&gt;=WORKDAY.INTL(EOMONTH(E921,0)+1,-2,1,FERIADOS!$A$2:$A$250),"SÍ","NO")</x:f>
        <x:v>NO</x:v>
      </x:c>
      <x:c r="G921" s="10" t="n">
        <x:f>IF(F921="SÍ",EOMONTH(E921,0)+1,DATE(YEAR(E921),MONTH(E921),1))</x:f>
        <x:v>46569</x:v>
      </x:c>
      <x:c r="H921" t="str">
        <x:f>IF(D921="NO",IF(C921="SÍ","FERIADO","FIN DE SEMANA"),"LABORABLE")&amp;IF(F921="SÍ"," + CIERRE","")</x:f>
        <x:v>LABORABLE</x:v>
      </x:c>
      <x:c r="I921" t="str">
        <x:f>TEXT(G921,"yyyy-mm")</x:f>
        <x:v>2027-07</x:v>
      </x:c>
    </x:row>
    <x:row r="922" ht="19" customHeight="1">
      <x:c r="A922" s="2" t="n">
        <x:v>46578</x:v>
      </x:c>
      <x:c r="B922" t="str">
        <x:f>CHOOSE(WEEKDAY(A922,2),"Lunes","Martes","Miércoles","Jueves","Viernes","Sábado","Domingo")</x:f>
        <x:v>Sábado</x:v>
      </x:c>
      <x:c r="C922" t="str">
        <x:f>IF(COUNTIF(FERIADOS!$A$2:$A$250,A922)&gt;0,"SÍ","NO")</x:f>
        <x:v>NO</x:v>
      </x:c>
      <x:c r="D922" t="str">
        <x:f>IF(AND(WEEKDAY(A922,2)&lt;=5,C922="NO"),"SÍ","NO")</x:f>
        <x:v>NO</x:v>
      </x:c>
      <x:c r="E922" s="2" t="n">
        <x:f>WORKDAY.INTL(A922-1,1,1,FERIADOS!$A$2:$A$250)</x:f>
        <x:v>46580</x:v>
      </x:c>
      <x:c r="F922" t="str">
        <x:f>IF(E922&gt;=WORKDAY.INTL(EOMONTH(E922,0)+1,-2,1,FERIADOS!$A$2:$A$250),"SÍ","NO")</x:f>
        <x:v>NO</x:v>
      </x:c>
      <x:c r="G922" s="10" t="n">
        <x:f>IF(F922="SÍ",EOMONTH(E922,0)+1,DATE(YEAR(E922),MONTH(E922),1))</x:f>
        <x:v>46569</x:v>
      </x:c>
      <x:c r="H922" t="str">
        <x:f>IF(D922="NO",IF(C922="SÍ","FERIADO","FIN DE SEMANA"),"LABORABLE")&amp;IF(F922="SÍ"," + CIERRE","")</x:f>
        <x:v>FIN DE SEMANA</x:v>
      </x:c>
      <x:c r="I922" t="str">
        <x:f>TEXT(G922,"yyyy-mm")</x:f>
        <x:v>2027-07</x:v>
      </x:c>
    </x:row>
    <x:row r="923" ht="19" customHeight="1">
      <x:c r="A923" s="2" t="n">
        <x:v>46579</x:v>
      </x:c>
      <x:c r="B923" t="str">
        <x:f>CHOOSE(WEEKDAY(A923,2),"Lunes","Martes","Miércoles","Jueves","Viernes","Sábado","Domingo")</x:f>
        <x:v>Domingo</x:v>
      </x:c>
      <x:c r="C923" t="str">
        <x:f>IF(COUNTIF(FERIADOS!$A$2:$A$250,A923)&gt;0,"SÍ","NO")</x:f>
        <x:v>NO</x:v>
      </x:c>
      <x:c r="D923" t="str">
        <x:f>IF(AND(WEEKDAY(A923,2)&lt;=5,C923="NO"),"SÍ","NO")</x:f>
        <x:v>NO</x:v>
      </x:c>
      <x:c r="E923" s="2" t="n">
        <x:f>WORKDAY.INTL(A923-1,1,1,FERIADOS!$A$2:$A$250)</x:f>
        <x:v>46580</x:v>
      </x:c>
      <x:c r="F923" t="str">
        <x:f>IF(E923&gt;=WORKDAY.INTL(EOMONTH(E923,0)+1,-2,1,FERIADOS!$A$2:$A$250),"SÍ","NO")</x:f>
        <x:v>NO</x:v>
      </x:c>
      <x:c r="G923" s="10" t="n">
        <x:f>IF(F923="SÍ",EOMONTH(E923,0)+1,DATE(YEAR(E923),MONTH(E923),1))</x:f>
        <x:v>46569</x:v>
      </x:c>
      <x:c r="H923" t="str">
        <x:f>IF(D923="NO",IF(C923="SÍ","FERIADO","FIN DE SEMANA"),"LABORABLE")&amp;IF(F923="SÍ"," + CIERRE","")</x:f>
        <x:v>FIN DE SEMANA</x:v>
      </x:c>
      <x:c r="I923" t="str">
        <x:f>TEXT(G923,"yyyy-mm")</x:f>
        <x:v>2027-07</x:v>
      </x:c>
    </x:row>
    <x:row r="924" ht="19" customHeight="1">
      <x:c r="A924" s="2" t="n">
        <x:v>46580</x:v>
      </x:c>
      <x:c r="B924" t="str">
        <x:f>CHOOSE(WEEKDAY(A924,2),"Lunes","Martes","Miércoles","Jueves","Viernes","Sábado","Domingo")</x:f>
        <x:v>Lunes</x:v>
      </x:c>
      <x:c r="C924" t="str">
        <x:f>IF(COUNTIF(FERIADOS!$A$2:$A$250,A924)&gt;0,"SÍ","NO")</x:f>
        <x:v>NO</x:v>
      </x:c>
      <x:c r="D924" t="str">
        <x:f>IF(AND(WEEKDAY(A924,2)&lt;=5,C924="NO"),"SÍ","NO")</x:f>
        <x:v>SÍ</x:v>
      </x:c>
      <x:c r="E924" s="2" t="n">
        <x:f>WORKDAY.INTL(A924-1,1,1,FERIADOS!$A$2:$A$250)</x:f>
        <x:v>46580</x:v>
      </x:c>
      <x:c r="F924" t="str">
        <x:f>IF(E924&gt;=WORKDAY.INTL(EOMONTH(E924,0)+1,-2,1,FERIADOS!$A$2:$A$250),"SÍ","NO")</x:f>
        <x:v>NO</x:v>
      </x:c>
      <x:c r="G924" s="10" t="n">
        <x:f>IF(F924="SÍ",EOMONTH(E924,0)+1,DATE(YEAR(E924),MONTH(E924),1))</x:f>
        <x:v>46569</x:v>
      </x:c>
      <x:c r="H924" t="str">
        <x:f>IF(D924="NO",IF(C924="SÍ","FERIADO","FIN DE SEMANA"),"LABORABLE")&amp;IF(F924="SÍ"," + CIERRE","")</x:f>
        <x:v>LABORABLE</x:v>
      </x:c>
      <x:c r="I924" t="str">
        <x:f>TEXT(G924,"yyyy-mm")</x:f>
        <x:v>2027-07</x:v>
      </x:c>
    </x:row>
    <x:row r="925" ht="19" customHeight="1">
      <x:c r="A925" s="2" t="n">
        <x:v>46581</x:v>
      </x:c>
      <x:c r="B925" t="str">
        <x:f>CHOOSE(WEEKDAY(A925,2),"Lunes","Martes","Miércoles","Jueves","Viernes","Sábado","Domingo")</x:f>
        <x:v>Martes</x:v>
      </x:c>
      <x:c r="C925" t="str">
        <x:f>IF(COUNTIF(FERIADOS!$A$2:$A$250,A925)&gt;0,"SÍ","NO")</x:f>
        <x:v>NO</x:v>
      </x:c>
      <x:c r="D925" t="str">
        <x:f>IF(AND(WEEKDAY(A925,2)&lt;=5,C925="NO"),"SÍ","NO")</x:f>
        <x:v>SÍ</x:v>
      </x:c>
      <x:c r="E925" s="2" t="n">
        <x:f>WORKDAY.INTL(A925-1,1,1,FERIADOS!$A$2:$A$250)</x:f>
        <x:v>46581</x:v>
      </x:c>
      <x:c r="F925" t="str">
        <x:f>IF(E925&gt;=WORKDAY.INTL(EOMONTH(E925,0)+1,-2,1,FERIADOS!$A$2:$A$250),"SÍ","NO")</x:f>
        <x:v>NO</x:v>
      </x:c>
      <x:c r="G925" s="10" t="n">
        <x:f>IF(F925="SÍ",EOMONTH(E925,0)+1,DATE(YEAR(E925),MONTH(E925),1))</x:f>
        <x:v>46569</x:v>
      </x:c>
      <x:c r="H925" t="str">
        <x:f>IF(D925="NO",IF(C925="SÍ","FERIADO","FIN DE SEMANA"),"LABORABLE")&amp;IF(F925="SÍ"," + CIERRE","")</x:f>
        <x:v>LABORABLE</x:v>
      </x:c>
      <x:c r="I925" t="str">
        <x:f>TEXT(G925,"yyyy-mm")</x:f>
        <x:v>2027-07</x:v>
      </x:c>
    </x:row>
    <x:row r="926" ht="19" customHeight="1">
      <x:c r="A926" s="2" t="n">
        <x:v>46582</x:v>
      </x:c>
      <x:c r="B926" t="str">
        <x:f>CHOOSE(WEEKDAY(A926,2),"Lunes","Martes","Miércoles","Jueves","Viernes","Sábado","Domingo")</x:f>
        <x:v>Miércoles</x:v>
      </x:c>
      <x:c r="C926" t="str">
        <x:f>IF(COUNTIF(FERIADOS!$A$2:$A$250,A926)&gt;0,"SÍ","NO")</x:f>
        <x:v>NO</x:v>
      </x:c>
      <x:c r="D926" t="str">
        <x:f>IF(AND(WEEKDAY(A926,2)&lt;=5,C926="NO"),"SÍ","NO")</x:f>
        <x:v>SÍ</x:v>
      </x:c>
      <x:c r="E926" s="2" t="n">
        <x:f>WORKDAY.INTL(A926-1,1,1,FERIADOS!$A$2:$A$250)</x:f>
        <x:v>46582</x:v>
      </x:c>
      <x:c r="F926" t="str">
        <x:f>IF(E926&gt;=WORKDAY.INTL(EOMONTH(E926,0)+1,-2,1,FERIADOS!$A$2:$A$250),"SÍ","NO")</x:f>
        <x:v>NO</x:v>
      </x:c>
      <x:c r="G926" s="10" t="n">
        <x:f>IF(F926="SÍ",EOMONTH(E926,0)+1,DATE(YEAR(E926),MONTH(E926),1))</x:f>
        <x:v>46569</x:v>
      </x:c>
      <x:c r="H926" t="str">
        <x:f>IF(D926="NO",IF(C926="SÍ","FERIADO","FIN DE SEMANA"),"LABORABLE")&amp;IF(F926="SÍ"," + CIERRE","")</x:f>
        <x:v>LABORABLE</x:v>
      </x:c>
      <x:c r="I926" t="str">
        <x:f>TEXT(G926,"yyyy-mm")</x:f>
        <x:v>2027-07</x:v>
      </x:c>
    </x:row>
    <x:row r="927" ht="19" customHeight="1">
      <x:c r="A927" s="2" t="n">
        <x:v>46583</x:v>
      </x:c>
      <x:c r="B927" t="str">
        <x:f>CHOOSE(WEEKDAY(A927,2),"Lunes","Martes","Miércoles","Jueves","Viernes","Sábado","Domingo")</x:f>
        <x:v>Jueves</x:v>
      </x:c>
      <x:c r="C927" t="str">
        <x:f>IF(COUNTIF(FERIADOS!$A$2:$A$250,A927)&gt;0,"SÍ","NO")</x:f>
        <x:v>NO</x:v>
      </x:c>
      <x:c r="D927" t="str">
        <x:f>IF(AND(WEEKDAY(A927,2)&lt;=5,C927="NO"),"SÍ","NO")</x:f>
        <x:v>SÍ</x:v>
      </x:c>
      <x:c r="E927" s="2" t="n">
        <x:f>WORKDAY.INTL(A927-1,1,1,FERIADOS!$A$2:$A$250)</x:f>
        <x:v>46583</x:v>
      </x:c>
      <x:c r="F927" t="str">
        <x:f>IF(E927&gt;=WORKDAY.INTL(EOMONTH(E927,0)+1,-2,1,FERIADOS!$A$2:$A$250),"SÍ","NO")</x:f>
        <x:v>NO</x:v>
      </x:c>
      <x:c r="G927" s="10" t="n">
        <x:f>IF(F927="SÍ",EOMONTH(E927,0)+1,DATE(YEAR(E927),MONTH(E927),1))</x:f>
        <x:v>46569</x:v>
      </x:c>
      <x:c r="H927" t="str">
        <x:f>IF(D927="NO",IF(C927="SÍ","FERIADO","FIN DE SEMANA"),"LABORABLE")&amp;IF(F927="SÍ"," + CIERRE","")</x:f>
        <x:v>LABORABLE</x:v>
      </x:c>
      <x:c r="I927" t="str">
        <x:f>TEXT(G927,"yyyy-mm")</x:f>
        <x:v>2027-07</x:v>
      </x:c>
    </x:row>
    <x:row r="928" ht="19" customHeight="1">
      <x:c r="A928" s="2" t="n">
        <x:v>46584</x:v>
      </x:c>
      <x:c r="B928" t="str">
        <x:f>CHOOSE(WEEKDAY(A928,2),"Lunes","Martes","Miércoles","Jueves","Viernes","Sábado","Domingo")</x:f>
        <x:v>Viernes</x:v>
      </x:c>
      <x:c r="C928" t="str">
        <x:f>IF(COUNTIF(FERIADOS!$A$2:$A$250,A928)&gt;0,"SÍ","NO")</x:f>
        <x:v>NO</x:v>
      </x:c>
      <x:c r="D928" t="str">
        <x:f>IF(AND(WEEKDAY(A928,2)&lt;=5,C928="NO"),"SÍ","NO")</x:f>
        <x:v>SÍ</x:v>
      </x:c>
      <x:c r="E928" s="2" t="n">
        <x:f>WORKDAY.INTL(A928-1,1,1,FERIADOS!$A$2:$A$250)</x:f>
        <x:v>46584</x:v>
      </x:c>
      <x:c r="F928" t="str">
        <x:f>IF(E928&gt;=WORKDAY.INTL(EOMONTH(E928,0)+1,-2,1,FERIADOS!$A$2:$A$250),"SÍ","NO")</x:f>
        <x:v>NO</x:v>
      </x:c>
      <x:c r="G928" s="10" t="n">
        <x:f>IF(F928="SÍ",EOMONTH(E928,0)+1,DATE(YEAR(E928),MONTH(E928),1))</x:f>
        <x:v>46569</x:v>
      </x:c>
      <x:c r="H928" t="str">
        <x:f>IF(D928="NO",IF(C928="SÍ","FERIADO","FIN DE SEMANA"),"LABORABLE")&amp;IF(F928="SÍ"," + CIERRE","")</x:f>
        <x:v>LABORABLE</x:v>
      </x:c>
      <x:c r="I928" t="str">
        <x:f>TEXT(G928,"yyyy-mm")</x:f>
        <x:v>2027-07</x:v>
      </x:c>
    </x:row>
    <x:row r="929" ht="19" customHeight="1">
      <x:c r="A929" s="2" t="n">
        <x:v>46585</x:v>
      </x:c>
      <x:c r="B929" t="str">
        <x:f>CHOOSE(WEEKDAY(A929,2),"Lunes","Martes","Miércoles","Jueves","Viernes","Sábado","Domingo")</x:f>
        <x:v>Sábado</x:v>
      </x:c>
      <x:c r="C929" t="str">
        <x:f>IF(COUNTIF(FERIADOS!$A$2:$A$250,A929)&gt;0,"SÍ","NO")</x:f>
        <x:v>NO</x:v>
      </x:c>
      <x:c r="D929" t="str">
        <x:f>IF(AND(WEEKDAY(A929,2)&lt;=5,C929="NO"),"SÍ","NO")</x:f>
        <x:v>NO</x:v>
      </x:c>
      <x:c r="E929" s="2" t="n">
        <x:f>WORKDAY.INTL(A929-1,1,1,FERIADOS!$A$2:$A$250)</x:f>
        <x:v>46587</x:v>
      </x:c>
      <x:c r="F929" t="str">
        <x:f>IF(E929&gt;=WORKDAY.INTL(EOMONTH(E929,0)+1,-2,1,FERIADOS!$A$2:$A$250),"SÍ","NO")</x:f>
        <x:v>NO</x:v>
      </x:c>
      <x:c r="G929" s="10" t="n">
        <x:f>IF(F929="SÍ",EOMONTH(E929,0)+1,DATE(YEAR(E929),MONTH(E929),1))</x:f>
        <x:v>46569</x:v>
      </x:c>
      <x:c r="H929" t="str">
        <x:f>IF(D929="NO",IF(C929="SÍ","FERIADO","FIN DE SEMANA"),"LABORABLE")&amp;IF(F929="SÍ"," + CIERRE","")</x:f>
        <x:v>FIN DE SEMANA</x:v>
      </x:c>
      <x:c r="I929" t="str">
        <x:f>TEXT(G929,"yyyy-mm")</x:f>
        <x:v>2027-07</x:v>
      </x:c>
    </x:row>
    <x:row r="930" ht="19" customHeight="1">
      <x:c r="A930" s="2" t="n">
        <x:v>46586</x:v>
      </x:c>
      <x:c r="B930" t="str">
        <x:f>CHOOSE(WEEKDAY(A930,2),"Lunes","Martes","Miércoles","Jueves","Viernes","Sábado","Domingo")</x:f>
        <x:v>Domingo</x:v>
      </x:c>
      <x:c r="C930" t="str">
        <x:f>IF(COUNTIF(FERIADOS!$A$2:$A$250,A930)&gt;0,"SÍ","NO")</x:f>
        <x:v>NO</x:v>
      </x:c>
      <x:c r="D930" t="str">
        <x:f>IF(AND(WEEKDAY(A930,2)&lt;=5,C930="NO"),"SÍ","NO")</x:f>
        <x:v>NO</x:v>
      </x:c>
      <x:c r="E930" s="2" t="n">
        <x:f>WORKDAY.INTL(A930-1,1,1,FERIADOS!$A$2:$A$250)</x:f>
        <x:v>46587</x:v>
      </x:c>
      <x:c r="F930" t="str">
        <x:f>IF(E930&gt;=WORKDAY.INTL(EOMONTH(E930,0)+1,-2,1,FERIADOS!$A$2:$A$250),"SÍ","NO")</x:f>
        <x:v>NO</x:v>
      </x:c>
      <x:c r="G930" s="10" t="n">
        <x:f>IF(F930="SÍ",EOMONTH(E930,0)+1,DATE(YEAR(E930),MONTH(E930),1))</x:f>
        <x:v>46569</x:v>
      </x:c>
      <x:c r="H930" t="str">
        <x:f>IF(D930="NO",IF(C930="SÍ","FERIADO","FIN DE SEMANA"),"LABORABLE")&amp;IF(F930="SÍ"," + CIERRE","")</x:f>
        <x:v>FIN DE SEMANA</x:v>
      </x:c>
      <x:c r="I930" t="str">
        <x:f>TEXT(G930,"yyyy-mm")</x:f>
        <x:v>2027-07</x:v>
      </x:c>
    </x:row>
    <x:row r="931" ht="19" customHeight="1">
      <x:c r="A931" s="2" t="n">
        <x:v>46587</x:v>
      </x:c>
      <x:c r="B931" t="str">
        <x:f>CHOOSE(WEEKDAY(A931,2),"Lunes","Martes","Miércoles","Jueves","Viernes","Sábado","Domingo")</x:f>
        <x:v>Lunes</x:v>
      </x:c>
      <x:c r="C931" t="str">
        <x:f>IF(COUNTIF(FERIADOS!$A$2:$A$250,A931)&gt;0,"SÍ","NO")</x:f>
        <x:v>NO</x:v>
      </x:c>
      <x:c r="D931" t="str">
        <x:f>IF(AND(WEEKDAY(A931,2)&lt;=5,C931="NO"),"SÍ","NO")</x:f>
        <x:v>SÍ</x:v>
      </x:c>
      <x:c r="E931" s="2" t="n">
        <x:f>WORKDAY.INTL(A931-1,1,1,FERIADOS!$A$2:$A$250)</x:f>
        <x:v>46587</x:v>
      </x:c>
      <x:c r="F931" t="str">
        <x:f>IF(E931&gt;=WORKDAY.INTL(EOMONTH(E931,0)+1,-2,1,FERIADOS!$A$2:$A$250),"SÍ","NO")</x:f>
        <x:v>NO</x:v>
      </x:c>
      <x:c r="G931" s="10" t="n">
        <x:f>IF(F931="SÍ",EOMONTH(E931,0)+1,DATE(YEAR(E931),MONTH(E931),1))</x:f>
        <x:v>46569</x:v>
      </x:c>
      <x:c r="H931" t="str">
        <x:f>IF(D931="NO",IF(C931="SÍ","FERIADO","FIN DE SEMANA"),"LABORABLE")&amp;IF(F931="SÍ"," + CIERRE","")</x:f>
        <x:v>LABORABLE</x:v>
      </x:c>
      <x:c r="I931" t="str">
        <x:f>TEXT(G931,"yyyy-mm")</x:f>
        <x:v>2027-07</x:v>
      </x:c>
    </x:row>
    <x:row r="932" ht="19" customHeight="1">
      <x:c r="A932" s="2" t="n">
        <x:v>46588</x:v>
      </x:c>
      <x:c r="B932" t="str">
        <x:f>CHOOSE(WEEKDAY(A932,2),"Lunes","Martes","Miércoles","Jueves","Viernes","Sábado","Domingo")</x:f>
        <x:v>Martes</x:v>
      </x:c>
      <x:c r="C932" t="str">
        <x:f>IF(COUNTIF(FERIADOS!$A$2:$A$250,A932)&gt;0,"SÍ","NO")</x:f>
        <x:v>NO</x:v>
      </x:c>
      <x:c r="D932" t="str">
        <x:f>IF(AND(WEEKDAY(A932,2)&lt;=5,C932="NO"),"SÍ","NO")</x:f>
        <x:v>SÍ</x:v>
      </x:c>
      <x:c r="E932" s="2" t="n">
        <x:f>WORKDAY.INTL(A932-1,1,1,FERIADOS!$A$2:$A$250)</x:f>
        <x:v>46588</x:v>
      </x:c>
      <x:c r="F932" t="str">
        <x:f>IF(E932&gt;=WORKDAY.INTL(EOMONTH(E932,0)+1,-2,1,FERIADOS!$A$2:$A$250),"SÍ","NO")</x:f>
        <x:v>NO</x:v>
      </x:c>
      <x:c r="G932" s="10" t="n">
        <x:f>IF(F932="SÍ",EOMONTH(E932,0)+1,DATE(YEAR(E932),MONTH(E932),1))</x:f>
        <x:v>46569</x:v>
      </x:c>
      <x:c r="H932" t="str">
        <x:f>IF(D932="NO",IF(C932="SÍ","FERIADO","FIN DE SEMANA"),"LABORABLE")&amp;IF(F932="SÍ"," + CIERRE","")</x:f>
        <x:v>LABORABLE</x:v>
      </x:c>
      <x:c r="I932" t="str">
        <x:f>TEXT(G932,"yyyy-mm")</x:f>
        <x:v>2027-07</x:v>
      </x:c>
    </x:row>
    <x:row r="933" ht="19" customHeight="1">
      <x:c r="A933" s="2" t="n">
        <x:v>46589</x:v>
      </x:c>
      <x:c r="B933" t="str">
        <x:f>CHOOSE(WEEKDAY(A933,2),"Lunes","Martes","Miércoles","Jueves","Viernes","Sábado","Domingo")</x:f>
        <x:v>Miércoles</x:v>
      </x:c>
      <x:c r="C933" t="str">
        <x:f>IF(COUNTIF(FERIADOS!$A$2:$A$250,A933)&gt;0,"SÍ","NO")</x:f>
        <x:v>NO</x:v>
      </x:c>
      <x:c r="D933" t="str">
        <x:f>IF(AND(WEEKDAY(A933,2)&lt;=5,C933="NO"),"SÍ","NO")</x:f>
        <x:v>SÍ</x:v>
      </x:c>
      <x:c r="E933" s="2" t="n">
        <x:f>WORKDAY.INTL(A933-1,1,1,FERIADOS!$A$2:$A$250)</x:f>
        <x:v>46589</x:v>
      </x:c>
      <x:c r="F933" t="str">
        <x:f>IF(E933&gt;=WORKDAY.INTL(EOMONTH(E933,0)+1,-2,1,FERIADOS!$A$2:$A$250),"SÍ","NO")</x:f>
        <x:v>NO</x:v>
      </x:c>
      <x:c r="G933" s="10" t="n">
        <x:f>IF(F933="SÍ",EOMONTH(E933,0)+1,DATE(YEAR(E933),MONTH(E933),1))</x:f>
        <x:v>46569</x:v>
      </x:c>
      <x:c r="H933" t="str">
        <x:f>IF(D933="NO",IF(C933="SÍ","FERIADO","FIN DE SEMANA"),"LABORABLE")&amp;IF(F933="SÍ"," + CIERRE","")</x:f>
        <x:v>LABORABLE</x:v>
      </x:c>
      <x:c r="I933" t="str">
        <x:f>TEXT(G933,"yyyy-mm")</x:f>
        <x:v>2027-07</x:v>
      </x:c>
    </x:row>
    <x:row r="934" ht="19" customHeight="1">
      <x:c r="A934" s="2" t="n">
        <x:v>46590</x:v>
      </x:c>
      <x:c r="B934" t="str">
        <x:f>CHOOSE(WEEKDAY(A934,2),"Lunes","Martes","Miércoles","Jueves","Viernes","Sábado","Domingo")</x:f>
        <x:v>Jueves</x:v>
      </x:c>
      <x:c r="C934" t="str">
        <x:f>IF(COUNTIF(FERIADOS!$A$2:$A$250,A934)&gt;0,"SÍ","NO")</x:f>
        <x:v>NO</x:v>
      </x:c>
      <x:c r="D934" t="str">
        <x:f>IF(AND(WEEKDAY(A934,2)&lt;=5,C934="NO"),"SÍ","NO")</x:f>
        <x:v>SÍ</x:v>
      </x:c>
      <x:c r="E934" s="2" t="n">
        <x:f>WORKDAY.INTL(A934-1,1,1,FERIADOS!$A$2:$A$250)</x:f>
        <x:v>46590</x:v>
      </x:c>
      <x:c r="F934" t="str">
        <x:f>IF(E934&gt;=WORKDAY.INTL(EOMONTH(E934,0)+1,-2,1,FERIADOS!$A$2:$A$250),"SÍ","NO")</x:f>
        <x:v>NO</x:v>
      </x:c>
      <x:c r="G934" s="10" t="n">
        <x:f>IF(F934="SÍ",EOMONTH(E934,0)+1,DATE(YEAR(E934),MONTH(E934),1))</x:f>
        <x:v>46569</x:v>
      </x:c>
      <x:c r="H934" t="str">
        <x:f>IF(D934="NO",IF(C934="SÍ","FERIADO","FIN DE SEMANA"),"LABORABLE")&amp;IF(F934="SÍ"," + CIERRE","")</x:f>
        <x:v>LABORABLE</x:v>
      </x:c>
      <x:c r="I934" t="str">
        <x:f>TEXT(G934,"yyyy-mm")</x:f>
        <x:v>2027-07</x:v>
      </x:c>
    </x:row>
    <x:row r="935" ht="19" customHeight="1">
      <x:c r="A935" s="2" t="n">
        <x:v>46591</x:v>
      </x:c>
      <x:c r="B935" t="str">
        <x:f>CHOOSE(WEEKDAY(A935,2),"Lunes","Martes","Miércoles","Jueves","Viernes","Sábado","Domingo")</x:f>
        <x:v>Viernes</x:v>
      </x:c>
      <x:c r="C935" t="str">
        <x:f>IF(COUNTIF(FERIADOS!$A$2:$A$250,A935)&gt;0,"SÍ","NO")</x:f>
        <x:v>NO</x:v>
      </x:c>
      <x:c r="D935" t="str">
        <x:f>IF(AND(WEEKDAY(A935,2)&lt;=5,C935="NO"),"SÍ","NO")</x:f>
        <x:v>SÍ</x:v>
      </x:c>
      <x:c r="E935" s="2" t="n">
        <x:f>WORKDAY.INTL(A935-1,1,1,FERIADOS!$A$2:$A$250)</x:f>
        <x:v>46591</x:v>
      </x:c>
      <x:c r="F935" t="str">
        <x:f>IF(E935&gt;=WORKDAY.INTL(EOMONTH(E935,0)+1,-2,1,FERIADOS!$A$2:$A$250),"SÍ","NO")</x:f>
        <x:v>NO</x:v>
      </x:c>
      <x:c r="G935" s="10" t="n">
        <x:f>IF(F935="SÍ",EOMONTH(E935,0)+1,DATE(YEAR(E935),MONTH(E935),1))</x:f>
        <x:v>46569</x:v>
      </x:c>
      <x:c r="H935" t="str">
        <x:f>IF(D935="NO",IF(C935="SÍ","FERIADO","FIN DE SEMANA"),"LABORABLE")&amp;IF(F935="SÍ"," + CIERRE","")</x:f>
        <x:v>LABORABLE</x:v>
      </x:c>
      <x:c r="I935" t="str">
        <x:f>TEXT(G935,"yyyy-mm")</x:f>
        <x:v>2027-07</x:v>
      </x:c>
    </x:row>
    <x:row r="936" ht="19" customHeight="1">
      <x:c r="A936" s="2" t="n">
        <x:v>46592</x:v>
      </x:c>
      <x:c r="B936" t="str">
        <x:f>CHOOSE(WEEKDAY(A936,2),"Lunes","Martes","Miércoles","Jueves","Viernes","Sábado","Domingo")</x:f>
        <x:v>Sábado</x:v>
      </x:c>
      <x:c r="C936" t="str">
        <x:f>IF(COUNTIF(FERIADOS!$A$2:$A$250,A936)&gt;0,"SÍ","NO")</x:f>
        <x:v>NO</x:v>
      </x:c>
      <x:c r="D936" t="str">
        <x:f>IF(AND(WEEKDAY(A936,2)&lt;=5,C936="NO"),"SÍ","NO")</x:f>
        <x:v>NO</x:v>
      </x:c>
      <x:c r="E936" s="2" t="n">
        <x:f>WORKDAY.INTL(A936-1,1,1,FERIADOS!$A$2:$A$250)</x:f>
        <x:v>46594</x:v>
      </x:c>
      <x:c r="F936" t="str">
        <x:f>IF(E936&gt;=WORKDAY.INTL(EOMONTH(E936,0)+1,-2,1,FERIADOS!$A$2:$A$250),"SÍ","NO")</x:f>
        <x:v>NO</x:v>
      </x:c>
      <x:c r="G936" s="10" t="n">
        <x:f>IF(F936="SÍ",EOMONTH(E936,0)+1,DATE(YEAR(E936),MONTH(E936),1))</x:f>
        <x:v>46569</x:v>
      </x:c>
      <x:c r="H936" t="str">
        <x:f>IF(D936="NO",IF(C936="SÍ","FERIADO","FIN DE SEMANA"),"LABORABLE")&amp;IF(F936="SÍ"," + CIERRE","")</x:f>
        <x:v>FIN DE SEMANA</x:v>
      </x:c>
      <x:c r="I936" t="str">
        <x:f>TEXT(G936,"yyyy-mm")</x:f>
        <x:v>2027-07</x:v>
      </x:c>
    </x:row>
    <x:row r="937" ht="19" customHeight="1">
      <x:c r="A937" s="2" t="n">
        <x:v>46593</x:v>
      </x:c>
      <x:c r="B937" t="str">
        <x:f>CHOOSE(WEEKDAY(A937,2),"Lunes","Martes","Miércoles","Jueves","Viernes","Sábado","Domingo")</x:f>
        <x:v>Domingo</x:v>
      </x:c>
      <x:c r="C937" t="str">
        <x:f>IF(COUNTIF(FERIADOS!$A$2:$A$250,A937)&gt;0,"SÍ","NO")</x:f>
        <x:v>NO</x:v>
      </x:c>
      <x:c r="D937" t="str">
        <x:f>IF(AND(WEEKDAY(A937,2)&lt;=5,C937="NO"),"SÍ","NO")</x:f>
        <x:v>NO</x:v>
      </x:c>
      <x:c r="E937" s="2" t="n">
        <x:f>WORKDAY.INTL(A937-1,1,1,FERIADOS!$A$2:$A$250)</x:f>
        <x:v>46594</x:v>
      </x:c>
      <x:c r="F937" t="str">
        <x:f>IF(E937&gt;=WORKDAY.INTL(EOMONTH(E937,0)+1,-2,1,FERIADOS!$A$2:$A$250),"SÍ","NO")</x:f>
        <x:v>NO</x:v>
      </x:c>
      <x:c r="G937" s="10" t="n">
        <x:f>IF(F937="SÍ",EOMONTH(E937,0)+1,DATE(YEAR(E937),MONTH(E937),1))</x:f>
        <x:v>46569</x:v>
      </x:c>
      <x:c r="H937" t="str">
        <x:f>IF(D937="NO",IF(C937="SÍ","FERIADO","FIN DE SEMANA"),"LABORABLE")&amp;IF(F937="SÍ"," + CIERRE","")</x:f>
        <x:v>FIN DE SEMANA</x:v>
      </x:c>
      <x:c r="I937" t="str">
        <x:f>TEXT(G937,"yyyy-mm")</x:f>
        <x:v>2027-07</x:v>
      </x:c>
    </x:row>
    <x:row r="938" ht="19" customHeight="1">
      <x:c r="A938" s="2" t="n">
        <x:v>46594</x:v>
      </x:c>
      <x:c r="B938" t="str">
        <x:f>CHOOSE(WEEKDAY(A938,2),"Lunes","Martes","Miércoles","Jueves","Viernes","Sábado","Domingo")</x:f>
        <x:v>Lunes</x:v>
      </x:c>
      <x:c r="C938" t="str">
        <x:f>IF(COUNTIF(FERIADOS!$A$2:$A$250,A938)&gt;0,"SÍ","NO")</x:f>
        <x:v>NO</x:v>
      </x:c>
      <x:c r="D938" t="str">
        <x:f>IF(AND(WEEKDAY(A938,2)&lt;=5,C938="NO"),"SÍ","NO")</x:f>
        <x:v>SÍ</x:v>
      </x:c>
      <x:c r="E938" s="2" t="n">
        <x:f>WORKDAY.INTL(A938-1,1,1,FERIADOS!$A$2:$A$250)</x:f>
        <x:v>46594</x:v>
      </x:c>
      <x:c r="F938" t="str">
        <x:f>IF(E938&gt;=WORKDAY.INTL(EOMONTH(E938,0)+1,-2,1,FERIADOS!$A$2:$A$250),"SÍ","NO")</x:f>
        <x:v>NO</x:v>
      </x:c>
      <x:c r="G938" s="10" t="n">
        <x:f>IF(F938="SÍ",EOMONTH(E938,0)+1,DATE(YEAR(E938),MONTH(E938),1))</x:f>
        <x:v>46569</x:v>
      </x:c>
      <x:c r="H938" t="str">
        <x:f>IF(D938="NO",IF(C938="SÍ","FERIADO","FIN DE SEMANA"),"LABORABLE")&amp;IF(F938="SÍ"," + CIERRE","")</x:f>
        <x:v>LABORABLE</x:v>
      </x:c>
      <x:c r="I938" t="str">
        <x:f>TEXT(G938,"yyyy-mm")</x:f>
        <x:v>2027-07</x:v>
      </x:c>
    </x:row>
    <x:row r="939" ht="19" customHeight="1">
      <x:c r="A939" s="2" t="n">
        <x:v>46595</x:v>
      </x:c>
      <x:c r="B939" t="str">
        <x:f>CHOOSE(WEEKDAY(A939,2),"Lunes","Martes","Miércoles","Jueves","Viernes","Sábado","Domingo")</x:f>
        <x:v>Martes</x:v>
      </x:c>
      <x:c r="C939" t="str">
        <x:f>IF(COUNTIF(FERIADOS!$A$2:$A$250,A939)&gt;0,"SÍ","NO")</x:f>
        <x:v>NO</x:v>
      </x:c>
      <x:c r="D939" t="str">
        <x:f>IF(AND(WEEKDAY(A939,2)&lt;=5,C939="NO"),"SÍ","NO")</x:f>
        <x:v>SÍ</x:v>
      </x:c>
      <x:c r="E939" s="2" t="n">
        <x:f>WORKDAY.INTL(A939-1,1,1,FERIADOS!$A$2:$A$250)</x:f>
        <x:v>46595</x:v>
      </x:c>
      <x:c r="F939" t="str">
        <x:f>IF(E939&gt;=WORKDAY.INTL(EOMONTH(E939,0)+1,-2,1,FERIADOS!$A$2:$A$250),"SÍ","NO")</x:f>
        <x:v>NO</x:v>
      </x:c>
      <x:c r="G939" s="10" t="n">
        <x:f>IF(F939="SÍ",EOMONTH(E939,0)+1,DATE(YEAR(E939),MONTH(E939),1))</x:f>
        <x:v>46569</x:v>
      </x:c>
      <x:c r="H939" t="str">
        <x:f>IF(D939="NO",IF(C939="SÍ","FERIADO","FIN DE SEMANA"),"LABORABLE")&amp;IF(F939="SÍ"," + CIERRE","")</x:f>
        <x:v>LABORABLE</x:v>
      </x:c>
      <x:c r="I939" t="str">
        <x:f>TEXT(G939,"yyyy-mm")</x:f>
        <x:v>2027-07</x:v>
      </x:c>
    </x:row>
    <x:row r="940" ht="19" customHeight="1">
      <x:c r="A940" s="2" t="n">
        <x:v>46596</x:v>
      </x:c>
      <x:c r="B940" t="str">
        <x:f>CHOOSE(WEEKDAY(A940,2),"Lunes","Martes","Miércoles","Jueves","Viernes","Sábado","Domingo")</x:f>
        <x:v>Miércoles</x:v>
      </x:c>
      <x:c r="C940" t="str">
        <x:f>IF(COUNTIF(FERIADOS!$A$2:$A$250,A940)&gt;0,"SÍ","NO")</x:f>
        <x:v>NO</x:v>
      </x:c>
      <x:c r="D940" t="str">
        <x:f>IF(AND(WEEKDAY(A940,2)&lt;=5,C940="NO"),"SÍ","NO")</x:f>
        <x:v>SÍ</x:v>
      </x:c>
      <x:c r="E940" s="2" t="n">
        <x:f>WORKDAY.INTL(A940-1,1,1,FERIADOS!$A$2:$A$250)</x:f>
        <x:v>46596</x:v>
      </x:c>
      <x:c r="F940" t="str">
        <x:f>IF(E940&gt;=WORKDAY.INTL(EOMONTH(E940,0)+1,-2,1,FERIADOS!$A$2:$A$250),"SÍ","NO")</x:f>
        <x:v>NO</x:v>
      </x:c>
      <x:c r="G940" s="10" t="n">
        <x:f>IF(F940="SÍ",EOMONTH(E940,0)+1,DATE(YEAR(E940),MONTH(E940),1))</x:f>
        <x:v>46569</x:v>
      </x:c>
      <x:c r="H940" t="str">
        <x:f>IF(D940="NO",IF(C940="SÍ","FERIADO","FIN DE SEMANA"),"LABORABLE")&amp;IF(F940="SÍ"," + CIERRE","")</x:f>
        <x:v>LABORABLE</x:v>
      </x:c>
      <x:c r="I940" t="str">
        <x:f>TEXT(G940,"yyyy-mm")</x:f>
        <x:v>2027-07</x:v>
      </x:c>
    </x:row>
    <x:row r="941" ht="19" customHeight="1">
      <x:c r="A941" s="2" t="n">
        <x:v>46597</x:v>
      </x:c>
      <x:c r="B941" t="str">
        <x:f>CHOOSE(WEEKDAY(A941,2),"Lunes","Martes","Miércoles","Jueves","Viernes","Sábado","Domingo")</x:f>
        <x:v>Jueves</x:v>
      </x:c>
      <x:c r="C941" t="str">
        <x:f>IF(COUNTIF(FERIADOS!$A$2:$A$250,A941)&gt;0,"SÍ","NO")</x:f>
        <x:v>NO</x:v>
      </x:c>
      <x:c r="D941" t="str">
        <x:f>IF(AND(WEEKDAY(A941,2)&lt;=5,C941="NO"),"SÍ","NO")</x:f>
        <x:v>SÍ</x:v>
      </x:c>
      <x:c r="E941" s="2" t="n">
        <x:f>WORKDAY.INTL(A941-1,1,1,FERIADOS!$A$2:$A$250)</x:f>
        <x:v>46597</x:v>
      </x:c>
      <x:c r="F941" t="str">
        <x:f>IF(E941&gt;=WORKDAY.INTL(EOMONTH(E941,0)+1,-2,1,FERIADOS!$A$2:$A$250),"SÍ","NO")</x:f>
        <x:v>SÍ</x:v>
      </x:c>
      <x:c r="G941" s="10" t="n">
        <x:f>IF(F941="SÍ",EOMONTH(E941,0)+1,DATE(YEAR(E941),MONTH(E941),1))</x:f>
        <x:v>46600</x:v>
      </x:c>
      <x:c r="H941" t="str">
        <x:f>IF(D941="NO",IF(C941="SÍ","FERIADO","FIN DE SEMANA"),"LABORABLE")&amp;IF(F941="SÍ"," + CIERRE","")</x:f>
        <x:v>LABORABLE + CIERRE</x:v>
      </x:c>
      <x:c r="I941" t="str">
        <x:f>TEXT(G941,"yyyy-mm")</x:f>
        <x:v>2027-08</x:v>
      </x:c>
    </x:row>
    <x:row r="942" ht="19" customHeight="1">
      <x:c r="A942" s="2" t="n">
        <x:v>46598</x:v>
      </x:c>
      <x:c r="B942" t="str">
        <x:f>CHOOSE(WEEKDAY(A942,2),"Lunes","Martes","Miércoles","Jueves","Viernes","Sábado","Domingo")</x:f>
        <x:v>Viernes</x:v>
      </x:c>
      <x:c r="C942" t="str">
        <x:f>IF(COUNTIF(FERIADOS!$A$2:$A$250,A942)&gt;0,"SÍ","NO")</x:f>
        <x:v>NO</x:v>
      </x:c>
      <x:c r="D942" t="str">
        <x:f>IF(AND(WEEKDAY(A942,2)&lt;=5,C942="NO"),"SÍ","NO")</x:f>
        <x:v>SÍ</x:v>
      </x:c>
      <x:c r="E942" s="2" t="n">
        <x:f>WORKDAY.INTL(A942-1,1,1,FERIADOS!$A$2:$A$250)</x:f>
        <x:v>46598</x:v>
      </x:c>
      <x:c r="F942" t="str">
        <x:f>IF(E942&gt;=WORKDAY.INTL(EOMONTH(E942,0)+1,-2,1,FERIADOS!$A$2:$A$250),"SÍ","NO")</x:f>
        <x:v>SÍ</x:v>
      </x:c>
      <x:c r="G942" s="10" t="n">
        <x:f>IF(F942="SÍ",EOMONTH(E942,0)+1,DATE(YEAR(E942),MONTH(E942),1))</x:f>
        <x:v>46600</x:v>
      </x:c>
      <x:c r="H942" t="str">
        <x:f>IF(D942="NO",IF(C942="SÍ","FERIADO","FIN DE SEMANA"),"LABORABLE")&amp;IF(F942="SÍ"," + CIERRE","")</x:f>
        <x:v>LABORABLE + CIERRE</x:v>
      </x:c>
      <x:c r="I942" t="str">
        <x:f>TEXT(G942,"yyyy-mm")</x:f>
        <x:v>2027-08</x:v>
      </x:c>
    </x:row>
    <x:row r="943" ht="19" customHeight="1">
      <x:c r="A943" s="2" t="n">
        <x:v>46599</x:v>
      </x:c>
      <x:c r="B943" t="str">
        <x:f>CHOOSE(WEEKDAY(A943,2),"Lunes","Martes","Miércoles","Jueves","Viernes","Sábado","Domingo")</x:f>
        <x:v>Sábado</x:v>
      </x:c>
      <x:c r="C943" t="str">
        <x:f>IF(COUNTIF(FERIADOS!$A$2:$A$250,A943)&gt;0,"SÍ","NO")</x:f>
        <x:v>NO</x:v>
      </x:c>
      <x:c r="D943" t="str">
        <x:f>IF(AND(WEEKDAY(A943,2)&lt;=5,C943="NO"),"SÍ","NO")</x:f>
        <x:v>NO</x:v>
      </x:c>
      <x:c r="E943" s="2" t="n">
        <x:f>WORKDAY.INTL(A943-1,1,1,FERIADOS!$A$2:$A$250)</x:f>
        <x:v>46601</x:v>
      </x:c>
      <x:c r="F943" t="str">
        <x:f>IF(E943&gt;=WORKDAY.INTL(EOMONTH(E943,0)+1,-2,1,FERIADOS!$A$2:$A$250),"SÍ","NO")</x:f>
        <x:v>NO</x:v>
      </x:c>
      <x:c r="G943" s="10" t="n">
        <x:f>IF(F943="SÍ",EOMONTH(E943,0)+1,DATE(YEAR(E943),MONTH(E943),1))</x:f>
        <x:v>46600</x:v>
      </x:c>
      <x:c r="H943" t="str">
        <x:f>IF(D943="NO",IF(C943="SÍ","FERIADO","FIN DE SEMANA"),"LABORABLE")&amp;IF(F943="SÍ"," + CIERRE","")</x:f>
        <x:v>FIN DE SEMANA</x:v>
      </x:c>
      <x:c r="I943" t="str">
        <x:f>TEXT(G943,"yyyy-mm")</x:f>
        <x:v>2027-08</x:v>
      </x:c>
    </x:row>
    <x:row r="944" ht="19" customHeight="1">
      <x:c r="A944" s="2" t="n">
        <x:v>46600</x:v>
      </x:c>
      <x:c r="B944" t="str">
        <x:f>CHOOSE(WEEKDAY(A944,2),"Lunes","Martes","Miércoles","Jueves","Viernes","Sábado","Domingo")</x:f>
        <x:v>Domingo</x:v>
      </x:c>
      <x:c r="C944" t="str">
        <x:f>IF(COUNTIF(FERIADOS!$A$2:$A$250,A944)&gt;0,"SÍ","NO")</x:f>
        <x:v>NO</x:v>
      </x:c>
      <x:c r="D944" t="str">
        <x:f>IF(AND(WEEKDAY(A944,2)&lt;=5,C944="NO"),"SÍ","NO")</x:f>
        <x:v>NO</x:v>
      </x:c>
      <x:c r="E944" s="2" t="n">
        <x:f>WORKDAY.INTL(A944-1,1,1,FERIADOS!$A$2:$A$250)</x:f>
        <x:v>46601</x:v>
      </x:c>
      <x:c r="F944" t="str">
        <x:f>IF(E944&gt;=WORKDAY.INTL(EOMONTH(E944,0)+1,-2,1,FERIADOS!$A$2:$A$250),"SÍ","NO")</x:f>
        <x:v>NO</x:v>
      </x:c>
      <x:c r="G944" s="10" t="n">
        <x:f>IF(F944="SÍ",EOMONTH(E944,0)+1,DATE(YEAR(E944),MONTH(E944),1))</x:f>
        <x:v>46600</x:v>
      </x:c>
      <x:c r="H944" t="str">
        <x:f>IF(D944="NO",IF(C944="SÍ","FERIADO","FIN DE SEMANA"),"LABORABLE")&amp;IF(F944="SÍ"," + CIERRE","")</x:f>
        <x:v>FIN DE SEMANA</x:v>
      </x:c>
      <x:c r="I944" t="str">
        <x:f>TEXT(G944,"yyyy-mm")</x:f>
        <x:v>2027-08</x:v>
      </x:c>
    </x:row>
    <x:row r="945" ht="19" customHeight="1">
      <x:c r="A945" s="2" t="n">
        <x:v>46601</x:v>
      </x:c>
      <x:c r="B945" t="str">
        <x:f>CHOOSE(WEEKDAY(A945,2),"Lunes","Martes","Miércoles","Jueves","Viernes","Sábado","Domingo")</x:f>
        <x:v>Lunes</x:v>
      </x:c>
      <x:c r="C945" t="str">
        <x:f>IF(COUNTIF(FERIADOS!$A$2:$A$250,A945)&gt;0,"SÍ","NO")</x:f>
        <x:v>NO</x:v>
      </x:c>
      <x:c r="D945" t="str">
        <x:f>IF(AND(WEEKDAY(A945,2)&lt;=5,C945="NO"),"SÍ","NO")</x:f>
        <x:v>SÍ</x:v>
      </x:c>
      <x:c r="E945" s="2" t="n">
        <x:f>WORKDAY.INTL(A945-1,1,1,FERIADOS!$A$2:$A$250)</x:f>
        <x:v>46601</x:v>
      </x:c>
      <x:c r="F945" t="str">
        <x:f>IF(E945&gt;=WORKDAY.INTL(EOMONTH(E945,0)+1,-2,1,FERIADOS!$A$2:$A$250),"SÍ","NO")</x:f>
        <x:v>NO</x:v>
      </x:c>
      <x:c r="G945" s="10" t="n">
        <x:f>IF(F945="SÍ",EOMONTH(E945,0)+1,DATE(YEAR(E945),MONTH(E945),1))</x:f>
        <x:v>46600</x:v>
      </x:c>
      <x:c r="H945" t="str">
        <x:f>IF(D945="NO",IF(C945="SÍ","FERIADO","FIN DE SEMANA"),"LABORABLE")&amp;IF(F945="SÍ"," + CIERRE","")</x:f>
        <x:v>LABORABLE</x:v>
      </x:c>
      <x:c r="I945" t="str">
        <x:f>TEXT(G945,"yyyy-mm")</x:f>
        <x:v>2027-08</x:v>
      </x:c>
    </x:row>
    <x:row r="946" ht="19" customHeight="1">
      <x:c r="A946" s="2" t="n">
        <x:v>46602</x:v>
      </x:c>
      <x:c r="B946" t="str">
        <x:f>CHOOSE(WEEKDAY(A946,2),"Lunes","Martes","Miércoles","Jueves","Viernes","Sábado","Domingo")</x:f>
        <x:v>Martes</x:v>
      </x:c>
      <x:c r="C946" t="str">
        <x:f>IF(COUNTIF(FERIADOS!$A$2:$A$250,A946)&gt;0,"SÍ","NO")</x:f>
        <x:v>NO</x:v>
      </x:c>
      <x:c r="D946" t="str">
        <x:f>IF(AND(WEEKDAY(A946,2)&lt;=5,C946="NO"),"SÍ","NO")</x:f>
        <x:v>SÍ</x:v>
      </x:c>
      <x:c r="E946" s="2" t="n">
        <x:f>WORKDAY.INTL(A946-1,1,1,FERIADOS!$A$2:$A$250)</x:f>
        <x:v>46602</x:v>
      </x:c>
      <x:c r="F946" t="str">
        <x:f>IF(E946&gt;=WORKDAY.INTL(EOMONTH(E946,0)+1,-2,1,FERIADOS!$A$2:$A$250),"SÍ","NO")</x:f>
        <x:v>NO</x:v>
      </x:c>
      <x:c r="G946" s="10" t="n">
        <x:f>IF(F946="SÍ",EOMONTH(E946,0)+1,DATE(YEAR(E946),MONTH(E946),1))</x:f>
        <x:v>46600</x:v>
      </x:c>
      <x:c r="H946" t="str">
        <x:f>IF(D946="NO",IF(C946="SÍ","FERIADO","FIN DE SEMANA"),"LABORABLE")&amp;IF(F946="SÍ"," + CIERRE","")</x:f>
        <x:v>LABORABLE</x:v>
      </x:c>
      <x:c r="I946" t="str">
        <x:f>TEXT(G946,"yyyy-mm")</x:f>
        <x:v>2027-08</x:v>
      </x:c>
    </x:row>
    <x:row r="947" ht="19" customHeight="1">
      <x:c r="A947" s="2" t="n">
        <x:v>46603</x:v>
      </x:c>
      <x:c r="B947" t="str">
        <x:f>CHOOSE(WEEKDAY(A947,2),"Lunes","Martes","Miércoles","Jueves","Viernes","Sábado","Domingo")</x:f>
        <x:v>Miércoles</x:v>
      </x:c>
      <x:c r="C947" t="str">
        <x:f>IF(COUNTIF(FERIADOS!$A$2:$A$250,A947)&gt;0,"SÍ","NO")</x:f>
        <x:v>NO</x:v>
      </x:c>
      <x:c r="D947" t="str">
        <x:f>IF(AND(WEEKDAY(A947,2)&lt;=5,C947="NO"),"SÍ","NO")</x:f>
        <x:v>SÍ</x:v>
      </x:c>
      <x:c r="E947" s="2" t="n">
        <x:f>WORKDAY.INTL(A947-1,1,1,FERIADOS!$A$2:$A$250)</x:f>
        <x:v>46603</x:v>
      </x:c>
      <x:c r="F947" t="str">
        <x:f>IF(E947&gt;=WORKDAY.INTL(EOMONTH(E947,0)+1,-2,1,FERIADOS!$A$2:$A$250),"SÍ","NO")</x:f>
        <x:v>NO</x:v>
      </x:c>
      <x:c r="G947" s="10" t="n">
        <x:f>IF(F947="SÍ",EOMONTH(E947,0)+1,DATE(YEAR(E947),MONTH(E947),1))</x:f>
        <x:v>46600</x:v>
      </x:c>
      <x:c r="H947" t="str">
        <x:f>IF(D947="NO",IF(C947="SÍ","FERIADO","FIN DE SEMANA"),"LABORABLE")&amp;IF(F947="SÍ"," + CIERRE","")</x:f>
        <x:v>LABORABLE</x:v>
      </x:c>
      <x:c r="I947" t="str">
        <x:f>TEXT(G947,"yyyy-mm")</x:f>
        <x:v>2027-08</x:v>
      </x:c>
    </x:row>
    <x:row r="948" ht="19" customHeight="1">
      <x:c r="A948" s="2" t="n">
        <x:v>46604</x:v>
      </x:c>
      <x:c r="B948" t="str">
        <x:f>CHOOSE(WEEKDAY(A948,2),"Lunes","Martes","Miércoles","Jueves","Viernes","Sábado","Domingo")</x:f>
        <x:v>Jueves</x:v>
      </x:c>
      <x:c r="C948" t="str">
        <x:f>IF(COUNTIF(FERIADOS!$A$2:$A$250,A948)&gt;0,"SÍ","NO")</x:f>
        <x:v>NO</x:v>
      </x:c>
      <x:c r="D948" t="str">
        <x:f>IF(AND(WEEKDAY(A948,2)&lt;=5,C948="NO"),"SÍ","NO")</x:f>
        <x:v>SÍ</x:v>
      </x:c>
      <x:c r="E948" s="2" t="n">
        <x:f>WORKDAY.INTL(A948-1,1,1,FERIADOS!$A$2:$A$250)</x:f>
        <x:v>46604</x:v>
      </x:c>
      <x:c r="F948" t="str">
        <x:f>IF(E948&gt;=WORKDAY.INTL(EOMONTH(E948,0)+1,-2,1,FERIADOS!$A$2:$A$250),"SÍ","NO")</x:f>
        <x:v>NO</x:v>
      </x:c>
      <x:c r="G948" s="10" t="n">
        <x:f>IF(F948="SÍ",EOMONTH(E948,0)+1,DATE(YEAR(E948),MONTH(E948),1))</x:f>
        <x:v>46600</x:v>
      </x:c>
      <x:c r="H948" t="str">
        <x:f>IF(D948="NO",IF(C948="SÍ","FERIADO","FIN DE SEMANA"),"LABORABLE")&amp;IF(F948="SÍ"," + CIERRE","")</x:f>
        <x:v>LABORABLE</x:v>
      </x:c>
      <x:c r="I948" t="str">
        <x:f>TEXT(G948,"yyyy-mm")</x:f>
        <x:v>2027-08</x:v>
      </x:c>
    </x:row>
    <x:row r="949" ht="19" customHeight="1">
      <x:c r="A949" s="2" t="n">
        <x:v>46605</x:v>
      </x:c>
      <x:c r="B949" t="str">
        <x:f>CHOOSE(WEEKDAY(A949,2),"Lunes","Martes","Miércoles","Jueves","Viernes","Sábado","Domingo")</x:f>
        <x:v>Viernes</x:v>
      </x:c>
      <x:c r="C949" t="str">
        <x:f>IF(COUNTIF(FERIADOS!$A$2:$A$250,A949)&gt;0,"SÍ","NO")</x:f>
        <x:v>NO</x:v>
      </x:c>
      <x:c r="D949" t="str">
        <x:f>IF(AND(WEEKDAY(A949,2)&lt;=5,C949="NO"),"SÍ","NO")</x:f>
        <x:v>SÍ</x:v>
      </x:c>
      <x:c r="E949" s="2" t="n">
        <x:f>WORKDAY.INTL(A949-1,1,1,FERIADOS!$A$2:$A$250)</x:f>
        <x:v>46605</x:v>
      </x:c>
      <x:c r="F949" t="str">
        <x:f>IF(E949&gt;=WORKDAY.INTL(EOMONTH(E949,0)+1,-2,1,FERIADOS!$A$2:$A$250),"SÍ","NO")</x:f>
        <x:v>NO</x:v>
      </x:c>
      <x:c r="G949" s="10" t="n">
        <x:f>IF(F949="SÍ",EOMONTH(E949,0)+1,DATE(YEAR(E949),MONTH(E949),1))</x:f>
        <x:v>46600</x:v>
      </x:c>
      <x:c r="H949" t="str">
        <x:f>IF(D949="NO",IF(C949="SÍ","FERIADO","FIN DE SEMANA"),"LABORABLE")&amp;IF(F949="SÍ"," + CIERRE","")</x:f>
        <x:v>LABORABLE</x:v>
      </x:c>
      <x:c r="I949" t="str">
        <x:f>TEXT(G949,"yyyy-mm")</x:f>
        <x:v>2027-08</x:v>
      </x:c>
    </x:row>
    <x:row r="950" ht="19" customHeight="1">
      <x:c r="A950" s="2" t="n">
        <x:v>46606</x:v>
      </x:c>
      <x:c r="B950" t="str">
        <x:f>CHOOSE(WEEKDAY(A950,2),"Lunes","Martes","Miércoles","Jueves","Viernes","Sábado","Domingo")</x:f>
        <x:v>Sábado</x:v>
      </x:c>
      <x:c r="C950" t="str">
        <x:f>IF(COUNTIF(FERIADOS!$A$2:$A$250,A950)&gt;0,"SÍ","NO")</x:f>
        <x:v>NO</x:v>
      </x:c>
      <x:c r="D950" t="str">
        <x:f>IF(AND(WEEKDAY(A950,2)&lt;=5,C950="NO"),"SÍ","NO")</x:f>
        <x:v>NO</x:v>
      </x:c>
      <x:c r="E950" s="2" t="n">
        <x:f>WORKDAY.INTL(A950-1,1,1,FERIADOS!$A$2:$A$250)</x:f>
        <x:v>46609</x:v>
      </x:c>
      <x:c r="F950" t="str">
        <x:f>IF(E950&gt;=WORKDAY.INTL(EOMONTH(E950,0)+1,-2,1,FERIADOS!$A$2:$A$250),"SÍ","NO")</x:f>
        <x:v>NO</x:v>
      </x:c>
      <x:c r="G950" s="10" t="n">
        <x:f>IF(F950="SÍ",EOMONTH(E950,0)+1,DATE(YEAR(E950),MONTH(E950),1))</x:f>
        <x:v>46600</x:v>
      </x:c>
      <x:c r="H950" t="str">
        <x:f>IF(D950="NO",IF(C950="SÍ","FERIADO","FIN DE SEMANA"),"LABORABLE")&amp;IF(F950="SÍ"," + CIERRE","")</x:f>
        <x:v>FIN DE SEMANA</x:v>
      </x:c>
      <x:c r="I950" t="str">
        <x:f>TEXT(G950,"yyyy-mm")</x:f>
        <x:v>2027-08</x:v>
      </x:c>
    </x:row>
    <x:row r="951" ht="19" customHeight="1">
      <x:c r="A951" s="2" t="n">
        <x:v>46607</x:v>
      </x:c>
      <x:c r="B951" t="str">
        <x:f>CHOOSE(WEEKDAY(A951,2),"Lunes","Martes","Miércoles","Jueves","Viernes","Sábado","Domingo")</x:f>
        <x:v>Domingo</x:v>
      </x:c>
      <x:c r="C951" t="str">
        <x:f>IF(COUNTIF(FERIADOS!$A$2:$A$250,A951)&gt;0,"SÍ","NO")</x:f>
        <x:v>NO</x:v>
      </x:c>
      <x:c r="D951" t="str">
        <x:f>IF(AND(WEEKDAY(A951,2)&lt;=5,C951="NO"),"SÍ","NO")</x:f>
        <x:v>NO</x:v>
      </x:c>
      <x:c r="E951" s="2" t="n">
        <x:f>WORKDAY.INTL(A951-1,1,1,FERIADOS!$A$2:$A$250)</x:f>
        <x:v>46609</x:v>
      </x:c>
      <x:c r="F951" t="str">
        <x:f>IF(E951&gt;=WORKDAY.INTL(EOMONTH(E951,0)+1,-2,1,FERIADOS!$A$2:$A$250),"SÍ","NO")</x:f>
        <x:v>NO</x:v>
      </x:c>
      <x:c r="G951" s="10" t="n">
        <x:f>IF(F951="SÍ",EOMONTH(E951,0)+1,DATE(YEAR(E951),MONTH(E951),1))</x:f>
        <x:v>46600</x:v>
      </x:c>
      <x:c r="H951" t="str">
        <x:f>IF(D951="NO",IF(C951="SÍ","FERIADO","FIN DE SEMANA"),"LABORABLE")&amp;IF(F951="SÍ"," + CIERRE","")</x:f>
        <x:v>FIN DE SEMANA</x:v>
      </x:c>
      <x:c r="I951" t="str">
        <x:f>TEXT(G951,"yyyy-mm")</x:f>
        <x:v>2027-08</x:v>
      </x:c>
    </x:row>
    <x:row r="952" ht="19" customHeight="1">
      <x:c r="A952" s="2" t="n">
        <x:v>46608</x:v>
      </x:c>
      <x:c r="B952" t="str">
        <x:f>CHOOSE(WEEKDAY(A952,2),"Lunes","Martes","Miércoles","Jueves","Viernes","Sábado","Domingo")</x:f>
        <x:v>Lunes</x:v>
      </x:c>
      <x:c r="C952" t="str">
        <x:f>IF(COUNTIF(FERIADOS!$A$2:$A$250,A952)&gt;0,"SÍ","NO")</x:f>
        <x:v>SÍ</x:v>
      </x:c>
      <x:c r="D952" t="str">
        <x:f>IF(AND(WEEKDAY(A952,2)&lt;=5,C952="NO"),"SÍ","NO")</x:f>
        <x:v>NO</x:v>
      </x:c>
      <x:c r="E952" s="2" t="n">
        <x:f>WORKDAY.INTL(A952-1,1,1,FERIADOS!$A$2:$A$250)</x:f>
        <x:v>46609</x:v>
      </x:c>
      <x:c r="F952" t="str">
        <x:f>IF(E952&gt;=WORKDAY.INTL(EOMONTH(E952,0)+1,-2,1,FERIADOS!$A$2:$A$250),"SÍ","NO")</x:f>
        <x:v>NO</x:v>
      </x:c>
      <x:c r="G952" s="10" t="n">
        <x:f>IF(F952="SÍ",EOMONTH(E952,0)+1,DATE(YEAR(E952),MONTH(E952),1))</x:f>
        <x:v>46600</x:v>
      </x:c>
      <x:c r="H952" t="str">
        <x:f>IF(D952="NO",IF(C952="SÍ","FERIADO","FIN DE SEMANA"),"LABORABLE")&amp;IF(F952="SÍ"," + CIERRE","")</x:f>
        <x:v>FERIADO</x:v>
      </x:c>
      <x:c r="I952" t="str">
        <x:f>TEXT(G952,"yyyy-mm")</x:f>
        <x:v>2027-08</x:v>
      </x:c>
    </x:row>
    <x:row r="953" ht="19" customHeight="1">
      <x:c r="A953" s="2" t="n">
        <x:v>46609</x:v>
      </x:c>
      <x:c r="B953" t="str">
        <x:f>CHOOSE(WEEKDAY(A953,2),"Lunes","Martes","Miércoles","Jueves","Viernes","Sábado","Domingo")</x:f>
        <x:v>Martes</x:v>
      </x:c>
      <x:c r="C953" t="str">
        <x:f>IF(COUNTIF(FERIADOS!$A$2:$A$250,A953)&gt;0,"SÍ","NO")</x:f>
        <x:v>NO</x:v>
      </x:c>
      <x:c r="D953" t="str">
        <x:f>IF(AND(WEEKDAY(A953,2)&lt;=5,C953="NO"),"SÍ","NO")</x:f>
        <x:v>SÍ</x:v>
      </x:c>
      <x:c r="E953" s="2" t="n">
        <x:f>WORKDAY.INTL(A953-1,1,1,FERIADOS!$A$2:$A$250)</x:f>
        <x:v>46609</x:v>
      </x:c>
      <x:c r="F953" t="str">
        <x:f>IF(E953&gt;=WORKDAY.INTL(EOMONTH(E953,0)+1,-2,1,FERIADOS!$A$2:$A$250),"SÍ","NO")</x:f>
        <x:v>NO</x:v>
      </x:c>
      <x:c r="G953" s="10" t="n">
        <x:f>IF(F953="SÍ",EOMONTH(E953,0)+1,DATE(YEAR(E953),MONTH(E953),1))</x:f>
        <x:v>46600</x:v>
      </x:c>
      <x:c r="H953" t="str">
        <x:f>IF(D953="NO",IF(C953="SÍ","FERIADO","FIN DE SEMANA"),"LABORABLE")&amp;IF(F953="SÍ"," + CIERRE","")</x:f>
        <x:v>LABORABLE</x:v>
      </x:c>
      <x:c r="I953" t="str">
        <x:f>TEXT(G953,"yyyy-mm")</x:f>
        <x:v>2027-08</x:v>
      </x:c>
    </x:row>
    <x:row r="954" ht="19" customHeight="1">
      <x:c r="A954" s="2" t="n">
        <x:v>46610</x:v>
      </x:c>
      <x:c r="B954" t="str">
        <x:f>CHOOSE(WEEKDAY(A954,2),"Lunes","Martes","Miércoles","Jueves","Viernes","Sábado","Domingo")</x:f>
        <x:v>Miércoles</x:v>
      </x:c>
      <x:c r="C954" t="str">
        <x:f>IF(COUNTIF(FERIADOS!$A$2:$A$250,A954)&gt;0,"SÍ","NO")</x:f>
        <x:v>NO</x:v>
      </x:c>
      <x:c r="D954" t="str">
        <x:f>IF(AND(WEEKDAY(A954,2)&lt;=5,C954="NO"),"SÍ","NO")</x:f>
        <x:v>SÍ</x:v>
      </x:c>
      <x:c r="E954" s="2" t="n">
        <x:f>WORKDAY.INTL(A954-1,1,1,FERIADOS!$A$2:$A$250)</x:f>
        <x:v>46610</x:v>
      </x:c>
      <x:c r="F954" t="str">
        <x:f>IF(E954&gt;=WORKDAY.INTL(EOMONTH(E954,0)+1,-2,1,FERIADOS!$A$2:$A$250),"SÍ","NO")</x:f>
        <x:v>NO</x:v>
      </x:c>
      <x:c r="G954" s="10" t="n">
        <x:f>IF(F954="SÍ",EOMONTH(E954,0)+1,DATE(YEAR(E954),MONTH(E954),1))</x:f>
        <x:v>46600</x:v>
      </x:c>
      <x:c r="H954" t="str">
        <x:f>IF(D954="NO",IF(C954="SÍ","FERIADO","FIN DE SEMANA"),"LABORABLE")&amp;IF(F954="SÍ"," + CIERRE","")</x:f>
        <x:v>LABORABLE</x:v>
      </x:c>
      <x:c r="I954" t="str">
        <x:f>TEXT(G954,"yyyy-mm")</x:f>
        <x:v>2027-08</x:v>
      </x:c>
    </x:row>
    <x:row r="955" ht="19" customHeight="1">
      <x:c r="A955" s="2" t="n">
        <x:v>46611</x:v>
      </x:c>
      <x:c r="B955" t="str">
        <x:f>CHOOSE(WEEKDAY(A955,2),"Lunes","Martes","Miércoles","Jueves","Viernes","Sábado","Domingo")</x:f>
        <x:v>Jueves</x:v>
      </x:c>
      <x:c r="C955" t="str">
        <x:f>IF(COUNTIF(FERIADOS!$A$2:$A$250,A955)&gt;0,"SÍ","NO")</x:f>
        <x:v>NO</x:v>
      </x:c>
      <x:c r="D955" t="str">
        <x:f>IF(AND(WEEKDAY(A955,2)&lt;=5,C955="NO"),"SÍ","NO")</x:f>
        <x:v>SÍ</x:v>
      </x:c>
      <x:c r="E955" s="2" t="n">
        <x:f>WORKDAY.INTL(A955-1,1,1,FERIADOS!$A$2:$A$250)</x:f>
        <x:v>46611</x:v>
      </x:c>
      <x:c r="F955" t="str">
        <x:f>IF(E955&gt;=WORKDAY.INTL(EOMONTH(E955,0)+1,-2,1,FERIADOS!$A$2:$A$250),"SÍ","NO")</x:f>
        <x:v>NO</x:v>
      </x:c>
      <x:c r="G955" s="10" t="n">
        <x:f>IF(F955="SÍ",EOMONTH(E955,0)+1,DATE(YEAR(E955),MONTH(E955),1))</x:f>
        <x:v>46600</x:v>
      </x:c>
      <x:c r="H955" t="str">
        <x:f>IF(D955="NO",IF(C955="SÍ","FERIADO","FIN DE SEMANA"),"LABORABLE")&amp;IF(F955="SÍ"," + CIERRE","")</x:f>
        <x:v>LABORABLE</x:v>
      </x:c>
      <x:c r="I955" t="str">
        <x:f>TEXT(G955,"yyyy-mm")</x:f>
        <x:v>2027-08</x:v>
      </x:c>
    </x:row>
    <x:row r="956" ht="19" customHeight="1">
      <x:c r="A956" s="2" t="n">
        <x:v>46612</x:v>
      </x:c>
      <x:c r="B956" t="str">
        <x:f>CHOOSE(WEEKDAY(A956,2),"Lunes","Martes","Miércoles","Jueves","Viernes","Sábado","Domingo")</x:f>
        <x:v>Viernes</x:v>
      </x:c>
      <x:c r="C956" t="str">
        <x:f>IF(COUNTIF(FERIADOS!$A$2:$A$250,A956)&gt;0,"SÍ","NO")</x:f>
        <x:v>NO</x:v>
      </x:c>
      <x:c r="D956" t="str">
        <x:f>IF(AND(WEEKDAY(A956,2)&lt;=5,C956="NO"),"SÍ","NO")</x:f>
        <x:v>SÍ</x:v>
      </x:c>
      <x:c r="E956" s="2" t="n">
        <x:f>WORKDAY.INTL(A956-1,1,1,FERIADOS!$A$2:$A$250)</x:f>
        <x:v>46612</x:v>
      </x:c>
      <x:c r="F956" t="str">
        <x:f>IF(E956&gt;=WORKDAY.INTL(EOMONTH(E956,0)+1,-2,1,FERIADOS!$A$2:$A$250),"SÍ","NO")</x:f>
        <x:v>NO</x:v>
      </x:c>
      <x:c r="G956" s="10" t="n">
        <x:f>IF(F956="SÍ",EOMONTH(E956,0)+1,DATE(YEAR(E956),MONTH(E956),1))</x:f>
        <x:v>46600</x:v>
      </x:c>
      <x:c r="H956" t="str">
        <x:f>IF(D956="NO",IF(C956="SÍ","FERIADO","FIN DE SEMANA"),"LABORABLE")&amp;IF(F956="SÍ"," + CIERRE","")</x:f>
        <x:v>LABORABLE</x:v>
      </x:c>
      <x:c r="I956" t="str">
        <x:f>TEXT(G956,"yyyy-mm")</x:f>
        <x:v>2027-08</x:v>
      </x:c>
    </x:row>
    <x:row r="957" ht="19" customHeight="1">
      <x:c r="A957" s="2" t="n">
        <x:v>46613</x:v>
      </x:c>
      <x:c r="B957" t="str">
        <x:f>CHOOSE(WEEKDAY(A957,2),"Lunes","Martes","Miércoles","Jueves","Viernes","Sábado","Domingo")</x:f>
        <x:v>Sábado</x:v>
      </x:c>
      <x:c r="C957" t="str">
        <x:f>IF(COUNTIF(FERIADOS!$A$2:$A$250,A957)&gt;0,"SÍ","NO")</x:f>
        <x:v>NO</x:v>
      </x:c>
      <x:c r="D957" t="str">
        <x:f>IF(AND(WEEKDAY(A957,2)&lt;=5,C957="NO"),"SÍ","NO")</x:f>
        <x:v>NO</x:v>
      </x:c>
      <x:c r="E957" s="2" t="n">
        <x:f>WORKDAY.INTL(A957-1,1,1,FERIADOS!$A$2:$A$250)</x:f>
        <x:v>46615</x:v>
      </x:c>
      <x:c r="F957" t="str">
        <x:f>IF(E957&gt;=WORKDAY.INTL(EOMONTH(E957,0)+1,-2,1,FERIADOS!$A$2:$A$250),"SÍ","NO")</x:f>
        <x:v>NO</x:v>
      </x:c>
      <x:c r="G957" s="10" t="n">
        <x:f>IF(F957="SÍ",EOMONTH(E957,0)+1,DATE(YEAR(E957),MONTH(E957),1))</x:f>
        <x:v>46600</x:v>
      </x:c>
      <x:c r="H957" t="str">
        <x:f>IF(D957="NO",IF(C957="SÍ","FERIADO","FIN DE SEMANA"),"LABORABLE")&amp;IF(F957="SÍ"," + CIERRE","")</x:f>
        <x:v>FIN DE SEMANA</x:v>
      </x:c>
      <x:c r="I957" t="str">
        <x:f>TEXT(G957,"yyyy-mm")</x:f>
        <x:v>2027-08</x:v>
      </x:c>
    </x:row>
    <x:row r="958" ht="19" customHeight="1">
      <x:c r="A958" s="2" t="n">
        <x:v>46614</x:v>
      </x:c>
      <x:c r="B958" t="str">
        <x:f>CHOOSE(WEEKDAY(A958,2),"Lunes","Martes","Miércoles","Jueves","Viernes","Sábado","Domingo")</x:f>
        <x:v>Domingo</x:v>
      </x:c>
      <x:c r="C958" t="str">
        <x:f>IF(COUNTIF(FERIADOS!$A$2:$A$250,A958)&gt;0,"SÍ","NO")</x:f>
        <x:v>NO</x:v>
      </x:c>
      <x:c r="D958" t="str">
        <x:f>IF(AND(WEEKDAY(A958,2)&lt;=5,C958="NO"),"SÍ","NO")</x:f>
        <x:v>NO</x:v>
      </x:c>
      <x:c r="E958" s="2" t="n">
        <x:f>WORKDAY.INTL(A958-1,1,1,FERIADOS!$A$2:$A$250)</x:f>
        <x:v>46615</x:v>
      </x:c>
      <x:c r="F958" t="str">
        <x:f>IF(E958&gt;=WORKDAY.INTL(EOMONTH(E958,0)+1,-2,1,FERIADOS!$A$2:$A$250),"SÍ","NO")</x:f>
        <x:v>NO</x:v>
      </x:c>
      <x:c r="G958" s="10" t="n">
        <x:f>IF(F958="SÍ",EOMONTH(E958,0)+1,DATE(YEAR(E958),MONTH(E958),1))</x:f>
        <x:v>46600</x:v>
      </x:c>
      <x:c r="H958" t="str">
        <x:f>IF(D958="NO",IF(C958="SÍ","FERIADO","FIN DE SEMANA"),"LABORABLE")&amp;IF(F958="SÍ"," + CIERRE","")</x:f>
        <x:v>FIN DE SEMANA</x:v>
      </x:c>
      <x:c r="I958" t="str">
        <x:f>TEXT(G958,"yyyy-mm")</x:f>
        <x:v>2027-08</x:v>
      </x:c>
    </x:row>
    <x:row r="959" ht="19" customHeight="1">
      <x:c r="A959" s="2" t="n">
        <x:v>46615</x:v>
      </x:c>
      <x:c r="B959" t="str">
        <x:f>CHOOSE(WEEKDAY(A959,2),"Lunes","Martes","Miércoles","Jueves","Viernes","Sábado","Domingo")</x:f>
        <x:v>Lunes</x:v>
      </x:c>
      <x:c r="C959" t="str">
        <x:f>IF(COUNTIF(FERIADOS!$A$2:$A$250,A959)&gt;0,"SÍ","NO")</x:f>
        <x:v>NO</x:v>
      </x:c>
      <x:c r="D959" t="str">
        <x:f>IF(AND(WEEKDAY(A959,2)&lt;=5,C959="NO"),"SÍ","NO")</x:f>
        <x:v>SÍ</x:v>
      </x:c>
      <x:c r="E959" s="2" t="n">
        <x:f>WORKDAY.INTL(A959-1,1,1,FERIADOS!$A$2:$A$250)</x:f>
        <x:v>46615</x:v>
      </x:c>
      <x:c r="F959" t="str">
        <x:f>IF(E959&gt;=WORKDAY.INTL(EOMONTH(E959,0)+1,-2,1,FERIADOS!$A$2:$A$250),"SÍ","NO")</x:f>
        <x:v>NO</x:v>
      </x:c>
      <x:c r="G959" s="10" t="n">
        <x:f>IF(F959="SÍ",EOMONTH(E959,0)+1,DATE(YEAR(E959),MONTH(E959),1))</x:f>
        <x:v>46600</x:v>
      </x:c>
      <x:c r="H959" t="str">
        <x:f>IF(D959="NO",IF(C959="SÍ","FERIADO","FIN DE SEMANA"),"LABORABLE")&amp;IF(F959="SÍ"," + CIERRE","")</x:f>
        <x:v>LABORABLE</x:v>
      </x:c>
      <x:c r="I959" t="str">
        <x:f>TEXT(G959,"yyyy-mm")</x:f>
        <x:v>2027-08</x:v>
      </x:c>
    </x:row>
    <x:row r="960" ht="19" customHeight="1">
      <x:c r="A960" s="2" t="n">
        <x:v>46616</x:v>
      </x:c>
      <x:c r="B960" t="str">
        <x:f>CHOOSE(WEEKDAY(A960,2),"Lunes","Martes","Miércoles","Jueves","Viernes","Sábado","Domingo")</x:f>
        <x:v>Martes</x:v>
      </x:c>
      <x:c r="C960" t="str">
        <x:f>IF(COUNTIF(FERIADOS!$A$2:$A$250,A960)&gt;0,"SÍ","NO")</x:f>
        <x:v>NO</x:v>
      </x:c>
      <x:c r="D960" t="str">
        <x:f>IF(AND(WEEKDAY(A960,2)&lt;=5,C960="NO"),"SÍ","NO")</x:f>
        <x:v>SÍ</x:v>
      </x:c>
      <x:c r="E960" s="2" t="n">
        <x:f>WORKDAY.INTL(A960-1,1,1,FERIADOS!$A$2:$A$250)</x:f>
        <x:v>46616</x:v>
      </x:c>
      <x:c r="F960" t="str">
        <x:f>IF(E960&gt;=WORKDAY.INTL(EOMONTH(E960,0)+1,-2,1,FERIADOS!$A$2:$A$250),"SÍ","NO")</x:f>
        <x:v>NO</x:v>
      </x:c>
      <x:c r="G960" s="10" t="n">
        <x:f>IF(F960="SÍ",EOMONTH(E960,0)+1,DATE(YEAR(E960),MONTH(E960),1))</x:f>
        <x:v>46600</x:v>
      </x:c>
      <x:c r="H960" t="str">
        <x:f>IF(D960="NO",IF(C960="SÍ","FERIADO","FIN DE SEMANA"),"LABORABLE")&amp;IF(F960="SÍ"," + CIERRE","")</x:f>
        <x:v>LABORABLE</x:v>
      </x:c>
      <x:c r="I960" t="str">
        <x:f>TEXT(G960,"yyyy-mm")</x:f>
        <x:v>2027-08</x:v>
      </x:c>
    </x:row>
    <x:row r="961" ht="19" customHeight="1">
      <x:c r="A961" s="2" t="n">
        <x:v>46617</x:v>
      </x:c>
      <x:c r="B961" t="str">
        <x:f>CHOOSE(WEEKDAY(A961,2),"Lunes","Martes","Miércoles","Jueves","Viernes","Sábado","Domingo")</x:f>
        <x:v>Miércoles</x:v>
      </x:c>
      <x:c r="C961" t="str">
        <x:f>IF(COUNTIF(FERIADOS!$A$2:$A$250,A961)&gt;0,"SÍ","NO")</x:f>
        <x:v>NO</x:v>
      </x:c>
      <x:c r="D961" t="str">
        <x:f>IF(AND(WEEKDAY(A961,2)&lt;=5,C961="NO"),"SÍ","NO")</x:f>
        <x:v>SÍ</x:v>
      </x:c>
      <x:c r="E961" s="2" t="n">
        <x:f>WORKDAY.INTL(A961-1,1,1,FERIADOS!$A$2:$A$250)</x:f>
        <x:v>46617</x:v>
      </x:c>
      <x:c r="F961" t="str">
        <x:f>IF(E961&gt;=WORKDAY.INTL(EOMONTH(E961,0)+1,-2,1,FERIADOS!$A$2:$A$250),"SÍ","NO")</x:f>
        <x:v>NO</x:v>
      </x:c>
      <x:c r="G961" s="10" t="n">
        <x:f>IF(F961="SÍ",EOMONTH(E961,0)+1,DATE(YEAR(E961),MONTH(E961),1))</x:f>
        <x:v>46600</x:v>
      </x:c>
      <x:c r="H961" t="str">
        <x:f>IF(D961="NO",IF(C961="SÍ","FERIADO","FIN DE SEMANA"),"LABORABLE")&amp;IF(F961="SÍ"," + CIERRE","")</x:f>
        <x:v>LABORABLE</x:v>
      </x:c>
      <x:c r="I961" t="str">
        <x:f>TEXT(G961,"yyyy-mm")</x:f>
        <x:v>2027-08</x:v>
      </x:c>
    </x:row>
    <x:row r="962" ht="19" customHeight="1">
      <x:c r="A962" s="2" t="n">
        <x:v>46618</x:v>
      </x:c>
      <x:c r="B962" t="str">
        <x:f>CHOOSE(WEEKDAY(A962,2),"Lunes","Martes","Miércoles","Jueves","Viernes","Sábado","Domingo")</x:f>
        <x:v>Jueves</x:v>
      </x:c>
      <x:c r="C962" t="str">
        <x:f>IF(COUNTIF(FERIADOS!$A$2:$A$250,A962)&gt;0,"SÍ","NO")</x:f>
        <x:v>NO</x:v>
      </x:c>
      <x:c r="D962" t="str">
        <x:f>IF(AND(WEEKDAY(A962,2)&lt;=5,C962="NO"),"SÍ","NO")</x:f>
        <x:v>SÍ</x:v>
      </x:c>
      <x:c r="E962" s="2" t="n">
        <x:f>WORKDAY.INTL(A962-1,1,1,FERIADOS!$A$2:$A$250)</x:f>
        <x:v>46618</x:v>
      </x:c>
      <x:c r="F962" t="str">
        <x:f>IF(E962&gt;=WORKDAY.INTL(EOMONTH(E962,0)+1,-2,1,FERIADOS!$A$2:$A$250),"SÍ","NO")</x:f>
        <x:v>NO</x:v>
      </x:c>
      <x:c r="G962" s="10" t="n">
        <x:f>IF(F962="SÍ",EOMONTH(E962,0)+1,DATE(YEAR(E962),MONTH(E962),1))</x:f>
        <x:v>46600</x:v>
      </x:c>
      <x:c r="H962" t="str">
        <x:f>IF(D962="NO",IF(C962="SÍ","FERIADO","FIN DE SEMANA"),"LABORABLE")&amp;IF(F962="SÍ"," + CIERRE","")</x:f>
        <x:v>LABORABLE</x:v>
      </x:c>
      <x:c r="I962" t="str">
        <x:f>TEXT(G962,"yyyy-mm")</x:f>
        <x:v>2027-08</x:v>
      </x:c>
    </x:row>
    <x:row r="963" ht="19" customHeight="1">
      <x:c r="A963" s="2" t="n">
        <x:v>46619</x:v>
      </x:c>
      <x:c r="B963" t="str">
        <x:f>CHOOSE(WEEKDAY(A963,2),"Lunes","Martes","Miércoles","Jueves","Viernes","Sábado","Domingo")</x:f>
        <x:v>Viernes</x:v>
      </x:c>
      <x:c r="C963" t="str">
        <x:f>IF(COUNTIF(FERIADOS!$A$2:$A$250,A963)&gt;0,"SÍ","NO")</x:f>
        <x:v>NO</x:v>
      </x:c>
      <x:c r="D963" t="str">
        <x:f>IF(AND(WEEKDAY(A963,2)&lt;=5,C963="NO"),"SÍ","NO")</x:f>
        <x:v>SÍ</x:v>
      </x:c>
      <x:c r="E963" s="2" t="n">
        <x:f>WORKDAY.INTL(A963-1,1,1,FERIADOS!$A$2:$A$250)</x:f>
        <x:v>46619</x:v>
      </x:c>
      <x:c r="F963" t="str">
        <x:f>IF(E963&gt;=WORKDAY.INTL(EOMONTH(E963,0)+1,-2,1,FERIADOS!$A$2:$A$250),"SÍ","NO")</x:f>
        <x:v>NO</x:v>
      </x:c>
      <x:c r="G963" s="10" t="n">
        <x:f>IF(F963="SÍ",EOMONTH(E963,0)+1,DATE(YEAR(E963),MONTH(E963),1))</x:f>
        <x:v>46600</x:v>
      </x:c>
      <x:c r="H963" t="str">
        <x:f>IF(D963="NO",IF(C963="SÍ","FERIADO","FIN DE SEMANA"),"LABORABLE")&amp;IF(F963="SÍ"," + CIERRE","")</x:f>
        <x:v>LABORABLE</x:v>
      </x:c>
      <x:c r="I963" t="str">
        <x:f>TEXT(G963,"yyyy-mm")</x:f>
        <x:v>2027-08</x:v>
      </x:c>
    </x:row>
    <x:row r="964" ht="19" customHeight="1">
      <x:c r="A964" s="2" t="n">
        <x:v>46620</x:v>
      </x:c>
      <x:c r="B964" t="str">
        <x:f>CHOOSE(WEEKDAY(A964,2),"Lunes","Martes","Miércoles","Jueves","Viernes","Sábado","Domingo")</x:f>
        <x:v>Sábado</x:v>
      </x:c>
      <x:c r="C964" t="str">
        <x:f>IF(COUNTIF(FERIADOS!$A$2:$A$250,A964)&gt;0,"SÍ","NO")</x:f>
        <x:v>NO</x:v>
      </x:c>
      <x:c r="D964" t="str">
        <x:f>IF(AND(WEEKDAY(A964,2)&lt;=5,C964="NO"),"SÍ","NO")</x:f>
        <x:v>NO</x:v>
      </x:c>
      <x:c r="E964" s="2" t="n">
        <x:f>WORKDAY.INTL(A964-1,1,1,FERIADOS!$A$2:$A$250)</x:f>
        <x:v>46622</x:v>
      </x:c>
      <x:c r="F964" t="str">
        <x:f>IF(E964&gt;=WORKDAY.INTL(EOMONTH(E964,0)+1,-2,1,FERIADOS!$A$2:$A$250),"SÍ","NO")</x:f>
        <x:v>NO</x:v>
      </x:c>
      <x:c r="G964" s="10" t="n">
        <x:f>IF(F964="SÍ",EOMONTH(E964,0)+1,DATE(YEAR(E964),MONTH(E964),1))</x:f>
        <x:v>46600</x:v>
      </x:c>
      <x:c r="H964" t="str">
        <x:f>IF(D964="NO",IF(C964="SÍ","FERIADO","FIN DE SEMANA"),"LABORABLE")&amp;IF(F964="SÍ"," + CIERRE","")</x:f>
        <x:v>FIN DE SEMANA</x:v>
      </x:c>
      <x:c r="I964" t="str">
        <x:f>TEXT(G964,"yyyy-mm")</x:f>
        <x:v>2027-08</x:v>
      </x:c>
    </x:row>
    <x:row r="965" ht="19" customHeight="1">
      <x:c r="A965" s="2" t="n">
        <x:v>46621</x:v>
      </x:c>
      <x:c r="B965" t="str">
        <x:f>CHOOSE(WEEKDAY(A965,2),"Lunes","Martes","Miércoles","Jueves","Viernes","Sábado","Domingo")</x:f>
        <x:v>Domingo</x:v>
      </x:c>
      <x:c r="C965" t="str">
        <x:f>IF(COUNTIF(FERIADOS!$A$2:$A$250,A965)&gt;0,"SÍ","NO")</x:f>
        <x:v>NO</x:v>
      </x:c>
      <x:c r="D965" t="str">
        <x:f>IF(AND(WEEKDAY(A965,2)&lt;=5,C965="NO"),"SÍ","NO")</x:f>
        <x:v>NO</x:v>
      </x:c>
      <x:c r="E965" s="2" t="n">
        <x:f>WORKDAY.INTL(A965-1,1,1,FERIADOS!$A$2:$A$250)</x:f>
        <x:v>46622</x:v>
      </x:c>
      <x:c r="F965" t="str">
        <x:f>IF(E965&gt;=WORKDAY.INTL(EOMONTH(E965,0)+1,-2,1,FERIADOS!$A$2:$A$250),"SÍ","NO")</x:f>
        <x:v>NO</x:v>
      </x:c>
      <x:c r="G965" s="10" t="n">
        <x:f>IF(F965="SÍ",EOMONTH(E965,0)+1,DATE(YEAR(E965),MONTH(E965),1))</x:f>
        <x:v>46600</x:v>
      </x:c>
      <x:c r="H965" t="str">
        <x:f>IF(D965="NO",IF(C965="SÍ","FERIADO","FIN DE SEMANA"),"LABORABLE")&amp;IF(F965="SÍ"," + CIERRE","")</x:f>
        <x:v>FIN DE SEMANA</x:v>
      </x:c>
      <x:c r="I965" t="str">
        <x:f>TEXT(G965,"yyyy-mm")</x:f>
        <x:v>2027-08</x:v>
      </x:c>
    </x:row>
    <x:row r="966" ht="19" customHeight="1">
      <x:c r="A966" s="2" t="n">
        <x:v>46622</x:v>
      </x:c>
      <x:c r="B966" t="str">
        <x:f>CHOOSE(WEEKDAY(A966,2),"Lunes","Martes","Miércoles","Jueves","Viernes","Sábado","Domingo")</x:f>
        <x:v>Lunes</x:v>
      </x:c>
      <x:c r="C966" t="str">
        <x:f>IF(COUNTIF(FERIADOS!$A$2:$A$250,A966)&gt;0,"SÍ","NO")</x:f>
        <x:v>NO</x:v>
      </x:c>
      <x:c r="D966" t="str">
        <x:f>IF(AND(WEEKDAY(A966,2)&lt;=5,C966="NO"),"SÍ","NO")</x:f>
        <x:v>SÍ</x:v>
      </x:c>
      <x:c r="E966" s="2" t="n">
        <x:f>WORKDAY.INTL(A966-1,1,1,FERIADOS!$A$2:$A$250)</x:f>
        <x:v>46622</x:v>
      </x:c>
      <x:c r="F966" t="str">
        <x:f>IF(E966&gt;=WORKDAY.INTL(EOMONTH(E966,0)+1,-2,1,FERIADOS!$A$2:$A$250),"SÍ","NO")</x:f>
        <x:v>NO</x:v>
      </x:c>
      <x:c r="G966" s="10" t="n">
        <x:f>IF(F966="SÍ",EOMONTH(E966,0)+1,DATE(YEAR(E966),MONTH(E966),1))</x:f>
        <x:v>46600</x:v>
      </x:c>
      <x:c r="H966" t="str">
        <x:f>IF(D966="NO",IF(C966="SÍ","FERIADO","FIN DE SEMANA"),"LABORABLE")&amp;IF(F966="SÍ"," + CIERRE","")</x:f>
        <x:v>LABORABLE</x:v>
      </x:c>
      <x:c r="I966" t="str">
        <x:f>TEXT(G966,"yyyy-mm")</x:f>
        <x:v>2027-08</x:v>
      </x:c>
    </x:row>
    <x:row r="967" ht="19" customHeight="1">
      <x:c r="A967" s="2" t="n">
        <x:v>46623</x:v>
      </x:c>
      <x:c r="B967" t="str">
        <x:f>CHOOSE(WEEKDAY(A967,2),"Lunes","Martes","Miércoles","Jueves","Viernes","Sábado","Domingo")</x:f>
        <x:v>Martes</x:v>
      </x:c>
      <x:c r="C967" t="str">
        <x:f>IF(COUNTIF(FERIADOS!$A$2:$A$250,A967)&gt;0,"SÍ","NO")</x:f>
        <x:v>NO</x:v>
      </x:c>
      <x:c r="D967" t="str">
        <x:f>IF(AND(WEEKDAY(A967,2)&lt;=5,C967="NO"),"SÍ","NO")</x:f>
        <x:v>SÍ</x:v>
      </x:c>
      <x:c r="E967" s="2" t="n">
        <x:f>WORKDAY.INTL(A967-1,1,1,FERIADOS!$A$2:$A$250)</x:f>
        <x:v>46623</x:v>
      </x:c>
      <x:c r="F967" t="str">
        <x:f>IF(E967&gt;=WORKDAY.INTL(EOMONTH(E967,0)+1,-2,1,FERIADOS!$A$2:$A$250),"SÍ","NO")</x:f>
        <x:v>NO</x:v>
      </x:c>
      <x:c r="G967" s="10" t="n">
        <x:f>IF(F967="SÍ",EOMONTH(E967,0)+1,DATE(YEAR(E967),MONTH(E967),1))</x:f>
        <x:v>46600</x:v>
      </x:c>
      <x:c r="H967" t="str">
        <x:f>IF(D967="NO",IF(C967="SÍ","FERIADO","FIN DE SEMANA"),"LABORABLE")&amp;IF(F967="SÍ"," + CIERRE","")</x:f>
        <x:v>LABORABLE</x:v>
      </x:c>
      <x:c r="I967" t="str">
        <x:f>TEXT(G967,"yyyy-mm")</x:f>
        <x:v>2027-08</x:v>
      </x:c>
    </x:row>
    <x:row r="968" ht="19" customHeight="1">
      <x:c r="A968" s="2" t="n">
        <x:v>46624</x:v>
      </x:c>
      <x:c r="B968" t="str">
        <x:f>CHOOSE(WEEKDAY(A968,2),"Lunes","Martes","Miércoles","Jueves","Viernes","Sábado","Domingo")</x:f>
        <x:v>Miércoles</x:v>
      </x:c>
      <x:c r="C968" t="str">
        <x:f>IF(COUNTIF(FERIADOS!$A$2:$A$250,A968)&gt;0,"SÍ","NO")</x:f>
        <x:v>NO</x:v>
      </x:c>
      <x:c r="D968" t="str">
        <x:f>IF(AND(WEEKDAY(A968,2)&lt;=5,C968="NO"),"SÍ","NO")</x:f>
        <x:v>SÍ</x:v>
      </x:c>
      <x:c r="E968" s="2" t="n">
        <x:f>WORKDAY.INTL(A968-1,1,1,FERIADOS!$A$2:$A$250)</x:f>
        <x:v>46624</x:v>
      </x:c>
      <x:c r="F968" t="str">
        <x:f>IF(E968&gt;=WORKDAY.INTL(EOMONTH(E968,0)+1,-2,1,FERIADOS!$A$2:$A$250),"SÍ","NO")</x:f>
        <x:v>NO</x:v>
      </x:c>
      <x:c r="G968" s="10" t="n">
        <x:f>IF(F968="SÍ",EOMONTH(E968,0)+1,DATE(YEAR(E968),MONTH(E968),1))</x:f>
        <x:v>46600</x:v>
      </x:c>
      <x:c r="H968" t="str">
        <x:f>IF(D968="NO",IF(C968="SÍ","FERIADO","FIN DE SEMANA"),"LABORABLE")&amp;IF(F968="SÍ"," + CIERRE","")</x:f>
        <x:v>LABORABLE</x:v>
      </x:c>
      <x:c r="I968" t="str">
        <x:f>TEXT(G968,"yyyy-mm")</x:f>
        <x:v>2027-08</x:v>
      </x:c>
    </x:row>
    <x:row r="969" ht="19" customHeight="1">
      <x:c r="A969" s="2" t="n">
        <x:v>46625</x:v>
      </x:c>
      <x:c r="B969" t="str">
        <x:f>CHOOSE(WEEKDAY(A969,2),"Lunes","Martes","Miércoles","Jueves","Viernes","Sábado","Domingo")</x:f>
        <x:v>Jueves</x:v>
      </x:c>
      <x:c r="C969" t="str">
        <x:f>IF(COUNTIF(FERIADOS!$A$2:$A$250,A969)&gt;0,"SÍ","NO")</x:f>
        <x:v>NO</x:v>
      </x:c>
      <x:c r="D969" t="str">
        <x:f>IF(AND(WEEKDAY(A969,2)&lt;=5,C969="NO"),"SÍ","NO")</x:f>
        <x:v>SÍ</x:v>
      </x:c>
      <x:c r="E969" s="2" t="n">
        <x:f>WORKDAY.INTL(A969-1,1,1,FERIADOS!$A$2:$A$250)</x:f>
        <x:v>46625</x:v>
      </x:c>
      <x:c r="F969" t="str">
        <x:f>IF(E969&gt;=WORKDAY.INTL(EOMONTH(E969,0)+1,-2,1,FERIADOS!$A$2:$A$250),"SÍ","NO")</x:f>
        <x:v>NO</x:v>
      </x:c>
      <x:c r="G969" s="10" t="n">
        <x:f>IF(F969="SÍ",EOMONTH(E969,0)+1,DATE(YEAR(E969),MONTH(E969),1))</x:f>
        <x:v>46600</x:v>
      </x:c>
      <x:c r="H969" t="str">
        <x:f>IF(D969="NO",IF(C969="SÍ","FERIADO","FIN DE SEMANA"),"LABORABLE")&amp;IF(F969="SÍ"," + CIERRE","")</x:f>
        <x:v>LABORABLE</x:v>
      </x:c>
      <x:c r="I969" t="str">
        <x:f>TEXT(G969,"yyyy-mm")</x:f>
        <x:v>2027-08</x:v>
      </x:c>
    </x:row>
    <x:row r="970" ht="19" customHeight="1">
      <x:c r="A970" s="2" t="n">
        <x:v>46626</x:v>
      </x:c>
      <x:c r="B970" t="str">
        <x:f>CHOOSE(WEEKDAY(A970,2),"Lunes","Martes","Miércoles","Jueves","Viernes","Sábado","Domingo")</x:f>
        <x:v>Viernes</x:v>
      </x:c>
      <x:c r="C970" t="str">
        <x:f>IF(COUNTIF(FERIADOS!$A$2:$A$250,A970)&gt;0,"SÍ","NO")</x:f>
        <x:v>NO</x:v>
      </x:c>
      <x:c r="D970" t="str">
        <x:f>IF(AND(WEEKDAY(A970,2)&lt;=5,C970="NO"),"SÍ","NO")</x:f>
        <x:v>SÍ</x:v>
      </x:c>
      <x:c r="E970" s="2" t="n">
        <x:f>WORKDAY.INTL(A970-1,1,1,FERIADOS!$A$2:$A$250)</x:f>
        <x:v>46626</x:v>
      </x:c>
      <x:c r="F970" t="str">
        <x:f>IF(E970&gt;=WORKDAY.INTL(EOMONTH(E970,0)+1,-2,1,FERIADOS!$A$2:$A$250),"SÍ","NO")</x:f>
        <x:v>NO</x:v>
      </x:c>
      <x:c r="G970" s="10" t="n">
        <x:f>IF(F970="SÍ",EOMONTH(E970,0)+1,DATE(YEAR(E970),MONTH(E970),1))</x:f>
        <x:v>46600</x:v>
      </x:c>
      <x:c r="H970" t="str">
        <x:f>IF(D970="NO",IF(C970="SÍ","FERIADO","FIN DE SEMANA"),"LABORABLE")&amp;IF(F970="SÍ"," + CIERRE","")</x:f>
        <x:v>LABORABLE</x:v>
      </x:c>
      <x:c r="I970" t="str">
        <x:f>TEXT(G970,"yyyy-mm")</x:f>
        <x:v>2027-08</x:v>
      </x:c>
    </x:row>
    <x:row r="971" ht="19" customHeight="1">
      <x:c r="A971" s="2" t="n">
        <x:v>46627</x:v>
      </x:c>
      <x:c r="B971" t="str">
        <x:f>CHOOSE(WEEKDAY(A971,2),"Lunes","Martes","Miércoles","Jueves","Viernes","Sábado","Domingo")</x:f>
        <x:v>Sábado</x:v>
      </x:c>
      <x:c r="C971" t="str">
        <x:f>IF(COUNTIF(FERIADOS!$A$2:$A$250,A971)&gt;0,"SÍ","NO")</x:f>
        <x:v>NO</x:v>
      </x:c>
      <x:c r="D971" t="str">
        <x:f>IF(AND(WEEKDAY(A971,2)&lt;=5,C971="NO"),"SÍ","NO")</x:f>
        <x:v>NO</x:v>
      </x:c>
      <x:c r="E971" s="2" t="n">
        <x:f>WORKDAY.INTL(A971-1,1,1,FERIADOS!$A$2:$A$250)</x:f>
        <x:v>46629</x:v>
      </x:c>
      <x:c r="F971" t="str">
        <x:f>IF(E971&gt;=WORKDAY.INTL(EOMONTH(E971,0)+1,-2,1,FERIADOS!$A$2:$A$250),"SÍ","NO")</x:f>
        <x:v>SÍ</x:v>
      </x:c>
      <x:c r="G971" s="10" t="n">
        <x:f>IF(F971="SÍ",EOMONTH(E971,0)+1,DATE(YEAR(E971),MONTH(E971),1))</x:f>
        <x:v>46631</x:v>
      </x:c>
      <x:c r="H971" t="str">
        <x:f>IF(D971="NO",IF(C971="SÍ","FERIADO","FIN DE SEMANA"),"LABORABLE")&amp;IF(F971="SÍ"," + CIERRE","")</x:f>
        <x:v>FIN DE SEMANA + CIERRE</x:v>
      </x:c>
      <x:c r="I971" t="str">
        <x:f>TEXT(G971,"yyyy-mm")</x:f>
        <x:v>2027-09</x:v>
      </x:c>
    </x:row>
    <x:row r="972" ht="19" customHeight="1">
      <x:c r="A972" s="2" t="n">
        <x:v>46628</x:v>
      </x:c>
      <x:c r="B972" t="str">
        <x:f>CHOOSE(WEEKDAY(A972,2),"Lunes","Martes","Miércoles","Jueves","Viernes","Sábado","Domingo")</x:f>
        <x:v>Domingo</x:v>
      </x:c>
      <x:c r="C972" t="str">
        <x:f>IF(COUNTIF(FERIADOS!$A$2:$A$250,A972)&gt;0,"SÍ","NO")</x:f>
        <x:v>NO</x:v>
      </x:c>
      <x:c r="D972" t="str">
        <x:f>IF(AND(WEEKDAY(A972,2)&lt;=5,C972="NO"),"SÍ","NO")</x:f>
        <x:v>NO</x:v>
      </x:c>
      <x:c r="E972" s="2" t="n">
        <x:f>WORKDAY.INTL(A972-1,1,1,FERIADOS!$A$2:$A$250)</x:f>
        <x:v>46629</x:v>
      </x:c>
      <x:c r="F972" t="str">
        <x:f>IF(E972&gt;=WORKDAY.INTL(EOMONTH(E972,0)+1,-2,1,FERIADOS!$A$2:$A$250),"SÍ","NO")</x:f>
        <x:v>SÍ</x:v>
      </x:c>
      <x:c r="G972" s="10" t="n">
        <x:f>IF(F972="SÍ",EOMONTH(E972,0)+1,DATE(YEAR(E972),MONTH(E972),1))</x:f>
        <x:v>46631</x:v>
      </x:c>
      <x:c r="H972" t="str">
        <x:f>IF(D972="NO",IF(C972="SÍ","FERIADO","FIN DE SEMANA"),"LABORABLE")&amp;IF(F972="SÍ"," + CIERRE","")</x:f>
        <x:v>FIN DE SEMANA + CIERRE</x:v>
      </x:c>
      <x:c r="I972" t="str">
        <x:f>TEXT(G972,"yyyy-mm")</x:f>
        <x:v>2027-09</x:v>
      </x:c>
    </x:row>
    <x:row r="973" ht="19" customHeight="1">
      <x:c r="A973" s="2" t="n">
        <x:v>46629</x:v>
      </x:c>
      <x:c r="B973" t="str">
        <x:f>CHOOSE(WEEKDAY(A973,2),"Lunes","Martes","Miércoles","Jueves","Viernes","Sábado","Domingo")</x:f>
        <x:v>Lunes</x:v>
      </x:c>
      <x:c r="C973" t="str">
        <x:f>IF(COUNTIF(FERIADOS!$A$2:$A$250,A973)&gt;0,"SÍ","NO")</x:f>
        <x:v>NO</x:v>
      </x:c>
      <x:c r="D973" t="str">
        <x:f>IF(AND(WEEKDAY(A973,2)&lt;=5,C973="NO"),"SÍ","NO")</x:f>
        <x:v>SÍ</x:v>
      </x:c>
      <x:c r="E973" s="2" t="n">
        <x:f>WORKDAY.INTL(A973-1,1,1,FERIADOS!$A$2:$A$250)</x:f>
        <x:v>46629</x:v>
      </x:c>
      <x:c r="F973" t="str">
        <x:f>IF(E973&gt;=WORKDAY.INTL(EOMONTH(E973,0)+1,-2,1,FERIADOS!$A$2:$A$250),"SÍ","NO")</x:f>
        <x:v>SÍ</x:v>
      </x:c>
      <x:c r="G973" s="10" t="n">
        <x:f>IF(F973="SÍ",EOMONTH(E973,0)+1,DATE(YEAR(E973),MONTH(E973),1))</x:f>
        <x:v>46631</x:v>
      </x:c>
      <x:c r="H973" t="str">
        <x:f>IF(D973="NO",IF(C973="SÍ","FERIADO","FIN DE SEMANA"),"LABORABLE")&amp;IF(F973="SÍ"," + CIERRE","")</x:f>
        <x:v>LABORABLE + CIERRE</x:v>
      </x:c>
      <x:c r="I973" t="str">
        <x:f>TEXT(G973,"yyyy-mm")</x:f>
        <x:v>2027-09</x:v>
      </x:c>
    </x:row>
    <x:row r="974" ht="19" customHeight="1">
      <x:c r="A974" s="2" t="n">
        <x:v>46630</x:v>
      </x:c>
      <x:c r="B974" t="str">
        <x:f>CHOOSE(WEEKDAY(A974,2),"Lunes","Martes","Miércoles","Jueves","Viernes","Sábado","Domingo")</x:f>
        <x:v>Martes</x:v>
      </x:c>
      <x:c r="C974" t="str">
        <x:f>IF(COUNTIF(FERIADOS!$A$2:$A$250,A974)&gt;0,"SÍ","NO")</x:f>
        <x:v>NO</x:v>
      </x:c>
      <x:c r="D974" t="str">
        <x:f>IF(AND(WEEKDAY(A974,2)&lt;=5,C974="NO"),"SÍ","NO")</x:f>
        <x:v>SÍ</x:v>
      </x:c>
      <x:c r="E974" s="2" t="n">
        <x:f>WORKDAY.INTL(A974-1,1,1,FERIADOS!$A$2:$A$250)</x:f>
        <x:v>46630</x:v>
      </x:c>
      <x:c r="F974" t="str">
        <x:f>IF(E974&gt;=WORKDAY.INTL(EOMONTH(E974,0)+1,-2,1,FERIADOS!$A$2:$A$250),"SÍ","NO")</x:f>
        <x:v>SÍ</x:v>
      </x:c>
      <x:c r="G974" s="10" t="n">
        <x:f>IF(F974="SÍ",EOMONTH(E974,0)+1,DATE(YEAR(E974),MONTH(E974),1))</x:f>
        <x:v>46631</x:v>
      </x:c>
      <x:c r="H974" t="str">
        <x:f>IF(D974="NO",IF(C974="SÍ","FERIADO","FIN DE SEMANA"),"LABORABLE")&amp;IF(F974="SÍ"," + CIERRE","")</x:f>
        <x:v>LABORABLE + CIERRE</x:v>
      </x:c>
      <x:c r="I974" t="str">
        <x:f>TEXT(G974,"yyyy-mm")</x:f>
        <x:v>2027-09</x:v>
      </x:c>
    </x:row>
    <x:row r="975" ht="19" customHeight="1">
      <x:c r="A975" s="2" t="n">
        <x:v>46631</x:v>
      </x:c>
      <x:c r="B975" t="str">
        <x:f>CHOOSE(WEEKDAY(A975,2),"Lunes","Martes","Miércoles","Jueves","Viernes","Sábado","Domingo")</x:f>
        <x:v>Miércoles</x:v>
      </x:c>
      <x:c r="C975" t="str">
        <x:f>IF(COUNTIF(FERIADOS!$A$2:$A$250,A975)&gt;0,"SÍ","NO")</x:f>
        <x:v>NO</x:v>
      </x:c>
      <x:c r="D975" t="str">
        <x:f>IF(AND(WEEKDAY(A975,2)&lt;=5,C975="NO"),"SÍ","NO")</x:f>
        <x:v>SÍ</x:v>
      </x:c>
      <x:c r="E975" s="2" t="n">
        <x:f>WORKDAY.INTL(A975-1,1,1,FERIADOS!$A$2:$A$250)</x:f>
        <x:v>46631</x:v>
      </x:c>
      <x:c r="F975" t="str">
        <x:f>IF(E975&gt;=WORKDAY.INTL(EOMONTH(E975,0)+1,-2,1,FERIADOS!$A$2:$A$250),"SÍ","NO")</x:f>
        <x:v>NO</x:v>
      </x:c>
      <x:c r="G975" s="10" t="n">
        <x:f>IF(F975="SÍ",EOMONTH(E975,0)+1,DATE(YEAR(E975),MONTH(E975),1))</x:f>
        <x:v>46631</x:v>
      </x:c>
      <x:c r="H975" t="str">
        <x:f>IF(D975="NO",IF(C975="SÍ","FERIADO","FIN DE SEMANA"),"LABORABLE")&amp;IF(F975="SÍ"," + CIERRE","")</x:f>
        <x:v>LABORABLE</x:v>
      </x:c>
      <x:c r="I975" t="str">
        <x:f>TEXT(G975,"yyyy-mm")</x:f>
        <x:v>2027-09</x:v>
      </x:c>
    </x:row>
    <x:row r="976" ht="19" customHeight="1">
      <x:c r="A976" s="2" t="n">
        <x:v>46632</x:v>
      </x:c>
      <x:c r="B976" t="str">
        <x:f>CHOOSE(WEEKDAY(A976,2),"Lunes","Martes","Miércoles","Jueves","Viernes","Sábado","Domingo")</x:f>
        <x:v>Jueves</x:v>
      </x:c>
      <x:c r="C976" t="str">
        <x:f>IF(COUNTIF(FERIADOS!$A$2:$A$250,A976)&gt;0,"SÍ","NO")</x:f>
        <x:v>NO</x:v>
      </x:c>
      <x:c r="D976" t="str">
        <x:f>IF(AND(WEEKDAY(A976,2)&lt;=5,C976="NO"),"SÍ","NO")</x:f>
        <x:v>SÍ</x:v>
      </x:c>
      <x:c r="E976" s="2" t="n">
        <x:f>WORKDAY.INTL(A976-1,1,1,FERIADOS!$A$2:$A$250)</x:f>
        <x:v>46632</x:v>
      </x:c>
      <x:c r="F976" t="str">
        <x:f>IF(E976&gt;=WORKDAY.INTL(EOMONTH(E976,0)+1,-2,1,FERIADOS!$A$2:$A$250),"SÍ","NO")</x:f>
        <x:v>NO</x:v>
      </x:c>
      <x:c r="G976" s="10" t="n">
        <x:f>IF(F976="SÍ",EOMONTH(E976,0)+1,DATE(YEAR(E976),MONTH(E976),1))</x:f>
        <x:v>46631</x:v>
      </x:c>
      <x:c r="H976" t="str">
        <x:f>IF(D976="NO",IF(C976="SÍ","FERIADO","FIN DE SEMANA"),"LABORABLE")&amp;IF(F976="SÍ"," + CIERRE","")</x:f>
        <x:v>LABORABLE</x:v>
      </x:c>
      <x:c r="I976" t="str">
        <x:f>TEXT(G976,"yyyy-mm")</x:f>
        <x:v>2027-09</x:v>
      </x:c>
    </x:row>
    <x:row r="977" ht="19" customHeight="1">
      <x:c r="A977" s="2" t="n">
        <x:v>46633</x:v>
      </x:c>
      <x:c r="B977" t="str">
        <x:f>CHOOSE(WEEKDAY(A977,2),"Lunes","Martes","Miércoles","Jueves","Viernes","Sábado","Domingo")</x:f>
        <x:v>Viernes</x:v>
      </x:c>
      <x:c r="C977" t="str">
        <x:f>IF(COUNTIF(FERIADOS!$A$2:$A$250,A977)&gt;0,"SÍ","NO")</x:f>
        <x:v>NO</x:v>
      </x:c>
      <x:c r="D977" t="str">
        <x:f>IF(AND(WEEKDAY(A977,2)&lt;=5,C977="NO"),"SÍ","NO")</x:f>
        <x:v>SÍ</x:v>
      </x:c>
      <x:c r="E977" s="2" t="n">
        <x:f>WORKDAY.INTL(A977-1,1,1,FERIADOS!$A$2:$A$250)</x:f>
        <x:v>46633</x:v>
      </x:c>
      <x:c r="F977" t="str">
        <x:f>IF(E977&gt;=WORKDAY.INTL(EOMONTH(E977,0)+1,-2,1,FERIADOS!$A$2:$A$250),"SÍ","NO")</x:f>
        <x:v>NO</x:v>
      </x:c>
      <x:c r="G977" s="10" t="n">
        <x:f>IF(F977="SÍ",EOMONTH(E977,0)+1,DATE(YEAR(E977),MONTH(E977),1))</x:f>
        <x:v>46631</x:v>
      </x:c>
      <x:c r="H977" t="str">
        <x:f>IF(D977="NO",IF(C977="SÍ","FERIADO","FIN DE SEMANA"),"LABORABLE")&amp;IF(F977="SÍ"," + CIERRE","")</x:f>
        <x:v>LABORABLE</x:v>
      </x:c>
      <x:c r="I977" t="str">
        <x:f>TEXT(G977,"yyyy-mm")</x:f>
        <x:v>2027-09</x:v>
      </x:c>
    </x:row>
    <x:row r="978" ht="19" customHeight="1">
      <x:c r="A978" s="2" t="n">
        <x:v>46634</x:v>
      </x:c>
      <x:c r="B978" t="str">
        <x:f>CHOOSE(WEEKDAY(A978,2),"Lunes","Martes","Miércoles","Jueves","Viernes","Sábado","Domingo")</x:f>
        <x:v>Sábado</x:v>
      </x:c>
      <x:c r="C978" t="str">
        <x:f>IF(COUNTIF(FERIADOS!$A$2:$A$250,A978)&gt;0,"SÍ","NO")</x:f>
        <x:v>NO</x:v>
      </x:c>
      <x:c r="D978" t="str">
        <x:f>IF(AND(WEEKDAY(A978,2)&lt;=5,C978="NO"),"SÍ","NO")</x:f>
        <x:v>NO</x:v>
      </x:c>
      <x:c r="E978" s="2" t="n">
        <x:f>WORKDAY.INTL(A978-1,1,1,FERIADOS!$A$2:$A$250)</x:f>
        <x:v>46636</x:v>
      </x:c>
      <x:c r="F978" t="str">
        <x:f>IF(E978&gt;=WORKDAY.INTL(EOMONTH(E978,0)+1,-2,1,FERIADOS!$A$2:$A$250),"SÍ","NO")</x:f>
        <x:v>NO</x:v>
      </x:c>
      <x:c r="G978" s="10" t="n">
        <x:f>IF(F978="SÍ",EOMONTH(E978,0)+1,DATE(YEAR(E978),MONTH(E978),1))</x:f>
        <x:v>46631</x:v>
      </x:c>
      <x:c r="H978" t="str">
        <x:f>IF(D978="NO",IF(C978="SÍ","FERIADO","FIN DE SEMANA"),"LABORABLE")&amp;IF(F978="SÍ"," + CIERRE","")</x:f>
        <x:v>FIN DE SEMANA</x:v>
      </x:c>
      <x:c r="I978" t="str">
        <x:f>TEXT(G978,"yyyy-mm")</x:f>
        <x:v>2027-09</x:v>
      </x:c>
    </x:row>
    <x:row r="979" ht="19" customHeight="1">
      <x:c r="A979" s="2" t="n">
        <x:v>46635</x:v>
      </x:c>
      <x:c r="B979" t="str">
        <x:f>CHOOSE(WEEKDAY(A979,2),"Lunes","Martes","Miércoles","Jueves","Viernes","Sábado","Domingo")</x:f>
        <x:v>Domingo</x:v>
      </x:c>
      <x:c r="C979" t="str">
        <x:f>IF(COUNTIF(FERIADOS!$A$2:$A$250,A979)&gt;0,"SÍ","NO")</x:f>
        <x:v>NO</x:v>
      </x:c>
      <x:c r="D979" t="str">
        <x:f>IF(AND(WEEKDAY(A979,2)&lt;=5,C979="NO"),"SÍ","NO")</x:f>
        <x:v>NO</x:v>
      </x:c>
      <x:c r="E979" s="2" t="n">
        <x:f>WORKDAY.INTL(A979-1,1,1,FERIADOS!$A$2:$A$250)</x:f>
        <x:v>46636</x:v>
      </x:c>
      <x:c r="F979" t="str">
        <x:f>IF(E979&gt;=WORKDAY.INTL(EOMONTH(E979,0)+1,-2,1,FERIADOS!$A$2:$A$250),"SÍ","NO")</x:f>
        <x:v>NO</x:v>
      </x:c>
      <x:c r="G979" s="10" t="n">
        <x:f>IF(F979="SÍ",EOMONTH(E979,0)+1,DATE(YEAR(E979),MONTH(E979),1))</x:f>
        <x:v>46631</x:v>
      </x:c>
      <x:c r="H979" t="str">
        <x:f>IF(D979="NO",IF(C979="SÍ","FERIADO","FIN DE SEMANA"),"LABORABLE")&amp;IF(F979="SÍ"," + CIERRE","")</x:f>
        <x:v>FIN DE SEMANA</x:v>
      </x:c>
      <x:c r="I979" t="str">
        <x:f>TEXT(G979,"yyyy-mm")</x:f>
        <x:v>2027-09</x:v>
      </x:c>
    </x:row>
    <x:row r="980" ht="19" customHeight="1">
      <x:c r="A980" s="2" t="n">
        <x:v>46636</x:v>
      </x:c>
      <x:c r="B980" t="str">
        <x:f>CHOOSE(WEEKDAY(A980,2),"Lunes","Martes","Miércoles","Jueves","Viernes","Sábado","Domingo")</x:f>
        <x:v>Lunes</x:v>
      </x:c>
      <x:c r="C980" t="str">
        <x:f>IF(COUNTIF(FERIADOS!$A$2:$A$250,A980)&gt;0,"SÍ","NO")</x:f>
        <x:v>NO</x:v>
      </x:c>
      <x:c r="D980" t="str">
        <x:f>IF(AND(WEEKDAY(A980,2)&lt;=5,C980="NO"),"SÍ","NO")</x:f>
        <x:v>SÍ</x:v>
      </x:c>
      <x:c r="E980" s="2" t="n">
        <x:f>WORKDAY.INTL(A980-1,1,1,FERIADOS!$A$2:$A$250)</x:f>
        <x:v>46636</x:v>
      </x:c>
      <x:c r="F980" t="str">
        <x:f>IF(E980&gt;=WORKDAY.INTL(EOMONTH(E980,0)+1,-2,1,FERIADOS!$A$2:$A$250),"SÍ","NO")</x:f>
        <x:v>NO</x:v>
      </x:c>
      <x:c r="G980" s="10" t="n">
        <x:f>IF(F980="SÍ",EOMONTH(E980,0)+1,DATE(YEAR(E980),MONTH(E980),1))</x:f>
        <x:v>46631</x:v>
      </x:c>
      <x:c r="H980" t="str">
        <x:f>IF(D980="NO",IF(C980="SÍ","FERIADO","FIN DE SEMANA"),"LABORABLE")&amp;IF(F980="SÍ"," + CIERRE","")</x:f>
        <x:v>LABORABLE</x:v>
      </x:c>
      <x:c r="I980" t="str">
        <x:f>TEXT(G980,"yyyy-mm")</x:f>
        <x:v>2027-09</x:v>
      </x:c>
    </x:row>
    <x:row r="981" ht="19" customHeight="1">
      <x:c r="A981" s="2" t="n">
        <x:v>46637</x:v>
      </x:c>
      <x:c r="B981" t="str">
        <x:f>CHOOSE(WEEKDAY(A981,2),"Lunes","Martes","Miércoles","Jueves","Viernes","Sábado","Domingo")</x:f>
        <x:v>Martes</x:v>
      </x:c>
      <x:c r="C981" t="str">
        <x:f>IF(COUNTIF(FERIADOS!$A$2:$A$250,A981)&gt;0,"SÍ","NO")</x:f>
        <x:v>NO</x:v>
      </x:c>
      <x:c r="D981" t="str">
        <x:f>IF(AND(WEEKDAY(A981,2)&lt;=5,C981="NO"),"SÍ","NO")</x:f>
        <x:v>SÍ</x:v>
      </x:c>
      <x:c r="E981" s="2" t="n">
        <x:f>WORKDAY.INTL(A981-1,1,1,FERIADOS!$A$2:$A$250)</x:f>
        <x:v>46637</x:v>
      </x:c>
      <x:c r="F981" t="str">
        <x:f>IF(E981&gt;=WORKDAY.INTL(EOMONTH(E981,0)+1,-2,1,FERIADOS!$A$2:$A$250),"SÍ","NO")</x:f>
        <x:v>NO</x:v>
      </x:c>
      <x:c r="G981" s="10" t="n">
        <x:f>IF(F981="SÍ",EOMONTH(E981,0)+1,DATE(YEAR(E981),MONTH(E981),1))</x:f>
        <x:v>46631</x:v>
      </x:c>
      <x:c r="H981" t="str">
        <x:f>IF(D981="NO",IF(C981="SÍ","FERIADO","FIN DE SEMANA"),"LABORABLE")&amp;IF(F981="SÍ"," + CIERRE","")</x:f>
        <x:v>LABORABLE</x:v>
      </x:c>
      <x:c r="I981" t="str">
        <x:f>TEXT(G981,"yyyy-mm")</x:f>
        <x:v>2027-09</x:v>
      </x:c>
    </x:row>
    <x:row r="982" ht="19" customHeight="1">
      <x:c r="A982" s="2" t="n">
        <x:v>46638</x:v>
      </x:c>
      <x:c r="B982" t="str">
        <x:f>CHOOSE(WEEKDAY(A982,2),"Lunes","Martes","Miércoles","Jueves","Viernes","Sábado","Domingo")</x:f>
        <x:v>Miércoles</x:v>
      </x:c>
      <x:c r="C982" t="str">
        <x:f>IF(COUNTIF(FERIADOS!$A$2:$A$250,A982)&gt;0,"SÍ","NO")</x:f>
        <x:v>NO</x:v>
      </x:c>
      <x:c r="D982" t="str">
        <x:f>IF(AND(WEEKDAY(A982,2)&lt;=5,C982="NO"),"SÍ","NO")</x:f>
        <x:v>SÍ</x:v>
      </x:c>
      <x:c r="E982" s="2" t="n">
        <x:f>WORKDAY.INTL(A982-1,1,1,FERIADOS!$A$2:$A$250)</x:f>
        <x:v>46638</x:v>
      </x:c>
      <x:c r="F982" t="str">
        <x:f>IF(E982&gt;=WORKDAY.INTL(EOMONTH(E982,0)+1,-2,1,FERIADOS!$A$2:$A$250),"SÍ","NO")</x:f>
        <x:v>NO</x:v>
      </x:c>
      <x:c r="G982" s="10" t="n">
        <x:f>IF(F982="SÍ",EOMONTH(E982,0)+1,DATE(YEAR(E982),MONTH(E982),1))</x:f>
        <x:v>46631</x:v>
      </x:c>
      <x:c r="H982" t="str">
        <x:f>IF(D982="NO",IF(C982="SÍ","FERIADO","FIN DE SEMANA"),"LABORABLE")&amp;IF(F982="SÍ"," + CIERRE","")</x:f>
        <x:v>LABORABLE</x:v>
      </x:c>
      <x:c r="I982" t="str">
        <x:f>TEXT(G982,"yyyy-mm")</x:f>
        <x:v>2027-09</x:v>
      </x:c>
    </x:row>
    <x:row r="983" ht="19" customHeight="1">
      <x:c r="A983" s="2" t="n">
        <x:v>46639</x:v>
      </x:c>
      <x:c r="B983" t="str">
        <x:f>CHOOSE(WEEKDAY(A983,2),"Lunes","Martes","Miércoles","Jueves","Viernes","Sábado","Domingo")</x:f>
        <x:v>Jueves</x:v>
      </x:c>
      <x:c r="C983" t="str">
        <x:f>IF(COUNTIF(FERIADOS!$A$2:$A$250,A983)&gt;0,"SÍ","NO")</x:f>
        <x:v>NO</x:v>
      </x:c>
      <x:c r="D983" t="str">
        <x:f>IF(AND(WEEKDAY(A983,2)&lt;=5,C983="NO"),"SÍ","NO")</x:f>
        <x:v>SÍ</x:v>
      </x:c>
      <x:c r="E983" s="2" t="n">
        <x:f>WORKDAY.INTL(A983-1,1,1,FERIADOS!$A$2:$A$250)</x:f>
        <x:v>46639</x:v>
      </x:c>
      <x:c r="F983" t="str">
        <x:f>IF(E983&gt;=WORKDAY.INTL(EOMONTH(E983,0)+1,-2,1,FERIADOS!$A$2:$A$250),"SÍ","NO")</x:f>
        <x:v>NO</x:v>
      </x:c>
      <x:c r="G983" s="10" t="n">
        <x:f>IF(F983="SÍ",EOMONTH(E983,0)+1,DATE(YEAR(E983),MONTH(E983),1))</x:f>
        <x:v>46631</x:v>
      </x:c>
      <x:c r="H983" t="str">
        <x:f>IF(D983="NO",IF(C983="SÍ","FERIADO","FIN DE SEMANA"),"LABORABLE")&amp;IF(F983="SÍ"," + CIERRE","")</x:f>
        <x:v>LABORABLE</x:v>
      </x:c>
      <x:c r="I983" t="str">
        <x:f>TEXT(G983,"yyyy-mm")</x:f>
        <x:v>2027-09</x:v>
      </x:c>
    </x:row>
    <x:row r="984" ht="19" customHeight="1">
      <x:c r="A984" s="2" t="n">
        <x:v>46640</x:v>
      </x:c>
      <x:c r="B984" t="str">
        <x:f>CHOOSE(WEEKDAY(A984,2),"Lunes","Martes","Miércoles","Jueves","Viernes","Sábado","Domingo")</x:f>
        <x:v>Viernes</x:v>
      </x:c>
      <x:c r="C984" t="str">
        <x:f>IF(COUNTIF(FERIADOS!$A$2:$A$250,A984)&gt;0,"SÍ","NO")</x:f>
        <x:v>NO</x:v>
      </x:c>
      <x:c r="D984" t="str">
        <x:f>IF(AND(WEEKDAY(A984,2)&lt;=5,C984="NO"),"SÍ","NO")</x:f>
        <x:v>SÍ</x:v>
      </x:c>
      <x:c r="E984" s="2" t="n">
        <x:f>WORKDAY.INTL(A984-1,1,1,FERIADOS!$A$2:$A$250)</x:f>
        <x:v>46640</x:v>
      </x:c>
      <x:c r="F984" t="str">
        <x:f>IF(E984&gt;=WORKDAY.INTL(EOMONTH(E984,0)+1,-2,1,FERIADOS!$A$2:$A$250),"SÍ","NO")</x:f>
        <x:v>NO</x:v>
      </x:c>
      <x:c r="G984" s="10" t="n">
        <x:f>IF(F984="SÍ",EOMONTH(E984,0)+1,DATE(YEAR(E984),MONTH(E984),1))</x:f>
        <x:v>46631</x:v>
      </x:c>
      <x:c r="H984" t="str">
        <x:f>IF(D984="NO",IF(C984="SÍ","FERIADO","FIN DE SEMANA"),"LABORABLE")&amp;IF(F984="SÍ"," + CIERRE","")</x:f>
        <x:v>LABORABLE</x:v>
      </x:c>
      <x:c r="I984" t="str">
        <x:f>TEXT(G984,"yyyy-mm")</x:f>
        <x:v>2027-09</x:v>
      </x:c>
    </x:row>
    <x:row r="985" ht="19" customHeight="1">
      <x:c r="A985" s="2" t="n">
        <x:v>46641</x:v>
      </x:c>
      <x:c r="B985" t="str">
        <x:f>CHOOSE(WEEKDAY(A985,2),"Lunes","Martes","Miércoles","Jueves","Viernes","Sábado","Domingo")</x:f>
        <x:v>Sábado</x:v>
      </x:c>
      <x:c r="C985" t="str">
        <x:f>IF(COUNTIF(FERIADOS!$A$2:$A$250,A985)&gt;0,"SÍ","NO")</x:f>
        <x:v>NO</x:v>
      </x:c>
      <x:c r="D985" t="str">
        <x:f>IF(AND(WEEKDAY(A985,2)&lt;=5,C985="NO"),"SÍ","NO")</x:f>
        <x:v>NO</x:v>
      </x:c>
      <x:c r="E985" s="2" t="n">
        <x:f>WORKDAY.INTL(A985-1,1,1,FERIADOS!$A$2:$A$250)</x:f>
        <x:v>46643</x:v>
      </x:c>
      <x:c r="F985" t="str">
        <x:f>IF(E985&gt;=WORKDAY.INTL(EOMONTH(E985,0)+1,-2,1,FERIADOS!$A$2:$A$250),"SÍ","NO")</x:f>
        <x:v>NO</x:v>
      </x:c>
      <x:c r="G985" s="10" t="n">
        <x:f>IF(F985="SÍ",EOMONTH(E985,0)+1,DATE(YEAR(E985),MONTH(E985),1))</x:f>
        <x:v>46631</x:v>
      </x:c>
      <x:c r="H985" t="str">
        <x:f>IF(D985="NO",IF(C985="SÍ","FERIADO","FIN DE SEMANA"),"LABORABLE")&amp;IF(F985="SÍ"," + CIERRE","")</x:f>
        <x:v>FIN DE SEMANA</x:v>
      </x:c>
      <x:c r="I985" t="str">
        <x:f>TEXT(G985,"yyyy-mm")</x:f>
        <x:v>2027-09</x:v>
      </x:c>
    </x:row>
    <x:row r="986" ht="19" customHeight="1">
      <x:c r="A986" s="2" t="n">
        <x:v>46642</x:v>
      </x:c>
      <x:c r="B986" t="str">
        <x:f>CHOOSE(WEEKDAY(A986,2),"Lunes","Martes","Miércoles","Jueves","Viernes","Sábado","Domingo")</x:f>
        <x:v>Domingo</x:v>
      </x:c>
      <x:c r="C986" t="str">
        <x:f>IF(COUNTIF(FERIADOS!$A$2:$A$250,A986)&gt;0,"SÍ","NO")</x:f>
        <x:v>NO</x:v>
      </x:c>
      <x:c r="D986" t="str">
        <x:f>IF(AND(WEEKDAY(A986,2)&lt;=5,C986="NO"),"SÍ","NO")</x:f>
        <x:v>NO</x:v>
      </x:c>
      <x:c r="E986" s="2" t="n">
        <x:f>WORKDAY.INTL(A986-1,1,1,FERIADOS!$A$2:$A$250)</x:f>
        <x:v>46643</x:v>
      </x:c>
      <x:c r="F986" t="str">
        <x:f>IF(E986&gt;=WORKDAY.INTL(EOMONTH(E986,0)+1,-2,1,FERIADOS!$A$2:$A$250),"SÍ","NO")</x:f>
        <x:v>NO</x:v>
      </x:c>
      <x:c r="G986" s="10" t="n">
        <x:f>IF(F986="SÍ",EOMONTH(E986,0)+1,DATE(YEAR(E986),MONTH(E986),1))</x:f>
        <x:v>46631</x:v>
      </x:c>
      <x:c r="H986" t="str">
        <x:f>IF(D986="NO",IF(C986="SÍ","FERIADO","FIN DE SEMANA"),"LABORABLE")&amp;IF(F986="SÍ"," + CIERRE","")</x:f>
        <x:v>FIN DE SEMANA</x:v>
      </x:c>
      <x:c r="I986" t="str">
        <x:f>TEXT(G986,"yyyy-mm")</x:f>
        <x:v>2027-09</x:v>
      </x:c>
    </x:row>
    <x:row r="987" ht="19" customHeight="1">
      <x:c r="A987" s="2" t="n">
        <x:v>46643</x:v>
      </x:c>
      <x:c r="B987" t="str">
        <x:f>CHOOSE(WEEKDAY(A987,2),"Lunes","Martes","Miércoles","Jueves","Viernes","Sábado","Domingo")</x:f>
        <x:v>Lunes</x:v>
      </x:c>
      <x:c r="C987" t="str">
        <x:f>IF(COUNTIF(FERIADOS!$A$2:$A$250,A987)&gt;0,"SÍ","NO")</x:f>
        <x:v>NO</x:v>
      </x:c>
      <x:c r="D987" t="str">
        <x:f>IF(AND(WEEKDAY(A987,2)&lt;=5,C987="NO"),"SÍ","NO")</x:f>
        <x:v>SÍ</x:v>
      </x:c>
      <x:c r="E987" s="2" t="n">
        <x:f>WORKDAY.INTL(A987-1,1,1,FERIADOS!$A$2:$A$250)</x:f>
        <x:v>46643</x:v>
      </x:c>
      <x:c r="F987" t="str">
        <x:f>IF(E987&gt;=WORKDAY.INTL(EOMONTH(E987,0)+1,-2,1,FERIADOS!$A$2:$A$250),"SÍ","NO")</x:f>
        <x:v>NO</x:v>
      </x:c>
      <x:c r="G987" s="10" t="n">
        <x:f>IF(F987="SÍ",EOMONTH(E987,0)+1,DATE(YEAR(E987),MONTH(E987),1))</x:f>
        <x:v>46631</x:v>
      </x:c>
      <x:c r="H987" t="str">
        <x:f>IF(D987="NO",IF(C987="SÍ","FERIADO","FIN DE SEMANA"),"LABORABLE")&amp;IF(F987="SÍ"," + CIERRE","")</x:f>
        <x:v>LABORABLE</x:v>
      </x:c>
      <x:c r="I987" t="str">
        <x:f>TEXT(G987,"yyyy-mm")</x:f>
        <x:v>2027-09</x:v>
      </x:c>
    </x:row>
    <x:row r="988" ht="19" customHeight="1">
      <x:c r="A988" s="2" t="n">
        <x:v>46644</x:v>
      </x:c>
      <x:c r="B988" t="str">
        <x:f>CHOOSE(WEEKDAY(A988,2),"Lunes","Martes","Miércoles","Jueves","Viernes","Sábado","Domingo")</x:f>
        <x:v>Martes</x:v>
      </x:c>
      <x:c r="C988" t="str">
        <x:f>IF(COUNTIF(FERIADOS!$A$2:$A$250,A988)&gt;0,"SÍ","NO")</x:f>
        <x:v>NO</x:v>
      </x:c>
      <x:c r="D988" t="str">
        <x:f>IF(AND(WEEKDAY(A988,2)&lt;=5,C988="NO"),"SÍ","NO")</x:f>
        <x:v>SÍ</x:v>
      </x:c>
      <x:c r="E988" s="2" t="n">
        <x:f>WORKDAY.INTL(A988-1,1,1,FERIADOS!$A$2:$A$250)</x:f>
        <x:v>46644</x:v>
      </x:c>
      <x:c r="F988" t="str">
        <x:f>IF(E988&gt;=WORKDAY.INTL(EOMONTH(E988,0)+1,-2,1,FERIADOS!$A$2:$A$250),"SÍ","NO")</x:f>
        <x:v>NO</x:v>
      </x:c>
      <x:c r="G988" s="10" t="n">
        <x:f>IF(F988="SÍ",EOMONTH(E988,0)+1,DATE(YEAR(E988),MONTH(E988),1))</x:f>
        <x:v>46631</x:v>
      </x:c>
      <x:c r="H988" t="str">
        <x:f>IF(D988="NO",IF(C988="SÍ","FERIADO","FIN DE SEMANA"),"LABORABLE")&amp;IF(F988="SÍ"," + CIERRE","")</x:f>
        <x:v>LABORABLE</x:v>
      </x:c>
      <x:c r="I988" t="str">
        <x:f>TEXT(G988,"yyyy-mm")</x:f>
        <x:v>2027-09</x:v>
      </x:c>
    </x:row>
    <x:row r="989" ht="19" customHeight="1">
      <x:c r="A989" s="2" t="n">
        <x:v>46645</x:v>
      </x:c>
      <x:c r="B989" t="str">
        <x:f>CHOOSE(WEEKDAY(A989,2),"Lunes","Martes","Miércoles","Jueves","Viernes","Sábado","Domingo")</x:f>
        <x:v>Miércoles</x:v>
      </x:c>
      <x:c r="C989" t="str">
        <x:f>IF(COUNTIF(FERIADOS!$A$2:$A$250,A989)&gt;0,"SÍ","NO")</x:f>
        <x:v>NO</x:v>
      </x:c>
      <x:c r="D989" t="str">
        <x:f>IF(AND(WEEKDAY(A989,2)&lt;=5,C989="NO"),"SÍ","NO")</x:f>
        <x:v>SÍ</x:v>
      </x:c>
      <x:c r="E989" s="2" t="n">
        <x:f>WORKDAY.INTL(A989-1,1,1,FERIADOS!$A$2:$A$250)</x:f>
        <x:v>46645</x:v>
      </x:c>
      <x:c r="F989" t="str">
        <x:f>IF(E989&gt;=WORKDAY.INTL(EOMONTH(E989,0)+1,-2,1,FERIADOS!$A$2:$A$250),"SÍ","NO")</x:f>
        <x:v>NO</x:v>
      </x:c>
      <x:c r="G989" s="10" t="n">
        <x:f>IF(F989="SÍ",EOMONTH(E989,0)+1,DATE(YEAR(E989),MONTH(E989),1))</x:f>
        <x:v>46631</x:v>
      </x:c>
      <x:c r="H989" t="str">
        <x:f>IF(D989="NO",IF(C989="SÍ","FERIADO","FIN DE SEMANA"),"LABORABLE")&amp;IF(F989="SÍ"," + CIERRE","")</x:f>
        <x:v>LABORABLE</x:v>
      </x:c>
      <x:c r="I989" t="str">
        <x:f>TEXT(G989,"yyyy-mm")</x:f>
        <x:v>2027-09</x:v>
      </x:c>
    </x:row>
    <x:row r="990" ht="19" customHeight="1">
      <x:c r="A990" s="2" t="n">
        <x:v>46646</x:v>
      </x:c>
      <x:c r="B990" t="str">
        <x:f>CHOOSE(WEEKDAY(A990,2),"Lunes","Martes","Miércoles","Jueves","Viernes","Sábado","Domingo")</x:f>
        <x:v>Jueves</x:v>
      </x:c>
      <x:c r="C990" t="str">
        <x:f>IF(COUNTIF(FERIADOS!$A$2:$A$250,A990)&gt;0,"SÍ","NO")</x:f>
        <x:v>NO</x:v>
      </x:c>
      <x:c r="D990" t="str">
        <x:f>IF(AND(WEEKDAY(A990,2)&lt;=5,C990="NO"),"SÍ","NO")</x:f>
        <x:v>SÍ</x:v>
      </x:c>
      <x:c r="E990" s="2" t="n">
        <x:f>WORKDAY.INTL(A990-1,1,1,FERIADOS!$A$2:$A$250)</x:f>
        <x:v>46646</x:v>
      </x:c>
      <x:c r="F990" t="str">
        <x:f>IF(E990&gt;=WORKDAY.INTL(EOMONTH(E990,0)+1,-2,1,FERIADOS!$A$2:$A$250),"SÍ","NO")</x:f>
        <x:v>NO</x:v>
      </x:c>
      <x:c r="G990" s="10" t="n">
        <x:f>IF(F990="SÍ",EOMONTH(E990,0)+1,DATE(YEAR(E990),MONTH(E990),1))</x:f>
        <x:v>46631</x:v>
      </x:c>
      <x:c r="H990" t="str">
        <x:f>IF(D990="NO",IF(C990="SÍ","FERIADO","FIN DE SEMANA"),"LABORABLE")&amp;IF(F990="SÍ"," + CIERRE","")</x:f>
        <x:v>LABORABLE</x:v>
      </x:c>
      <x:c r="I990" t="str">
        <x:f>TEXT(G990,"yyyy-mm")</x:f>
        <x:v>2027-09</x:v>
      </x:c>
    </x:row>
    <x:row r="991" ht="19" customHeight="1">
      <x:c r="A991" s="2" t="n">
        <x:v>46647</x:v>
      </x:c>
      <x:c r="B991" t="str">
        <x:f>CHOOSE(WEEKDAY(A991,2),"Lunes","Martes","Miércoles","Jueves","Viernes","Sábado","Domingo")</x:f>
        <x:v>Viernes</x:v>
      </x:c>
      <x:c r="C991" t="str">
        <x:f>IF(COUNTIF(FERIADOS!$A$2:$A$250,A991)&gt;0,"SÍ","NO")</x:f>
        <x:v>NO</x:v>
      </x:c>
      <x:c r="D991" t="str">
        <x:f>IF(AND(WEEKDAY(A991,2)&lt;=5,C991="NO"),"SÍ","NO")</x:f>
        <x:v>SÍ</x:v>
      </x:c>
      <x:c r="E991" s="2" t="n">
        <x:f>WORKDAY.INTL(A991-1,1,1,FERIADOS!$A$2:$A$250)</x:f>
        <x:v>46647</x:v>
      </x:c>
      <x:c r="F991" t="str">
        <x:f>IF(E991&gt;=WORKDAY.INTL(EOMONTH(E991,0)+1,-2,1,FERIADOS!$A$2:$A$250),"SÍ","NO")</x:f>
        <x:v>NO</x:v>
      </x:c>
      <x:c r="G991" s="10" t="n">
        <x:f>IF(F991="SÍ",EOMONTH(E991,0)+1,DATE(YEAR(E991),MONTH(E991),1))</x:f>
        <x:v>46631</x:v>
      </x:c>
      <x:c r="H991" t="str">
        <x:f>IF(D991="NO",IF(C991="SÍ","FERIADO","FIN DE SEMANA"),"LABORABLE")&amp;IF(F991="SÍ"," + CIERRE","")</x:f>
        <x:v>LABORABLE</x:v>
      </x:c>
      <x:c r="I991" t="str">
        <x:f>TEXT(G991,"yyyy-mm")</x:f>
        <x:v>2027-09</x:v>
      </x:c>
    </x:row>
    <x:row r="992" ht="19" customHeight="1">
      <x:c r="A992" s="2" t="n">
        <x:v>46648</x:v>
      </x:c>
      <x:c r="B992" t="str">
        <x:f>CHOOSE(WEEKDAY(A992,2),"Lunes","Martes","Miércoles","Jueves","Viernes","Sábado","Domingo")</x:f>
        <x:v>Sábado</x:v>
      </x:c>
      <x:c r="C992" t="str">
        <x:f>IF(COUNTIF(FERIADOS!$A$2:$A$250,A992)&gt;0,"SÍ","NO")</x:f>
        <x:v>NO</x:v>
      </x:c>
      <x:c r="D992" t="str">
        <x:f>IF(AND(WEEKDAY(A992,2)&lt;=5,C992="NO"),"SÍ","NO")</x:f>
        <x:v>NO</x:v>
      </x:c>
      <x:c r="E992" s="2" t="n">
        <x:f>WORKDAY.INTL(A992-1,1,1,FERIADOS!$A$2:$A$250)</x:f>
        <x:v>46650</x:v>
      </x:c>
      <x:c r="F992" t="str">
        <x:f>IF(E992&gt;=WORKDAY.INTL(EOMONTH(E992,0)+1,-2,1,FERIADOS!$A$2:$A$250),"SÍ","NO")</x:f>
        <x:v>NO</x:v>
      </x:c>
      <x:c r="G992" s="10" t="n">
        <x:f>IF(F992="SÍ",EOMONTH(E992,0)+1,DATE(YEAR(E992),MONTH(E992),1))</x:f>
        <x:v>46631</x:v>
      </x:c>
      <x:c r="H992" t="str">
        <x:f>IF(D992="NO",IF(C992="SÍ","FERIADO","FIN DE SEMANA"),"LABORABLE")&amp;IF(F992="SÍ"," + CIERRE","")</x:f>
        <x:v>FIN DE SEMANA</x:v>
      </x:c>
      <x:c r="I992" t="str">
        <x:f>TEXT(G992,"yyyy-mm")</x:f>
        <x:v>2027-09</x:v>
      </x:c>
    </x:row>
    <x:row r="993" ht="19" customHeight="1">
      <x:c r="A993" s="2" t="n">
        <x:v>46649</x:v>
      </x:c>
      <x:c r="B993" t="str">
        <x:f>CHOOSE(WEEKDAY(A993,2),"Lunes","Martes","Miércoles","Jueves","Viernes","Sábado","Domingo")</x:f>
        <x:v>Domingo</x:v>
      </x:c>
      <x:c r="C993" t="str">
        <x:f>IF(COUNTIF(FERIADOS!$A$2:$A$250,A993)&gt;0,"SÍ","NO")</x:f>
        <x:v>NO</x:v>
      </x:c>
      <x:c r="D993" t="str">
        <x:f>IF(AND(WEEKDAY(A993,2)&lt;=5,C993="NO"),"SÍ","NO")</x:f>
        <x:v>NO</x:v>
      </x:c>
      <x:c r="E993" s="2" t="n">
        <x:f>WORKDAY.INTL(A993-1,1,1,FERIADOS!$A$2:$A$250)</x:f>
        <x:v>46650</x:v>
      </x:c>
      <x:c r="F993" t="str">
        <x:f>IF(E993&gt;=WORKDAY.INTL(EOMONTH(E993,0)+1,-2,1,FERIADOS!$A$2:$A$250),"SÍ","NO")</x:f>
        <x:v>NO</x:v>
      </x:c>
      <x:c r="G993" s="10" t="n">
        <x:f>IF(F993="SÍ",EOMONTH(E993,0)+1,DATE(YEAR(E993),MONTH(E993),1))</x:f>
        <x:v>46631</x:v>
      </x:c>
      <x:c r="H993" t="str">
        <x:f>IF(D993="NO",IF(C993="SÍ","FERIADO","FIN DE SEMANA"),"LABORABLE")&amp;IF(F993="SÍ"," + CIERRE","")</x:f>
        <x:v>FIN DE SEMANA</x:v>
      </x:c>
      <x:c r="I993" t="str">
        <x:f>TEXT(G993,"yyyy-mm")</x:f>
        <x:v>2027-09</x:v>
      </x:c>
    </x:row>
    <x:row r="994" ht="19" customHeight="1">
      <x:c r="A994" s="2" t="n">
        <x:v>46650</x:v>
      </x:c>
      <x:c r="B994" t="str">
        <x:f>CHOOSE(WEEKDAY(A994,2),"Lunes","Martes","Miércoles","Jueves","Viernes","Sábado","Domingo")</x:f>
        <x:v>Lunes</x:v>
      </x:c>
      <x:c r="C994" t="str">
        <x:f>IF(COUNTIF(FERIADOS!$A$2:$A$250,A994)&gt;0,"SÍ","NO")</x:f>
        <x:v>NO</x:v>
      </x:c>
      <x:c r="D994" t="str">
        <x:f>IF(AND(WEEKDAY(A994,2)&lt;=5,C994="NO"),"SÍ","NO")</x:f>
        <x:v>SÍ</x:v>
      </x:c>
      <x:c r="E994" s="2" t="n">
        <x:f>WORKDAY.INTL(A994-1,1,1,FERIADOS!$A$2:$A$250)</x:f>
        <x:v>46650</x:v>
      </x:c>
      <x:c r="F994" t="str">
        <x:f>IF(E994&gt;=WORKDAY.INTL(EOMONTH(E994,0)+1,-2,1,FERIADOS!$A$2:$A$250),"SÍ","NO")</x:f>
        <x:v>NO</x:v>
      </x:c>
      <x:c r="G994" s="10" t="n">
        <x:f>IF(F994="SÍ",EOMONTH(E994,0)+1,DATE(YEAR(E994),MONTH(E994),1))</x:f>
        <x:v>46631</x:v>
      </x:c>
      <x:c r="H994" t="str">
        <x:f>IF(D994="NO",IF(C994="SÍ","FERIADO","FIN DE SEMANA"),"LABORABLE")&amp;IF(F994="SÍ"," + CIERRE","")</x:f>
        <x:v>LABORABLE</x:v>
      </x:c>
      <x:c r="I994" t="str">
        <x:f>TEXT(G994,"yyyy-mm")</x:f>
        <x:v>2027-09</x:v>
      </x:c>
    </x:row>
    <x:row r="995" ht="19" customHeight="1">
      <x:c r="A995" s="2" t="n">
        <x:v>46651</x:v>
      </x:c>
      <x:c r="B995" t="str">
        <x:f>CHOOSE(WEEKDAY(A995,2),"Lunes","Martes","Miércoles","Jueves","Viernes","Sábado","Domingo")</x:f>
        <x:v>Martes</x:v>
      </x:c>
      <x:c r="C995" t="str">
        <x:f>IF(COUNTIF(FERIADOS!$A$2:$A$250,A995)&gt;0,"SÍ","NO")</x:f>
        <x:v>NO</x:v>
      </x:c>
      <x:c r="D995" t="str">
        <x:f>IF(AND(WEEKDAY(A995,2)&lt;=5,C995="NO"),"SÍ","NO")</x:f>
        <x:v>SÍ</x:v>
      </x:c>
      <x:c r="E995" s="2" t="n">
        <x:f>WORKDAY.INTL(A995-1,1,1,FERIADOS!$A$2:$A$250)</x:f>
        <x:v>46651</x:v>
      </x:c>
      <x:c r="F995" t="str">
        <x:f>IF(E995&gt;=WORKDAY.INTL(EOMONTH(E995,0)+1,-2,1,FERIADOS!$A$2:$A$250),"SÍ","NO")</x:f>
        <x:v>NO</x:v>
      </x:c>
      <x:c r="G995" s="10" t="n">
        <x:f>IF(F995="SÍ",EOMONTH(E995,0)+1,DATE(YEAR(E995),MONTH(E995),1))</x:f>
        <x:v>46631</x:v>
      </x:c>
      <x:c r="H995" t="str">
        <x:f>IF(D995="NO",IF(C995="SÍ","FERIADO","FIN DE SEMANA"),"LABORABLE")&amp;IF(F995="SÍ"," + CIERRE","")</x:f>
        <x:v>LABORABLE</x:v>
      </x:c>
      <x:c r="I995" t="str">
        <x:f>TEXT(G995,"yyyy-mm")</x:f>
        <x:v>2027-09</x:v>
      </x:c>
    </x:row>
    <x:row r="996" ht="19" customHeight="1">
      <x:c r="A996" s="2" t="n">
        <x:v>46652</x:v>
      </x:c>
      <x:c r="B996" t="str">
        <x:f>CHOOSE(WEEKDAY(A996,2),"Lunes","Martes","Miércoles","Jueves","Viernes","Sábado","Domingo")</x:f>
        <x:v>Miércoles</x:v>
      </x:c>
      <x:c r="C996" t="str">
        <x:f>IF(COUNTIF(FERIADOS!$A$2:$A$250,A996)&gt;0,"SÍ","NO")</x:f>
        <x:v>NO</x:v>
      </x:c>
      <x:c r="D996" t="str">
        <x:f>IF(AND(WEEKDAY(A996,2)&lt;=5,C996="NO"),"SÍ","NO")</x:f>
        <x:v>SÍ</x:v>
      </x:c>
      <x:c r="E996" s="2" t="n">
        <x:f>WORKDAY.INTL(A996-1,1,1,FERIADOS!$A$2:$A$250)</x:f>
        <x:v>46652</x:v>
      </x:c>
      <x:c r="F996" t="str">
        <x:f>IF(E996&gt;=WORKDAY.INTL(EOMONTH(E996,0)+1,-2,1,FERIADOS!$A$2:$A$250),"SÍ","NO")</x:f>
        <x:v>NO</x:v>
      </x:c>
      <x:c r="G996" s="10" t="n">
        <x:f>IF(F996="SÍ",EOMONTH(E996,0)+1,DATE(YEAR(E996),MONTH(E996),1))</x:f>
        <x:v>46631</x:v>
      </x:c>
      <x:c r="H996" t="str">
        <x:f>IF(D996="NO",IF(C996="SÍ","FERIADO","FIN DE SEMANA"),"LABORABLE")&amp;IF(F996="SÍ"," + CIERRE","")</x:f>
        <x:v>LABORABLE</x:v>
      </x:c>
      <x:c r="I996" t="str">
        <x:f>TEXT(G996,"yyyy-mm")</x:f>
        <x:v>2027-09</x:v>
      </x:c>
    </x:row>
    <x:row r="997" ht="19" customHeight="1">
      <x:c r="A997" s="2" t="n">
        <x:v>46653</x:v>
      </x:c>
      <x:c r="B997" t="str">
        <x:f>CHOOSE(WEEKDAY(A997,2),"Lunes","Martes","Miércoles","Jueves","Viernes","Sábado","Domingo")</x:f>
        <x:v>Jueves</x:v>
      </x:c>
      <x:c r="C997" t="str">
        <x:f>IF(COUNTIF(FERIADOS!$A$2:$A$250,A997)&gt;0,"SÍ","NO")</x:f>
        <x:v>NO</x:v>
      </x:c>
      <x:c r="D997" t="str">
        <x:f>IF(AND(WEEKDAY(A997,2)&lt;=5,C997="NO"),"SÍ","NO")</x:f>
        <x:v>SÍ</x:v>
      </x:c>
      <x:c r="E997" s="2" t="n">
        <x:f>WORKDAY.INTL(A997-1,1,1,FERIADOS!$A$2:$A$250)</x:f>
        <x:v>46653</x:v>
      </x:c>
      <x:c r="F997" t="str">
        <x:f>IF(E997&gt;=WORKDAY.INTL(EOMONTH(E997,0)+1,-2,1,FERIADOS!$A$2:$A$250),"SÍ","NO")</x:f>
        <x:v>NO</x:v>
      </x:c>
      <x:c r="G997" s="10" t="n">
        <x:f>IF(F997="SÍ",EOMONTH(E997,0)+1,DATE(YEAR(E997),MONTH(E997),1))</x:f>
        <x:v>46631</x:v>
      </x:c>
      <x:c r="H997" t="str">
        <x:f>IF(D997="NO",IF(C997="SÍ","FERIADO","FIN DE SEMANA"),"LABORABLE")&amp;IF(F997="SÍ"," + CIERRE","")</x:f>
        <x:v>LABORABLE</x:v>
      </x:c>
      <x:c r="I997" t="str">
        <x:f>TEXT(G997,"yyyy-mm")</x:f>
        <x:v>2027-09</x:v>
      </x:c>
    </x:row>
    <x:row r="998" ht="19" customHeight="1">
      <x:c r="A998" s="2" t="n">
        <x:v>46654</x:v>
      </x:c>
      <x:c r="B998" t="str">
        <x:f>CHOOSE(WEEKDAY(A998,2),"Lunes","Martes","Miércoles","Jueves","Viernes","Sábado","Domingo")</x:f>
        <x:v>Viernes</x:v>
      </x:c>
      <x:c r="C998" t="str">
        <x:f>IF(COUNTIF(FERIADOS!$A$2:$A$250,A998)&gt;0,"SÍ","NO")</x:f>
        <x:v>NO</x:v>
      </x:c>
      <x:c r="D998" t="str">
        <x:f>IF(AND(WEEKDAY(A998,2)&lt;=5,C998="NO"),"SÍ","NO")</x:f>
        <x:v>SÍ</x:v>
      </x:c>
      <x:c r="E998" s="2" t="n">
        <x:f>WORKDAY.INTL(A998-1,1,1,FERIADOS!$A$2:$A$250)</x:f>
        <x:v>46654</x:v>
      </x:c>
      <x:c r="F998" t="str">
        <x:f>IF(E998&gt;=WORKDAY.INTL(EOMONTH(E998,0)+1,-2,1,FERIADOS!$A$2:$A$250),"SÍ","NO")</x:f>
        <x:v>NO</x:v>
      </x:c>
      <x:c r="G998" s="10" t="n">
        <x:f>IF(F998="SÍ",EOMONTH(E998,0)+1,DATE(YEAR(E998),MONTH(E998),1))</x:f>
        <x:v>46631</x:v>
      </x:c>
      <x:c r="H998" t="str">
        <x:f>IF(D998="NO",IF(C998="SÍ","FERIADO","FIN DE SEMANA"),"LABORABLE")&amp;IF(F998="SÍ"," + CIERRE","")</x:f>
        <x:v>LABORABLE</x:v>
      </x:c>
      <x:c r="I998" t="str">
        <x:f>TEXT(G998,"yyyy-mm")</x:f>
        <x:v>2027-09</x:v>
      </x:c>
    </x:row>
    <x:row r="999" ht="19" customHeight="1">
      <x:c r="A999" s="2" t="n">
        <x:v>46655</x:v>
      </x:c>
      <x:c r="B999" t="str">
        <x:f>CHOOSE(WEEKDAY(A999,2),"Lunes","Martes","Miércoles","Jueves","Viernes","Sábado","Domingo")</x:f>
        <x:v>Sábado</x:v>
      </x:c>
      <x:c r="C999" t="str">
        <x:f>IF(COUNTIF(FERIADOS!$A$2:$A$250,A999)&gt;0,"SÍ","NO")</x:f>
        <x:v>NO</x:v>
      </x:c>
      <x:c r="D999" t="str">
        <x:f>IF(AND(WEEKDAY(A999,2)&lt;=5,C999="NO"),"SÍ","NO")</x:f>
        <x:v>NO</x:v>
      </x:c>
      <x:c r="E999" s="2" t="n">
        <x:f>WORKDAY.INTL(A999-1,1,1,FERIADOS!$A$2:$A$250)</x:f>
        <x:v>46657</x:v>
      </x:c>
      <x:c r="F999" t="str">
        <x:f>IF(E999&gt;=WORKDAY.INTL(EOMONTH(E999,0)+1,-2,1,FERIADOS!$A$2:$A$250),"SÍ","NO")</x:f>
        <x:v>NO</x:v>
      </x:c>
      <x:c r="G999" s="10" t="n">
        <x:f>IF(F999="SÍ",EOMONTH(E999,0)+1,DATE(YEAR(E999),MONTH(E999),1))</x:f>
        <x:v>46631</x:v>
      </x:c>
      <x:c r="H999" t="str">
        <x:f>IF(D999="NO",IF(C999="SÍ","FERIADO","FIN DE SEMANA"),"LABORABLE")&amp;IF(F999="SÍ"," + CIERRE","")</x:f>
        <x:v>FIN DE SEMANA</x:v>
      </x:c>
      <x:c r="I999" t="str">
        <x:f>TEXT(G999,"yyyy-mm")</x:f>
        <x:v>2027-09</x:v>
      </x:c>
    </x:row>
    <x:row r="1000" ht="19" customHeight="1">
      <x:c r="A1000" s="2" t="n">
        <x:v>46656</x:v>
      </x:c>
      <x:c r="B1000" t="str">
        <x:f>CHOOSE(WEEKDAY(A1000,2),"Lunes","Martes","Miércoles","Jueves","Viernes","Sábado","Domingo")</x:f>
        <x:v>Domingo</x:v>
      </x:c>
      <x:c r="C1000" t="str">
        <x:f>IF(COUNTIF(FERIADOS!$A$2:$A$250,A1000)&gt;0,"SÍ","NO")</x:f>
        <x:v>NO</x:v>
      </x:c>
      <x:c r="D1000" t="str">
        <x:f>IF(AND(WEEKDAY(A1000,2)&lt;=5,C1000="NO"),"SÍ","NO")</x:f>
        <x:v>NO</x:v>
      </x:c>
      <x:c r="E1000" s="2" t="n">
        <x:f>WORKDAY.INTL(A1000-1,1,1,FERIADOS!$A$2:$A$250)</x:f>
        <x:v>46657</x:v>
      </x:c>
      <x:c r="F1000" t="str">
        <x:f>IF(E1000&gt;=WORKDAY.INTL(EOMONTH(E1000,0)+1,-2,1,FERIADOS!$A$2:$A$250),"SÍ","NO")</x:f>
        <x:v>NO</x:v>
      </x:c>
      <x:c r="G1000" s="10" t="n">
        <x:f>IF(F1000="SÍ",EOMONTH(E1000,0)+1,DATE(YEAR(E1000),MONTH(E1000),1))</x:f>
        <x:v>46631</x:v>
      </x:c>
      <x:c r="H1000" t="str">
        <x:f>IF(D1000="NO",IF(C1000="SÍ","FERIADO","FIN DE SEMANA"),"LABORABLE")&amp;IF(F1000="SÍ"," + CIERRE","")</x:f>
        <x:v>FIN DE SEMANA</x:v>
      </x:c>
      <x:c r="I1000" t="str">
        <x:f>TEXT(G1000,"yyyy-mm")</x:f>
        <x:v>2027-09</x:v>
      </x:c>
    </x:row>
    <x:row r="1001" ht="19" customHeight="1">
      <x:c r="A1001" s="2" t="n">
        <x:v>46657</x:v>
      </x:c>
      <x:c r="B1001" t="str">
        <x:f>CHOOSE(WEEKDAY(A1001,2),"Lunes","Martes","Miércoles","Jueves","Viernes","Sábado","Domingo")</x:f>
        <x:v>Lunes</x:v>
      </x:c>
      <x:c r="C1001" t="str">
        <x:f>IF(COUNTIF(FERIADOS!$A$2:$A$250,A1001)&gt;0,"SÍ","NO")</x:f>
        <x:v>NO</x:v>
      </x:c>
      <x:c r="D1001" t="str">
        <x:f>IF(AND(WEEKDAY(A1001,2)&lt;=5,C1001="NO"),"SÍ","NO")</x:f>
        <x:v>SÍ</x:v>
      </x:c>
      <x:c r="E1001" s="2" t="n">
        <x:f>WORKDAY.INTL(A1001-1,1,1,FERIADOS!$A$2:$A$250)</x:f>
        <x:v>46657</x:v>
      </x:c>
      <x:c r="F1001" t="str">
        <x:f>IF(E1001&gt;=WORKDAY.INTL(EOMONTH(E1001,0)+1,-2,1,FERIADOS!$A$2:$A$250),"SÍ","NO")</x:f>
        <x:v>NO</x:v>
      </x:c>
      <x:c r="G1001" s="10" t="n">
        <x:f>IF(F1001="SÍ",EOMONTH(E1001,0)+1,DATE(YEAR(E1001),MONTH(E1001),1))</x:f>
        <x:v>46631</x:v>
      </x:c>
      <x:c r="H1001" t="str">
        <x:f>IF(D1001="NO",IF(C1001="SÍ","FERIADO","FIN DE SEMANA"),"LABORABLE")&amp;IF(F1001="SÍ"," + CIERRE","")</x:f>
        <x:v>LABORABLE</x:v>
      </x:c>
      <x:c r="I1001" t="str">
        <x:f>TEXT(G1001,"yyyy-mm")</x:f>
        <x:v>2027-09</x:v>
      </x:c>
    </x:row>
    <x:row r="1002" ht="19" customHeight="1">
      <x:c r="A1002" s="2" t="n">
        <x:v>46658</x:v>
      </x:c>
      <x:c r="B1002" t="str">
        <x:f>CHOOSE(WEEKDAY(A1002,2),"Lunes","Martes","Miércoles","Jueves","Viernes","Sábado","Domingo")</x:f>
        <x:v>Martes</x:v>
      </x:c>
      <x:c r="C1002" t="str">
        <x:f>IF(COUNTIF(FERIADOS!$A$2:$A$250,A1002)&gt;0,"SÍ","NO")</x:f>
        <x:v>NO</x:v>
      </x:c>
      <x:c r="D1002" t="str">
        <x:f>IF(AND(WEEKDAY(A1002,2)&lt;=5,C1002="NO"),"SÍ","NO")</x:f>
        <x:v>SÍ</x:v>
      </x:c>
      <x:c r="E1002" s="2" t="n">
        <x:f>WORKDAY.INTL(A1002-1,1,1,FERIADOS!$A$2:$A$250)</x:f>
        <x:v>46658</x:v>
      </x:c>
      <x:c r="F1002" t="str">
        <x:f>IF(E1002&gt;=WORKDAY.INTL(EOMONTH(E1002,0)+1,-2,1,FERIADOS!$A$2:$A$250),"SÍ","NO")</x:f>
        <x:v>NO</x:v>
      </x:c>
      <x:c r="G1002" s="10" t="n">
        <x:f>IF(F1002="SÍ",EOMONTH(E1002,0)+1,DATE(YEAR(E1002),MONTH(E1002),1))</x:f>
        <x:v>46631</x:v>
      </x:c>
      <x:c r="H1002" t="str">
        <x:f>IF(D1002="NO",IF(C1002="SÍ","FERIADO","FIN DE SEMANA"),"LABORABLE")&amp;IF(F1002="SÍ"," + CIERRE","")</x:f>
        <x:v>LABORABLE</x:v>
      </x:c>
      <x:c r="I1002" t="str">
        <x:f>TEXT(G1002,"yyyy-mm")</x:f>
        <x:v>2027-09</x:v>
      </x:c>
    </x:row>
    <x:row r="1003" ht="19" customHeight="1">
      <x:c r="A1003" s="2" t="n">
        <x:v>46659</x:v>
      </x:c>
      <x:c r="B1003" t="str">
        <x:f>CHOOSE(WEEKDAY(A1003,2),"Lunes","Martes","Miércoles","Jueves","Viernes","Sábado","Domingo")</x:f>
        <x:v>Miércoles</x:v>
      </x:c>
      <x:c r="C1003" t="str">
        <x:f>IF(COUNTIF(FERIADOS!$A$2:$A$250,A1003)&gt;0,"SÍ","NO")</x:f>
        <x:v>NO</x:v>
      </x:c>
      <x:c r="D1003" t="str">
        <x:f>IF(AND(WEEKDAY(A1003,2)&lt;=5,C1003="NO"),"SÍ","NO")</x:f>
        <x:v>SÍ</x:v>
      </x:c>
      <x:c r="E1003" s="2" t="n">
        <x:f>WORKDAY.INTL(A1003-1,1,1,FERIADOS!$A$2:$A$250)</x:f>
        <x:v>46659</x:v>
      </x:c>
      <x:c r="F1003" t="str">
        <x:f>IF(E1003&gt;=WORKDAY.INTL(EOMONTH(E1003,0)+1,-2,1,FERIADOS!$A$2:$A$250),"SÍ","NO")</x:f>
        <x:v>SÍ</x:v>
      </x:c>
      <x:c r="G1003" s="10" t="n">
        <x:f>IF(F1003="SÍ",EOMONTH(E1003,0)+1,DATE(YEAR(E1003),MONTH(E1003),1))</x:f>
        <x:v>46661</x:v>
      </x:c>
      <x:c r="H1003" t="str">
        <x:f>IF(D1003="NO",IF(C1003="SÍ","FERIADO","FIN DE SEMANA"),"LABORABLE")&amp;IF(F1003="SÍ"," + CIERRE","")</x:f>
        <x:v>LABORABLE + CIERRE</x:v>
      </x:c>
      <x:c r="I1003" t="str">
        <x:f>TEXT(G1003,"yyyy-mm")</x:f>
        <x:v>2027-10</x:v>
      </x:c>
    </x:row>
    <x:row r="1004" ht="19" customHeight="1">
      <x:c r="A1004" s="2" t="n">
        <x:v>46660</x:v>
      </x:c>
      <x:c r="B1004" t="str">
        <x:f>CHOOSE(WEEKDAY(A1004,2),"Lunes","Martes","Miércoles","Jueves","Viernes","Sábado","Domingo")</x:f>
        <x:v>Jueves</x:v>
      </x:c>
      <x:c r="C1004" t="str">
        <x:f>IF(COUNTIF(FERIADOS!$A$2:$A$250,A1004)&gt;0,"SÍ","NO")</x:f>
        <x:v>NO</x:v>
      </x:c>
      <x:c r="D1004" t="str">
        <x:f>IF(AND(WEEKDAY(A1004,2)&lt;=5,C1004="NO"),"SÍ","NO")</x:f>
        <x:v>SÍ</x:v>
      </x:c>
      <x:c r="E1004" s="2" t="n">
        <x:f>WORKDAY.INTL(A1004-1,1,1,FERIADOS!$A$2:$A$250)</x:f>
        <x:v>46660</x:v>
      </x:c>
      <x:c r="F1004" t="str">
        <x:f>IF(E1004&gt;=WORKDAY.INTL(EOMONTH(E1004,0)+1,-2,1,FERIADOS!$A$2:$A$250),"SÍ","NO")</x:f>
        <x:v>SÍ</x:v>
      </x:c>
      <x:c r="G1004" s="10" t="n">
        <x:f>IF(F1004="SÍ",EOMONTH(E1004,0)+1,DATE(YEAR(E1004),MONTH(E1004),1))</x:f>
        <x:v>46661</x:v>
      </x:c>
      <x:c r="H1004" t="str">
        <x:f>IF(D1004="NO",IF(C1004="SÍ","FERIADO","FIN DE SEMANA"),"LABORABLE")&amp;IF(F1004="SÍ"," + CIERRE","")</x:f>
        <x:v>LABORABLE + CIERRE</x:v>
      </x:c>
      <x:c r="I1004" t="str">
        <x:f>TEXT(G1004,"yyyy-mm")</x:f>
        <x:v>2027-10</x:v>
      </x:c>
    </x:row>
    <x:row r="1005" ht="19" customHeight="1">
      <x:c r="A1005" s="2" t="n">
        <x:v>46661</x:v>
      </x:c>
      <x:c r="B1005" t="str">
        <x:f>CHOOSE(WEEKDAY(A1005,2),"Lunes","Martes","Miércoles","Jueves","Viernes","Sábado","Domingo")</x:f>
        <x:v>Viernes</x:v>
      </x:c>
      <x:c r="C1005" t="str">
        <x:f>IF(COUNTIF(FERIADOS!$A$2:$A$250,A1005)&gt;0,"SÍ","NO")</x:f>
        <x:v>NO</x:v>
      </x:c>
      <x:c r="D1005" t="str">
        <x:f>IF(AND(WEEKDAY(A1005,2)&lt;=5,C1005="NO"),"SÍ","NO")</x:f>
        <x:v>SÍ</x:v>
      </x:c>
      <x:c r="E1005" s="2" t="n">
        <x:f>WORKDAY.INTL(A1005-1,1,1,FERIADOS!$A$2:$A$250)</x:f>
        <x:v>46661</x:v>
      </x:c>
      <x:c r="F1005" t="str">
        <x:f>IF(E1005&gt;=WORKDAY.INTL(EOMONTH(E1005,0)+1,-2,1,FERIADOS!$A$2:$A$250),"SÍ","NO")</x:f>
        <x:v>NO</x:v>
      </x:c>
      <x:c r="G1005" s="10" t="n">
        <x:f>IF(F1005="SÍ",EOMONTH(E1005,0)+1,DATE(YEAR(E1005),MONTH(E1005),1))</x:f>
        <x:v>46661</x:v>
      </x:c>
      <x:c r="H1005" t="str">
        <x:f>IF(D1005="NO",IF(C1005="SÍ","FERIADO","FIN DE SEMANA"),"LABORABLE")&amp;IF(F1005="SÍ"," + CIERRE","")</x:f>
        <x:v>LABORABLE</x:v>
      </x:c>
      <x:c r="I1005" t="str">
        <x:f>TEXT(G1005,"yyyy-mm")</x:f>
        <x:v>2027-10</x:v>
      </x:c>
    </x:row>
    <x:row r="1006" ht="19" customHeight="1">
      <x:c r="A1006" s="2" t="n">
        <x:v>46662</x:v>
      </x:c>
      <x:c r="B1006" t="str">
        <x:f>CHOOSE(WEEKDAY(A1006,2),"Lunes","Martes","Miércoles","Jueves","Viernes","Sábado","Domingo")</x:f>
        <x:v>Sábado</x:v>
      </x:c>
      <x:c r="C1006" t="str">
        <x:f>IF(COUNTIF(FERIADOS!$A$2:$A$250,A1006)&gt;0,"SÍ","NO")</x:f>
        <x:v>NO</x:v>
      </x:c>
      <x:c r="D1006" t="str">
        <x:f>IF(AND(WEEKDAY(A1006,2)&lt;=5,C1006="NO"),"SÍ","NO")</x:f>
        <x:v>NO</x:v>
      </x:c>
      <x:c r="E1006" s="2" t="n">
        <x:f>WORKDAY.INTL(A1006-1,1,1,FERIADOS!$A$2:$A$250)</x:f>
        <x:v>46664</x:v>
      </x:c>
      <x:c r="F1006" t="str">
        <x:f>IF(E1006&gt;=WORKDAY.INTL(EOMONTH(E1006,0)+1,-2,1,FERIADOS!$A$2:$A$250),"SÍ","NO")</x:f>
        <x:v>NO</x:v>
      </x:c>
      <x:c r="G1006" s="10" t="n">
        <x:f>IF(F1006="SÍ",EOMONTH(E1006,0)+1,DATE(YEAR(E1006),MONTH(E1006),1))</x:f>
        <x:v>46661</x:v>
      </x:c>
      <x:c r="H1006" t="str">
        <x:f>IF(D1006="NO",IF(C1006="SÍ","FERIADO","FIN DE SEMANA"),"LABORABLE")&amp;IF(F1006="SÍ"," + CIERRE","")</x:f>
        <x:v>FIN DE SEMANA</x:v>
      </x:c>
      <x:c r="I1006" t="str">
        <x:f>TEXT(G1006,"yyyy-mm")</x:f>
        <x:v>2027-10</x:v>
      </x:c>
    </x:row>
    <x:row r="1007" ht="19" customHeight="1">
      <x:c r="A1007" s="2" t="n">
        <x:v>46663</x:v>
      </x:c>
      <x:c r="B1007" t="str">
        <x:f>CHOOSE(WEEKDAY(A1007,2),"Lunes","Martes","Miércoles","Jueves","Viernes","Sábado","Domingo")</x:f>
        <x:v>Domingo</x:v>
      </x:c>
      <x:c r="C1007" t="str">
        <x:f>IF(COUNTIF(FERIADOS!$A$2:$A$250,A1007)&gt;0,"SÍ","NO")</x:f>
        <x:v>NO</x:v>
      </x:c>
      <x:c r="D1007" t="str">
        <x:f>IF(AND(WEEKDAY(A1007,2)&lt;=5,C1007="NO"),"SÍ","NO")</x:f>
        <x:v>NO</x:v>
      </x:c>
      <x:c r="E1007" s="2" t="n">
        <x:f>WORKDAY.INTL(A1007-1,1,1,FERIADOS!$A$2:$A$250)</x:f>
        <x:v>46664</x:v>
      </x:c>
      <x:c r="F1007" t="str">
        <x:f>IF(E1007&gt;=WORKDAY.INTL(EOMONTH(E1007,0)+1,-2,1,FERIADOS!$A$2:$A$250),"SÍ","NO")</x:f>
        <x:v>NO</x:v>
      </x:c>
      <x:c r="G1007" s="10" t="n">
        <x:f>IF(F1007="SÍ",EOMONTH(E1007,0)+1,DATE(YEAR(E1007),MONTH(E1007),1))</x:f>
        <x:v>46661</x:v>
      </x:c>
      <x:c r="H1007" t="str">
        <x:f>IF(D1007="NO",IF(C1007="SÍ","FERIADO","FIN DE SEMANA"),"LABORABLE")&amp;IF(F1007="SÍ"," + CIERRE","")</x:f>
        <x:v>FIN DE SEMANA</x:v>
      </x:c>
      <x:c r="I1007" t="str">
        <x:f>TEXT(G1007,"yyyy-mm")</x:f>
        <x:v>2027-10</x:v>
      </x:c>
    </x:row>
    <x:row r="1008" ht="19" customHeight="1">
      <x:c r="A1008" s="2" t="n">
        <x:v>46664</x:v>
      </x:c>
      <x:c r="B1008" t="str">
        <x:f>CHOOSE(WEEKDAY(A1008,2),"Lunes","Martes","Miércoles","Jueves","Viernes","Sábado","Domingo")</x:f>
        <x:v>Lunes</x:v>
      </x:c>
      <x:c r="C1008" t="str">
        <x:f>IF(COUNTIF(FERIADOS!$A$2:$A$250,A1008)&gt;0,"SÍ","NO")</x:f>
        <x:v>NO</x:v>
      </x:c>
      <x:c r="D1008" t="str">
        <x:f>IF(AND(WEEKDAY(A1008,2)&lt;=5,C1008="NO"),"SÍ","NO")</x:f>
        <x:v>SÍ</x:v>
      </x:c>
      <x:c r="E1008" s="2" t="n">
        <x:f>WORKDAY.INTL(A1008-1,1,1,FERIADOS!$A$2:$A$250)</x:f>
        <x:v>46664</x:v>
      </x:c>
      <x:c r="F1008" t="str">
        <x:f>IF(E1008&gt;=WORKDAY.INTL(EOMONTH(E1008,0)+1,-2,1,FERIADOS!$A$2:$A$250),"SÍ","NO")</x:f>
        <x:v>NO</x:v>
      </x:c>
      <x:c r="G1008" s="10" t="n">
        <x:f>IF(F1008="SÍ",EOMONTH(E1008,0)+1,DATE(YEAR(E1008),MONTH(E1008),1))</x:f>
        <x:v>46661</x:v>
      </x:c>
      <x:c r="H1008" t="str">
        <x:f>IF(D1008="NO",IF(C1008="SÍ","FERIADO","FIN DE SEMANA"),"LABORABLE")&amp;IF(F1008="SÍ"," + CIERRE","")</x:f>
        <x:v>LABORABLE</x:v>
      </x:c>
      <x:c r="I1008" t="str">
        <x:f>TEXT(G1008,"yyyy-mm")</x:f>
        <x:v>2027-10</x:v>
      </x:c>
    </x:row>
    <x:row r="1009" ht="19" customHeight="1">
      <x:c r="A1009" s="2" t="n">
        <x:v>46665</x:v>
      </x:c>
      <x:c r="B1009" t="str">
        <x:f>CHOOSE(WEEKDAY(A1009,2),"Lunes","Martes","Miércoles","Jueves","Viernes","Sábado","Domingo")</x:f>
        <x:v>Martes</x:v>
      </x:c>
      <x:c r="C1009" t="str">
        <x:f>IF(COUNTIF(FERIADOS!$A$2:$A$250,A1009)&gt;0,"SÍ","NO")</x:f>
        <x:v>NO</x:v>
      </x:c>
      <x:c r="D1009" t="str">
        <x:f>IF(AND(WEEKDAY(A1009,2)&lt;=5,C1009="NO"),"SÍ","NO")</x:f>
        <x:v>SÍ</x:v>
      </x:c>
      <x:c r="E1009" s="2" t="n">
        <x:f>WORKDAY.INTL(A1009-1,1,1,FERIADOS!$A$2:$A$250)</x:f>
        <x:v>46665</x:v>
      </x:c>
      <x:c r="F1009" t="str">
        <x:f>IF(E1009&gt;=WORKDAY.INTL(EOMONTH(E1009,0)+1,-2,1,FERIADOS!$A$2:$A$250),"SÍ","NO")</x:f>
        <x:v>NO</x:v>
      </x:c>
      <x:c r="G1009" s="10" t="n">
        <x:f>IF(F1009="SÍ",EOMONTH(E1009,0)+1,DATE(YEAR(E1009),MONTH(E1009),1))</x:f>
        <x:v>46661</x:v>
      </x:c>
      <x:c r="H1009" t="str">
        <x:f>IF(D1009="NO",IF(C1009="SÍ","FERIADO","FIN DE SEMANA"),"LABORABLE")&amp;IF(F1009="SÍ"," + CIERRE","")</x:f>
        <x:v>LABORABLE</x:v>
      </x:c>
      <x:c r="I1009" t="str">
        <x:f>TEXT(G1009,"yyyy-mm")</x:f>
        <x:v>2027-10</x:v>
      </x:c>
    </x:row>
    <x:row r="1010" ht="19" customHeight="1">
      <x:c r="A1010" s="2" t="n">
        <x:v>46666</x:v>
      </x:c>
      <x:c r="B1010" t="str">
        <x:f>CHOOSE(WEEKDAY(A1010,2),"Lunes","Martes","Miércoles","Jueves","Viernes","Sábado","Domingo")</x:f>
        <x:v>Miércoles</x:v>
      </x:c>
      <x:c r="C1010" t="str">
        <x:f>IF(COUNTIF(FERIADOS!$A$2:$A$250,A1010)&gt;0,"SÍ","NO")</x:f>
        <x:v>NO</x:v>
      </x:c>
      <x:c r="D1010" t="str">
        <x:f>IF(AND(WEEKDAY(A1010,2)&lt;=5,C1010="NO"),"SÍ","NO")</x:f>
        <x:v>SÍ</x:v>
      </x:c>
      <x:c r="E1010" s="2" t="n">
        <x:f>WORKDAY.INTL(A1010-1,1,1,FERIADOS!$A$2:$A$250)</x:f>
        <x:v>46666</x:v>
      </x:c>
      <x:c r="F1010" t="str">
        <x:f>IF(E1010&gt;=WORKDAY.INTL(EOMONTH(E1010,0)+1,-2,1,FERIADOS!$A$2:$A$250),"SÍ","NO")</x:f>
        <x:v>NO</x:v>
      </x:c>
      <x:c r="G1010" s="10" t="n">
        <x:f>IF(F1010="SÍ",EOMONTH(E1010,0)+1,DATE(YEAR(E1010),MONTH(E1010),1))</x:f>
        <x:v>46661</x:v>
      </x:c>
      <x:c r="H1010" t="str">
        <x:f>IF(D1010="NO",IF(C1010="SÍ","FERIADO","FIN DE SEMANA"),"LABORABLE")&amp;IF(F1010="SÍ"," + CIERRE","")</x:f>
        <x:v>LABORABLE</x:v>
      </x:c>
      <x:c r="I1010" t="str">
        <x:f>TEXT(G1010,"yyyy-mm")</x:f>
        <x:v>2027-10</x:v>
      </x:c>
    </x:row>
    <x:row r="1011" ht="19" customHeight="1">
      <x:c r="A1011" s="2" t="n">
        <x:v>46667</x:v>
      </x:c>
      <x:c r="B1011" t="str">
        <x:f>CHOOSE(WEEKDAY(A1011,2),"Lunes","Martes","Miércoles","Jueves","Viernes","Sábado","Domingo")</x:f>
        <x:v>Jueves</x:v>
      </x:c>
      <x:c r="C1011" t="str">
        <x:f>IF(COUNTIF(FERIADOS!$A$2:$A$250,A1011)&gt;0,"SÍ","NO")</x:f>
        <x:v>NO</x:v>
      </x:c>
      <x:c r="D1011" t="str">
        <x:f>IF(AND(WEEKDAY(A1011,2)&lt;=5,C1011="NO"),"SÍ","NO")</x:f>
        <x:v>SÍ</x:v>
      </x:c>
      <x:c r="E1011" s="2" t="n">
        <x:f>WORKDAY.INTL(A1011-1,1,1,FERIADOS!$A$2:$A$250)</x:f>
        <x:v>46667</x:v>
      </x:c>
      <x:c r="F1011" t="str">
        <x:f>IF(E1011&gt;=WORKDAY.INTL(EOMONTH(E1011,0)+1,-2,1,FERIADOS!$A$2:$A$250),"SÍ","NO")</x:f>
        <x:v>NO</x:v>
      </x:c>
      <x:c r="G1011" s="10" t="n">
        <x:f>IF(F1011="SÍ",EOMONTH(E1011,0)+1,DATE(YEAR(E1011),MONTH(E1011),1))</x:f>
        <x:v>46661</x:v>
      </x:c>
      <x:c r="H1011" t="str">
        <x:f>IF(D1011="NO",IF(C1011="SÍ","FERIADO","FIN DE SEMANA"),"LABORABLE")&amp;IF(F1011="SÍ"," + CIERRE","")</x:f>
        <x:v>LABORABLE</x:v>
      </x:c>
      <x:c r="I1011" t="str">
        <x:f>TEXT(G1011,"yyyy-mm")</x:f>
        <x:v>2027-10</x:v>
      </x:c>
    </x:row>
    <x:row r="1012" ht="19" customHeight="1">
      <x:c r="A1012" s="2" t="n">
        <x:v>46668</x:v>
      </x:c>
      <x:c r="B1012" t="str">
        <x:f>CHOOSE(WEEKDAY(A1012,2),"Lunes","Martes","Miércoles","Jueves","Viernes","Sábado","Domingo")</x:f>
        <x:v>Viernes</x:v>
      </x:c>
      <x:c r="C1012" t="str">
        <x:f>IF(COUNTIF(FERIADOS!$A$2:$A$250,A1012)&gt;0,"SÍ","NO")</x:f>
        <x:v>SÍ</x:v>
      </x:c>
      <x:c r="D1012" t="str">
        <x:f>IF(AND(WEEKDAY(A1012,2)&lt;=5,C1012="NO"),"SÍ","NO")</x:f>
        <x:v>NO</x:v>
      </x:c>
      <x:c r="E1012" s="2" t="n">
        <x:f>WORKDAY.INTL(A1012-1,1,1,FERIADOS!$A$2:$A$250)</x:f>
        <x:v>46671</x:v>
      </x:c>
      <x:c r="F1012" t="str">
        <x:f>IF(E1012&gt;=WORKDAY.INTL(EOMONTH(E1012,0)+1,-2,1,FERIADOS!$A$2:$A$250),"SÍ","NO")</x:f>
        <x:v>NO</x:v>
      </x:c>
      <x:c r="G1012" s="10" t="n">
        <x:f>IF(F1012="SÍ",EOMONTH(E1012,0)+1,DATE(YEAR(E1012),MONTH(E1012),1))</x:f>
        <x:v>46661</x:v>
      </x:c>
      <x:c r="H1012" t="str">
        <x:f>IF(D1012="NO",IF(C1012="SÍ","FERIADO","FIN DE SEMANA"),"LABORABLE")&amp;IF(F1012="SÍ"," + CIERRE","")</x:f>
        <x:v>FERIADO</x:v>
      </x:c>
      <x:c r="I1012" t="str">
        <x:f>TEXT(G1012,"yyyy-mm")</x:f>
        <x:v>2027-10</x:v>
      </x:c>
    </x:row>
    <x:row r="1013" ht="19" customHeight="1">
      <x:c r="A1013" s="2" t="n">
        <x:v>46669</x:v>
      </x:c>
      <x:c r="B1013" t="str">
        <x:f>CHOOSE(WEEKDAY(A1013,2),"Lunes","Martes","Miércoles","Jueves","Viernes","Sábado","Domingo")</x:f>
        <x:v>Sábado</x:v>
      </x:c>
      <x:c r="C1013" t="str">
        <x:f>IF(COUNTIF(FERIADOS!$A$2:$A$250,A1013)&gt;0,"SÍ","NO")</x:f>
        <x:v>NO</x:v>
      </x:c>
      <x:c r="D1013" t="str">
        <x:f>IF(AND(WEEKDAY(A1013,2)&lt;=5,C1013="NO"),"SÍ","NO")</x:f>
        <x:v>NO</x:v>
      </x:c>
      <x:c r="E1013" s="2" t="n">
        <x:f>WORKDAY.INTL(A1013-1,1,1,FERIADOS!$A$2:$A$250)</x:f>
        <x:v>46671</x:v>
      </x:c>
      <x:c r="F1013" t="str">
        <x:f>IF(E1013&gt;=WORKDAY.INTL(EOMONTH(E1013,0)+1,-2,1,FERIADOS!$A$2:$A$250),"SÍ","NO")</x:f>
        <x:v>NO</x:v>
      </x:c>
      <x:c r="G1013" s="10" t="n">
        <x:f>IF(F1013="SÍ",EOMONTH(E1013,0)+1,DATE(YEAR(E1013),MONTH(E1013),1))</x:f>
        <x:v>46661</x:v>
      </x:c>
      <x:c r="H1013" t="str">
        <x:f>IF(D1013="NO",IF(C1013="SÍ","FERIADO","FIN DE SEMANA"),"LABORABLE")&amp;IF(F1013="SÍ"," + CIERRE","")</x:f>
        <x:v>FIN DE SEMANA</x:v>
      </x:c>
      <x:c r="I1013" t="str">
        <x:f>TEXT(G1013,"yyyy-mm")</x:f>
        <x:v>2027-10</x:v>
      </x:c>
    </x:row>
    <x:row r="1014" ht="19" customHeight="1">
      <x:c r="A1014" s="2" t="n">
        <x:v>46670</x:v>
      </x:c>
      <x:c r="B1014" t="str">
        <x:f>CHOOSE(WEEKDAY(A1014,2),"Lunes","Martes","Miércoles","Jueves","Viernes","Sábado","Domingo")</x:f>
        <x:v>Domingo</x:v>
      </x:c>
      <x:c r="C1014" t="str">
        <x:f>IF(COUNTIF(FERIADOS!$A$2:$A$250,A1014)&gt;0,"SÍ","NO")</x:f>
        <x:v>NO</x:v>
      </x:c>
      <x:c r="D1014" t="str">
        <x:f>IF(AND(WEEKDAY(A1014,2)&lt;=5,C1014="NO"),"SÍ","NO")</x:f>
        <x:v>NO</x:v>
      </x:c>
      <x:c r="E1014" s="2" t="n">
        <x:f>WORKDAY.INTL(A1014-1,1,1,FERIADOS!$A$2:$A$250)</x:f>
        <x:v>46671</x:v>
      </x:c>
      <x:c r="F1014" t="str">
        <x:f>IF(E1014&gt;=WORKDAY.INTL(EOMONTH(E1014,0)+1,-2,1,FERIADOS!$A$2:$A$250),"SÍ","NO")</x:f>
        <x:v>NO</x:v>
      </x:c>
      <x:c r="G1014" s="10" t="n">
        <x:f>IF(F1014="SÍ",EOMONTH(E1014,0)+1,DATE(YEAR(E1014),MONTH(E1014),1))</x:f>
        <x:v>46661</x:v>
      </x:c>
      <x:c r="H1014" t="str">
        <x:f>IF(D1014="NO",IF(C1014="SÍ","FERIADO","FIN DE SEMANA"),"LABORABLE")&amp;IF(F1014="SÍ"," + CIERRE","")</x:f>
        <x:v>FIN DE SEMANA</x:v>
      </x:c>
      <x:c r="I1014" t="str">
        <x:f>TEXT(G1014,"yyyy-mm")</x:f>
        <x:v>2027-10</x:v>
      </x:c>
    </x:row>
    <x:row r="1015" ht="19" customHeight="1">
      <x:c r="A1015" s="2" t="n">
        <x:v>46671</x:v>
      </x:c>
      <x:c r="B1015" t="str">
        <x:f>CHOOSE(WEEKDAY(A1015,2),"Lunes","Martes","Miércoles","Jueves","Viernes","Sábado","Domingo")</x:f>
        <x:v>Lunes</x:v>
      </x:c>
      <x:c r="C1015" t="str">
        <x:f>IF(COUNTIF(FERIADOS!$A$2:$A$250,A1015)&gt;0,"SÍ","NO")</x:f>
        <x:v>NO</x:v>
      </x:c>
      <x:c r="D1015" t="str">
        <x:f>IF(AND(WEEKDAY(A1015,2)&lt;=5,C1015="NO"),"SÍ","NO")</x:f>
        <x:v>SÍ</x:v>
      </x:c>
      <x:c r="E1015" s="2" t="n">
        <x:f>WORKDAY.INTL(A1015-1,1,1,FERIADOS!$A$2:$A$250)</x:f>
        <x:v>46671</x:v>
      </x:c>
      <x:c r="F1015" t="str">
        <x:f>IF(E1015&gt;=WORKDAY.INTL(EOMONTH(E1015,0)+1,-2,1,FERIADOS!$A$2:$A$250),"SÍ","NO")</x:f>
        <x:v>NO</x:v>
      </x:c>
      <x:c r="G1015" s="10" t="n">
        <x:f>IF(F1015="SÍ",EOMONTH(E1015,0)+1,DATE(YEAR(E1015),MONTH(E1015),1))</x:f>
        <x:v>46661</x:v>
      </x:c>
      <x:c r="H1015" t="str">
        <x:f>IF(D1015="NO",IF(C1015="SÍ","FERIADO","FIN DE SEMANA"),"LABORABLE")&amp;IF(F1015="SÍ"," + CIERRE","")</x:f>
        <x:v>LABORABLE</x:v>
      </x:c>
      <x:c r="I1015" t="str">
        <x:f>TEXT(G1015,"yyyy-mm")</x:f>
        <x:v>2027-10</x:v>
      </x:c>
    </x:row>
    <x:row r="1016" ht="19" customHeight="1">
      <x:c r="A1016" s="2" t="n">
        <x:v>46672</x:v>
      </x:c>
      <x:c r="B1016" t="str">
        <x:f>CHOOSE(WEEKDAY(A1016,2),"Lunes","Martes","Miércoles","Jueves","Viernes","Sábado","Domingo")</x:f>
        <x:v>Martes</x:v>
      </x:c>
      <x:c r="C1016" t="str">
        <x:f>IF(COUNTIF(FERIADOS!$A$2:$A$250,A1016)&gt;0,"SÍ","NO")</x:f>
        <x:v>NO</x:v>
      </x:c>
      <x:c r="D1016" t="str">
        <x:f>IF(AND(WEEKDAY(A1016,2)&lt;=5,C1016="NO"),"SÍ","NO")</x:f>
        <x:v>SÍ</x:v>
      </x:c>
      <x:c r="E1016" s="2" t="n">
        <x:f>WORKDAY.INTL(A1016-1,1,1,FERIADOS!$A$2:$A$250)</x:f>
        <x:v>46672</x:v>
      </x:c>
      <x:c r="F1016" t="str">
        <x:f>IF(E1016&gt;=WORKDAY.INTL(EOMONTH(E1016,0)+1,-2,1,FERIADOS!$A$2:$A$250),"SÍ","NO")</x:f>
        <x:v>NO</x:v>
      </x:c>
      <x:c r="G1016" s="10" t="n">
        <x:f>IF(F1016="SÍ",EOMONTH(E1016,0)+1,DATE(YEAR(E1016),MONTH(E1016),1))</x:f>
        <x:v>46661</x:v>
      </x:c>
      <x:c r="H1016" t="str">
        <x:f>IF(D1016="NO",IF(C1016="SÍ","FERIADO","FIN DE SEMANA"),"LABORABLE")&amp;IF(F1016="SÍ"," + CIERRE","")</x:f>
        <x:v>LABORABLE</x:v>
      </x:c>
      <x:c r="I1016" t="str">
        <x:f>TEXT(G1016,"yyyy-mm")</x:f>
        <x:v>2027-10</x:v>
      </x:c>
    </x:row>
    <x:row r="1017" ht="19" customHeight="1">
      <x:c r="A1017" s="2" t="n">
        <x:v>46673</x:v>
      </x:c>
      <x:c r="B1017" t="str">
        <x:f>CHOOSE(WEEKDAY(A1017,2),"Lunes","Martes","Miércoles","Jueves","Viernes","Sábado","Domingo")</x:f>
        <x:v>Miércoles</x:v>
      </x:c>
      <x:c r="C1017" t="str">
        <x:f>IF(COUNTIF(FERIADOS!$A$2:$A$250,A1017)&gt;0,"SÍ","NO")</x:f>
        <x:v>NO</x:v>
      </x:c>
      <x:c r="D1017" t="str">
        <x:f>IF(AND(WEEKDAY(A1017,2)&lt;=5,C1017="NO"),"SÍ","NO")</x:f>
        <x:v>SÍ</x:v>
      </x:c>
      <x:c r="E1017" s="2" t="n">
        <x:f>WORKDAY.INTL(A1017-1,1,1,FERIADOS!$A$2:$A$250)</x:f>
        <x:v>46673</x:v>
      </x:c>
      <x:c r="F1017" t="str">
        <x:f>IF(E1017&gt;=WORKDAY.INTL(EOMONTH(E1017,0)+1,-2,1,FERIADOS!$A$2:$A$250),"SÍ","NO")</x:f>
        <x:v>NO</x:v>
      </x:c>
      <x:c r="G1017" s="10" t="n">
        <x:f>IF(F1017="SÍ",EOMONTH(E1017,0)+1,DATE(YEAR(E1017),MONTH(E1017),1))</x:f>
        <x:v>46661</x:v>
      </x:c>
      <x:c r="H1017" t="str">
        <x:f>IF(D1017="NO",IF(C1017="SÍ","FERIADO","FIN DE SEMANA"),"LABORABLE")&amp;IF(F1017="SÍ"," + CIERRE","")</x:f>
        <x:v>LABORABLE</x:v>
      </x:c>
      <x:c r="I1017" t="str">
        <x:f>TEXT(G1017,"yyyy-mm")</x:f>
        <x:v>2027-10</x:v>
      </x:c>
    </x:row>
    <x:row r="1018" ht="19" customHeight="1">
      <x:c r="A1018" s="2" t="n">
        <x:v>46674</x:v>
      </x:c>
      <x:c r="B1018" t="str">
        <x:f>CHOOSE(WEEKDAY(A1018,2),"Lunes","Martes","Miércoles","Jueves","Viernes","Sábado","Domingo")</x:f>
        <x:v>Jueves</x:v>
      </x:c>
      <x:c r="C1018" t="str">
        <x:f>IF(COUNTIF(FERIADOS!$A$2:$A$250,A1018)&gt;0,"SÍ","NO")</x:f>
        <x:v>NO</x:v>
      </x:c>
      <x:c r="D1018" t="str">
        <x:f>IF(AND(WEEKDAY(A1018,2)&lt;=5,C1018="NO"),"SÍ","NO")</x:f>
        <x:v>SÍ</x:v>
      </x:c>
      <x:c r="E1018" s="2" t="n">
        <x:f>WORKDAY.INTL(A1018-1,1,1,FERIADOS!$A$2:$A$250)</x:f>
        <x:v>46674</x:v>
      </x:c>
      <x:c r="F1018" t="str">
        <x:f>IF(E1018&gt;=WORKDAY.INTL(EOMONTH(E1018,0)+1,-2,1,FERIADOS!$A$2:$A$250),"SÍ","NO")</x:f>
        <x:v>NO</x:v>
      </x:c>
      <x:c r="G1018" s="10" t="n">
        <x:f>IF(F1018="SÍ",EOMONTH(E1018,0)+1,DATE(YEAR(E1018),MONTH(E1018),1))</x:f>
        <x:v>46661</x:v>
      </x:c>
      <x:c r="H1018" t="str">
        <x:f>IF(D1018="NO",IF(C1018="SÍ","FERIADO","FIN DE SEMANA"),"LABORABLE")&amp;IF(F1018="SÍ"," + CIERRE","")</x:f>
        <x:v>LABORABLE</x:v>
      </x:c>
      <x:c r="I1018" t="str">
        <x:f>TEXT(G1018,"yyyy-mm")</x:f>
        <x:v>2027-10</x:v>
      </x:c>
    </x:row>
    <x:row r="1019" ht="19" customHeight="1">
      <x:c r="A1019" s="2" t="n">
        <x:v>46675</x:v>
      </x:c>
      <x:c r="B1019" t="str">
        <x:f>CHOOSE(WEEKDAY(A1019,2),"Lunes","Martes","Miércoles","Jueves","Viernes","Sábado","Domingo")</x:f>
        <x:v>Viernes</x:v>
      </x:c>
      <x:c r="C1019" t="str">
        <x:f>IF(COUNTIF(FERIADOS!$A$2:$A$250,A1019)&gt;0,"SÍ","NO")</x:f>
        <x:v>NO</x:v>
      </x:c>
      <x:c r="D1019" t="str">
        <x:f>IF(AND(WEEKDAY(A1019,2)&lt;=5,C1019="NO"),"SÍ","NO")</x:f>
        <x:v>SÍ</x:v>
      </x:c>
      <x:c r="E1019" s="2" t="n">
        <x:f>WORKDAY.INTL(A1019-1,1,1,FERIADOS!$A$2:$A$250)</x:f>
        <x:v>46675</x:v>
      </x:c>
      <x:c r="F1019" t="str">
        <x:f>IF(E1019&gt;=WORKDAY.INTL(EOMONTH(E1019,0)+1,-2,1,FERIADOS!$A$2:$A$250),"SÍ","NO")</x:f>
        <x:v>NO</x:v>
      </x:c>
      <x:c r="G1019" s="10" t="n">
        <x:f>IF(F1019="SÍ",EOMONTH(E1019,0)+1,DATE(YEAR(E1019),MONTH(E1019),1))</x:f>
        <x:v>46661</x:v>
      </x:c>
      <x:c r="H1019" t="str">
        <x:f>IF(D1019="NO",IF(C1019="SÍ","FERIADO","FIN DE SEMANA"),"LABORABLE")&amp;IF(F1019="SÍ"," + CIERRE","")</x:f>
        <x:v>LABORABLE</x:v>
      </x:c>
      <x:c r="I1019" t="str">
        <x:f>TEXT(G1019,"yyyy-mm")</x:f>
        <x:v>2027-10</x:v>
      </x:c>
    </x:row>
    <x:row r="1020" ht="19" customHeight="1">
      <x:c r="A1020" s="2" t="n">
        <x:v>46676</x:v>
      </x:c>
      <x:c r="B1020" t="str">
        <x:f>CHOOSE(WEEKDAY(A1020,2),"Lunes","Martes","Miércoles","Jueves","Viernes","Sábado","Domingo")</x:f>
        <x:v>Sábado</x:v>
      </x:c>
      <x:c r="C1020" t="str">
        <x:f>IF(COUNTIF(FERIADOS!$A$2:$A$250,A1020)&gt;0,"SÍ","NO")</x:f>
        <x:v>NO</x:v>
      </x:c>
      <x:c r="D1020" t="str">
        <x:f>IF(AND(WEEKDAY(A1020,2)&lt;=5,C1020="NO"),"SÍ","NO")</x:f>
        <x:v>NO</x:v>
      </x:c>
      <x:c r="E1020" s="2" t="n">
        <x:f>WORKDAY.INTL(A1020-1,1,1,FERIADOS!$A$2:$A$250)</x:f>
        <x:v>46678</x:v>
      </x:c>
      <x:c r="F1020" t="str">
        <x:f>IF(E1020&gt;=WORKDAY.INTL(EOMONTH(E1020,0)+1,-2,1,FERIADOS!$A$2:$A$250),"SÍ","NO")</x:f>
        <x:v>NO</x:v>
      </x:c>
      <x:c r="G1020" s="10" t="n">
        <x:f>IF(F1020="SÍ",EOMONTH(E1020,0)+1,DATE(YEAR(E1020),MONTH(E1020),1))</x:f>
        <x:v>46661</x:v>
      </x:c>
      <x:c r="H1020" t="str">
        <x:f>IF(D1020="NO",IF(C1020="SÍ","FERIADO","FIN DE SEMANA"),"LABORABLE")&amp;IF(F1020="SÍ"," + CIERRE","")</x:f>
        <x:v>FIN DE SEMANA</x:v>
      </x:c>
      <x:c r="I1020" t="str">
        <x:f>TEXT(G1020,"yyyy-mm")</x:f>
        <x:v>2027-10</x:v>
      </x:c>
    </x:row>
    <x:row r="1021" ht="19" customHeight="1">
      <x:c r="A1021" s="2" t="n">
        <x:v>46677</x:v>
      </x:c>
      <x:c r="B1021" t="str">
        <x:f>CHOOSE(WEEKDAY(A1021,2),"Lunes","Martes","Miércoles","Jueves","Viernes","Sábado","Domingo")</x:f>
        <x:v>Domingo</x:v>
      </x:c>
      <x:c r="C1021" t="str">
        <x:f>IF(COUNTIF(FERIADOS!$A$2:$A$250,A1021)&gt;0,"SÍ","NO")</x:f>
        <x:v>NO</x:v>
      </x:c>
      <x:c r="D1021" t="str">
        <x:f>IF(AND(WEEKDAY(A1021,2)&lt;=5,C1021="NO"),"SÍ","NO")</x:f>
        <x:v>NO</x:v>
      </x:c>
      <x:c r="E1021" s="2" t="n">
        <x:f>WORKDAY.INTL(A1021-1,1,1,FERIADOS!$A$2:$A$250)</x:f>
        <x:v>46678</x:v>
      </x:c>
      <x:c r="F1021" t="str">
        <x:f>IF(E1021&gt;=WORKDAY.INTL(EOMONTH(E1021,0)+1,-2,1,FERIADOS!$A$2:$A$250),"SÍ","NO")</x:f>
        <x:v>NO</x:v>
      </x:c>
      <x:c r="G1021" s="10" t="n">
        <x:f>IF(F1021="SÍ",EOMONTH(E1021,0)+1,DATE(YEAR(E1021),MONTH(E1021),1))</x:f>
        <x:v>46661</x:v>
      </x:c>
      <x:c r="H1021" t="str">
        <x:f>IF(D1021="NO",IF(C1021="SÍ","FERIADO","FIN DE SEMANA"),"LABORABLE")&amp;IF(F1021="SÍ"," + CIERRE","")</x:f>
        <x:v>FIN DE SEMANA</x:v>
      </x:c>
      <x:c r="I1021" t="str">
        <x:f>TEXT(G1021,"yyyy-mm")</x:f>
        <x:v>2027-10</x:v>
      </x:c>
    </x:row>
    <x:row r="1022" ht="19" customHeight="1">
      <x:c r="A1022" s="2" t="n">
        <x:v>46678</x:v>
      </x:c>
      <x:c r="B1022" t="str">
        <x:f>CHOOSE(WEEKDAY(A1022,2),"Lunes","Martes","Miércoles","Jueves","Viernes","Sábado","Domingo")</x:f>
        <x:v>Lunes</x:v>
      </x:c>
      <x:c r="C1022" t="str">
        <x:f>IF(COUNTIF(FERIADOS!$A$2:$A$250,A1022)&gt;0,"SÍ","NO")</x:f>
        <x:v>NO</x:v>
      </x:c>
      <x:c r="D1022" t="str">
        <x:f>IF(AND(WEEKDAY(A1022,2)&lt;=5,C1022="NO"),"SÍ","NO")</x:f>
        <x:v>SÍ</x:v>
      </x:c>
      <x:c r="E1022" s="2" t="n">
        <x:f>WORKDAY.INTL(A1022-1,1,1,FERIADOS!$A$2:$A$250)</x:f>
        <x:v>46678</x:v>
      </x:c>
      <x:c r="F1022" t="str">
        <x:f>IF(E1022&gt;=WORKDAY.INTL(EOMONTH(E1022,0)+1,-2,1,FERIADOS!$A$2:$A$250),"SÍ","NO")</x:f>
        <x:v>NO</x:v>
      </x:c>
      <x:c r="G1022" s="10" t="n">
        <x:f>IF(F1022="SÍ",EOMONTH(E1022,0)+1,DATE(YEAR(E1022),MONTH(E1022),1))</x:f>
        <x:v>46661</x:v>
      </x:c>
      <x:c r="H1022" t="str">
        <x:f>IF(D1022="NO",IF(C1022="SÍ","FERIADO","FIN DE SEMANA"),"LABORABLE")&amp;IF(F1022="SÍ"," + CIERRE","")</x:f>
        <x:v>LABORABLE</x:v>
      </x:c>
      <x:c r="I1022" t="str">
        <x:f>TEXT(G1022,"yyyy-mm")</x:f>
        <x:v>2027-10</x:v>
      </x:c>
    </x:row>
    <x:row r="1023" ht="19" customHeight="1">
      <x:c r="A1023" s="2" t="n">
        <x:v>46679</x:v>
      </x:c>
      <x:c r="B1023" t="str">
        <x:f>CHOOSE(WEEKDAY(A1023,2),"Lunes","Martes","Miércoles","Jueves","Viernes","Sábado","Domingo")</x:f>
        <x:v>Martes</x:v>
      </x:c>
      <x:c r="C1023" t="str">
        <x:f>IF(COUNTIF(FERIADOS!$A$2:$A$250,A1023)&gt;0,"SÍ","NO")</x:f>
        <x:v>NO</x:v>
      </x:c>
      <x:c r="D1023" t="str">
        <x:f>IF(AND(WEEKDAY(A1023,2)&lt;=5,C1023="NO"),"SÍ","NO")</x:f>
        <x:v>SÍ</x:v>
      </x:c>
      <x:c r="E1023" s="2" t="n">
        <x:f>WORKDAY.INTL(A1023-1,1,1,FERIADOS!$A$2:$A$250)</x:f>
        <x:v>46679</x:v>
      </x:c>
      <x:c r="F1023" t="str">
        <x:f>IF(E1023&gt;=WORKDAY.INTL(EOMONTH(E1023,0)+1,-2,1,FERIADOS!$A$2:$A$250),"SÍ","NO")</x:f>
        <x:v>NO</x:v>
      </x:c>
      <x:c r="G1023" s="10" t="n">
        <x:f>IF(F1023="SÍ",EOMONTH(E1023,0)+1,DATE(YEAR(E1023),MONTH(E1023),1))</x:f>
        <x:v>46661</x:v>
      </x:c>
      <x:c r="H1023" t="str">
        <x:f>IF(D1023="NO",IF(C1023="SÍ","FERIADO","FIN DE SEMANA"),"LABORABLE")&amp;IF(F1023="SÍ"," + CIERRE","")</x:f>
        <x:v>LABORABLE</x:v>
      </x:c>
      <x:c r="I1023" t="str">
        <x:f>TEXT(G1023,"yyyy-mm")</x:f>
        <x:v>2027-10</x:v>
      </x:c>
    </x:row>
    <x:row r="1024" ht="19" customHeight="1">
      <x:c r="A1024" s="2" t="n">
        <x:v>46680</x:v>
      </x:c>
      <x:c r="B1024" t="str">
        <x:f>CHOOSE(WEEKDAY(A1024,2),"Lunes","Martes","Miércoles","Jueves","Viernes","Sábado","Domingo")</x:f>
        <x:v>Miércoles</x:v>
      </x:c>
      <x:c r="C1024" t="str">
        <x:f>IF(COUNTIF(FERIADOS!$A$2:$A$250,A1024)&gt;0,"SÍ","NO")</x:f>
        <x:v>NO</x:v>
      </x:c>
      <x:c r="D1024" t="str">
        <x:f>IF(AND(WEEKDAY(A1024,2)&lt;=5,C1024="NO"),"SÍ","NO")</x:f>
        <x:v>SÍ</x:v>
      </x:c>
      <x:c r="E1024" s="2" t="n">
        <x:f>WORKDAY.INTL(A1024-1,1,1,FERIADOS!$A$2:$A$250)</x:f>
        <x:v>46680</x:v>
      </x:c>
      <x:c r="F1024" t="str">
        <x:f>IF(E1024&gt;=WORKDAY.INTL(EOMONTH(E1024,0)+1,-2,1,FERIADOS!$A$2:$A$250),"SÍ","NO")</x:f>
        <x:v>NO</x:v>
      </x:c>
      <x:c r="G1024" s="10" t="n">
        <x:f>IF(F1024="SÍ",EOMONTH(E1024,0)+1,DATE(YEAR(E1024),MONTH(E1024),1))</x:f>
        <x:v>46661</x:v>
      </x:c>
      <x:c r="H1024" t="str">
        <x:f>IF(D1024="NO",IF(C1024="SÍ","FERIADO","FIN DE SEMANA"),"LABORABLE")&amp;IF(F1024="SÍ"," + CIERRE","")</x:f>
        <x:v>LABORABLE</x:v>
      </x:c>
      <x:c r="I1024" t="str">
        <x:f>TEXT(G1024,"yyyy-mm")</x:f>
        <x:v>2027-10</x:v>
      </x:c>
    </x:row>
    <x:row r="1025" ht="19" customHeight="1">
      <x:c r="A1025" s="2" t="n">
        <x:v>46681</x:v>
      </x:c>
      <x:c r="B1025" t="str">
        <x:f>CHOOSE(WEEKDAY(A1025,2),"Lunes","Martes","Miércoles","Jueves","Viernes","Sábado","Domingo")</x:f>
        <x:v>Jueves</x:v>
      </x:c>
      <x:c r="C1025" t="str">
        <x:f>IF(COUNTIF(FERIADOS!$A$2:$A$250,A1025)&gt;0,"SÍ","NO")</x:f>
        <x:v>NO</x:v>
      </x:c>
      <x:c r="D1025" t="str">
        <x:f>IF(AND(WEEKDAY(A1025,2)&lt;=5,C1025="NO"),"SÍ","NO")</x:f>
        <x:v>SÍ</x:v>
      </x:c>
      <x:c r="E1025" s="2" t="n">
        <x:f>WORKDAY.INTL(A1025-1,1,1,FERIADOS!$A$2:$A$250)</x:f>
        <x:v>46681</x:v>
      </x:c>
      <x:c r="F1025" t="str">
        <x:f>IF(E1025&gt;=WORKDAY.INTL(EOMONTH(E1025,0)+1,-2,1,FERIADOS!$A$2:$A$250),"SÍ","NO")</x:f>
        <x:v>NO</x:v>
      </x:c>
      <x:c r="G1025" s="10" t="n">
        <x:f>IF(F1025="SÍ",EOMONTH(E1025,0)+1,DATE(YEAR(E1025),MONTH(E1025),1))</x:f>
        <x:v>46661</x:v>
      </x:c>
      <x:c r="H1025" t="str">
        <x:f>IF(D1025="NO",IF(C1025="SÍ","FERIADO","FIN DE SEMANA"),"LABORABLE")&amp;IF(F1025="SÍ"," + CIERRE","")</x:f>
        <x:v>LABORABLE</x:v>
      </x:c>
      <x:c r="I1025" t="str">
        <x:f>TEXT(G1025,"yyyy-mm")</x:f>
        <x:v>2027-10</x:v>
      </x:c>
    </x:row>
    <x:row r="1026" ht="19" customHeight="1">
      <x:c r="A1026" s="2" t="n">
        <x:v>46682</x:v>
      </x:c>
      <x:c r="B1026" t="str">
        <x:f>CHOOSE(WEEKDAY(A1026,2),"Lunes","Martes","Miércoles","Jueves","Viernes","Sábado","Domingo")</x:f>
        <x:v>Viernes</x:v>
      </x:c>
      <x:c r="C1026" t="str">
        <x:f>IF(COUNTIF(FERIADOS!$A$2:$A$250,A1026)&gt;0,"SÍ","NO")</x:f>
        <x:v>NO</x:v>
      </x:c>
      <x:c r="D1026" t="str">
        <x:f>IF(AND(WEEKDAY(A1026,2)&lt;=5,C1026="NO"),"SÍ","NO")</x:f>
        <x:v>SÍ</x:v>
      </x:c>
      <x:c r="E1026" s="2" t="n">
        <x:f>WORKDAY.INTL(A1026-1,1,1,FERIADOS!$A$2:$A$250)</x:f>
        <x:v>46682</x:v>
      </x:c>
      <x:c r="F1026" t="str">
        <x:f>IF(E1026&gt;=WORKDAY.INTL(EOMONTH(E1026,0)+1,-2,1,FERIADOS!$A$2:$A$250),"SÍ","NO")</x:f>
        <x:v>NO</x:v>
      </x:c>
      <x:c r="G1026" s="10" t="n">
        <x:f>IF(F1026="SÍ",EOMONTH(E1026,0)+1,DATE(YEAR(E1026),MONTH(E1026),1))</x:f>
        <x:v>46661</x:v>
      </x:c>
      <x:c r="H1026" t="str">
        <x:f>IF(D1026="NO",IF(C1026="SÍ","FERIADO","FIN DE SEMANA"),"LABORABLE")&amp;IF(F1026="SÍ"," + CIERRE","")</x:f>
        <x:v>LABORABLE</x:v>
      </x:c>
      <x:c r="I1026" t="str">
        <x:f>TEXT(G1026,"yyyy-mm")</x:f>
        <x:v>2027-10</x:v>
      </x:c>
    </x:row>
    <x:row r="1027" ht="19" customHeight="1">
      <x:c r="A1027" s="2" t="n">
        <x:v>46683</x:v>
      </x:c>
      <x:c r="B1027" t="str">
        <x:f>CHOOSE(WEEKDAY(A1027,2),"Lunes","Martes","Miércoles","Jueves","Viernes","Sábado","Domingo")</x:f>
        <x:v>Sábado</x:v>
      </x:c>
      <x:c r="C1027" t="str">
        <x:f>IF(COUNTIF(FERIADOS!$A$2:$A$250,A1027)&gt;0,"SÍ","NO")</x:f>
        <x:v>NO</x:v>
      </x:c>
      <x:c r="D1027" t="str">
        <x:f>IF(AND(WEEKDAY(A1027,2)&lt;=5,C1027="NO"),"SÍ","NO")</x:f>
        <x:v>NO</x:v>
      </x:c>
      <x:c r="E1027" s="2" t="n">
        <x:f>WORKDAY.INTL(A1027-1,1,1,FERIADOS!$A$2:$A$250)</x:f>
        <x:v>46685</x:v>
      </x:c>
      <x:c r="F1027" t="str">
        <x:f>IF(E1027&gt;=WORKDAY.INTL(EOMONTH(E1027,0)+1,-2,1,FERIADOS!$A$2:$A$250),"SÍ","NO")</x:f>
        <x:v>NO</x:v>
      </x:c>
      <x:c r="G1027" s="10" t="n">
        <x:f>IF(F1027="SÍ",EOMONTH(E1027,0)+1,DATE(YEAR(E1027),MONTH(E1027),1))</x:f>
        <x:v>46661</x:v>
      </x:c>
      <x:c r="H1027" t="str">
        <x:f>IF(D1027="NO",IF(C1027="SÍ","FERIADO","FIN DE SEMANA"),"LABORABLE")&amp;IF(F1027="SÍ"," + CIERRE","")</x:f>
        <x:v>FIN DE SEMANA</x:v>
      </x:c>
      <x:c r="I1027" t="str">
        <x:f>TEXT(G1027,"yyyy-mm")</x:f>
        <x:v>2027-10</x:v>
      </x:c>
    </x:row>
    <x:row r="1028" ht="19" customHeight="1">
      <x:c r="A1028" s="2" t="n">
        <x:v>46684</x:v>
      </x:c>
      <x:c r="B1028" t="str">
        <x:f>CHOOSE(WEEKDAY(A1028,2),"Lunes","Martes","Miércoles","Jueves","Viernes","Sábado","Domingo")</x:f>
        <x:v>Domingo</x:v>
      </x:c>
      <x:c r="C1028" t="str">
        <x:f>IF(COUNTIF(FERIADOS!$A$2:$A$250,A1028)&gt;0,"SÍ","NO")</x:f>
        <x:v>NO</x:v>
      </x:c>
      <x:c r="D1028" t="str">
        <x:f>IF(AND(WEEKDAY(A1028,2)&lt;=5,C1028="NO"),"SÍ","NO")</x:f>
        <x:v>NO</x:v>
      </x:c>
      <x:c r="E1028" s="2" t="n">
        <x:f>WORKDAY.INTL(A1028-1,1,1,FERIADOS!$A$2:$A$250)</x:f>
        <x:v>46685</x:v>
      </x:c>
      <x:c r="F1028" t="str">
        <x:f>IF(E1028&gt;=WORKDAY.INTL(EOMONTH(E1028,0)+1,-2,1,FERIADOS!$A$2:$A$250),"SÍ","NO")</x:f>
        <x:v>NO</x:v>
      </x:c>
      <x:c r="G1028" s="10" t="n">
        <x:f>IF(F1028="SÍ",EOMONTH(E1028,0)+1,DATE(YEAR(E1028),MONTH(E1028),1))</x:f>
        <x:v>46661</x:v>
      </x:c>
      <x:c r="H1028" t="str">
        <x:f>IF(D1028="NO",IF(C1028="SÍ","FERIADO","FIN DE SEMANA"),"LABORABLE")&amp;IF(F1028="SÍ"," + CIERRE","")</x:f>
        <x:v>FIN DE SEMANA</x:v>
      </x:c>
      <x:c r="I1028" t="str">
        <x:f>TEXT(G1028,"yyyy-mm")</x:f>
        <x:v>2027-10</x:v>
      </x:c>
    </x:row>
    <x:row r="1029" ht="19" customHeight="1">
      <x:c r="A1029" s="2" t="n">
        <x:v>46685</x:v>
      </x:c>
      <x:c r="B1029" t="str">
        <x:f>CHOOSE(WEEKDAY(A1029,2),"Lunes","Martes","Miércoles","Jueves","Viernes","Sábado","Domingo")</x:f>
        <x:v>Lunes</x:v>
      </x:c>
      <x:c r="C1029" t="str">
        <x:f>IF(COUNTIF(FERIADOS!$A$2:$A$250,A1029)&gt;0,"SÍ","NO")</x:f>
        <x:v>NO</x:v>
      </x:c>
      <x:c r="D1029" t="str">
        <x:f>IF(AND(WEEKDAY(A1029,2)&lt;=5,C1029="NO"),"SÍ","NO")</x:f>
        <x:v>SÍ</x:v>
      </x:c>
      <x:c r="E1029" s="2" t="n">
        <x:f>WORKDAY.INTL(A1029-1,1,1,FERIADOS!$A$2:$A$250)</x:f>
        <x:v>46685</x:v>
      </x:c>
      <x:c r="F1029" t="str">
        <x:f>IF(E1029&gt;=WORKDAY.INTL(EOMONTH(E1029,0)+1,-2,1,FERIADOS!$A$2:$A$250),"SÍ","NO")</x:f>
        <x:v>NO</x:v>
      </x:c>
      <x:c r="G1029" s="10" t="n">
        <x:f>IF(F1029="SÍ",EOMONTH(E1029,0)+1,DATE(YEAR(E1029),MONTH(E1029),1))</x:f>
        <x:v>46661</x:v>
      </x:c>
      <x:c r="H1029" t="str">
        <x:f>IF(D1029="NO",IF(C1029="SÍ","FERIADO","FIN DE SEMANA"),"LABORABLE")&amp;IF(F1029="SÍ"," + CIERRE","")</x:f>
        <x:v>LABORABLE</x:v>
      </x:c>
      <x:c r="I1029" t="str">
        <x:f>TEXT(G1029,"yyyy-mm")</x:f>
        <x:v>2027-10</x:v>
      </x:c>
    </x:row>
    <x:row r="1030" ht="19" customHeight="1">
      <x:c r="A1030" s="2" t="n">
        <x:v>46686</x:v>
      </x:c>
      <x:c r="B1030" t="str">
        <x:f>CHOOSE(WEEKDAY(A1030,2),"Lunes","Martes","Miércoles","Jueves","Viernes","Sábado","Domingo")</x:f>
        <x:v>Martes</x:v>
      </x:c>
      <x:c r="C1030" t="str">
        <x:f>IF(COUNTIF(FERIADOS!$A$2:$A$250,A1030)&gt;0,"SÍ","NO")</x:f>
        <x:v>NO</x:v>
      </x:c>
      <x:c r="D1030" t="str">
        <x:f>IF(AND(WEEKDAY(A1030,2)&lt;=5,C1030="NO"),"SÍ","NO")</x:f>
        <x:v>SÍ</x:v>
      </x:c>
      <x:c r="E1030" s="2" t="n">
        <x:f>WORKDAY.INTL(A1030-1,1,1,FERIADOS!$A$2:$A$250)</x:f>
        <x:v>46686</x:v>
      </x:c>
      <x:c r="F1030" t="str">
        <x:f>IF(E1030&gt;=WORKDAY.INTL(EOMONTH(E1030,0)+1,-2,1,FERIADOS!$A$2:$A$250),"SÍ","NO")</x:f>
        <x:v>NO</x:v>
      </x:c>
      <x:c r="G1030" s="10" t="n">
        <x:f>IF(F1030="SÍ",EOMONTH(E1030,0)+1,DATE(YEAR(E1030),MONTH(E1030),1))</x:f>
        <x:v>46661</x:v>
      </x:c>
      <x:c r="H1030" t="str">
        <x:f>IF(D1030="NO",IF(C1030="SÍ","FERIADO","FIN DE SEMANA"),"LABORABLE")&amp;IF(F1030="SÍ"," + CIERRE","")</x:f>
        <x:v>LABORABLE</x:v>
      </x:c>
      <x:c r="I1030" t="str">
        <x:f>TEXT(G1030,"yyyy-mm")</x:f>
        <x:v>2027-10</x:v>
      </x:c>
    </x:row>
    <x:row r="1031" ht="19" customHeight="1">
      <x:c r="A1031" s="2" t="n">
        <x:v>46687</x:v>
      </x:c>
      <x:c r="B1031" t="str">
        <x:f>CHOOSE(WEEKDAY(A1031,2),"Lunes","Martes","Miércoles","Jueves","Viernes","Sábado","Domingo")</x:f>
        <x:v>Miércoles</x:v>
      </x:c>
      <x:c r="C1031" t="str">
        <x:f>IF(COUNTIF(FERIADOS!$A$2:$A$250,A1031)&gt;0,"SÍ","NO")</x:f>
        <x:v>NO</x:v>
      </x:c>
      <x:c r="D1031" t="str">
        <x:f>IF(AND(WEEKDAY(A1031,2)&lt;=5,C1031="NO"),"SÍ","NO")</x:f>
        <x:v>SÍ</x:v>
      </x:c>
      <x:c r="E1031" s="2" t="n">
        <x:f>WORKDAY.INTL(A1031-1,1,1,FERIADOS!$A$2:$A$250)</x:f>
        <x:v>46687</x:v>
      </x:c>
      <x:c r="F1031" t="str">
        <x:f>IF(E1031&gt;=WORKDAY.INTL(EOMONTH(E1031,0)+1,-2,1,FERIADOS!$A$2:$A$250),"SÍ","NO")</x:f>
        <x:v>NO</x:v>
      </x:c>
      <x:c r="G1031" s="10" t="n">
        <x:f>IF(F1031="SÍ",EOMONTH(E1031,0)+1,DATE(YEAR(E1031),MONTH(E1031),1))</x:f>
        <x:v>46661</x:v>
      </x:c>
      <x:c r="H1031" t="str">
        <x:f>IF(D1031="NO",IF(C1031="SÍ","FERIADO","FIN DE SEMANA"),"LABORABLE")&amp;IF(F1031="SÍ"," + CIERRE","")</x:f>
        <x:v>LABORABLE</x:v>
      </x:c>
      <x:c r="I1031" t="str">
        <x:f>TEXT(G1031,"yyyy-mm")</x:f>
        <x:v>2027-10</x:v>
      </x:c>
    </x:row>
    <x:row r="1032" ht="19" customHeight="1">
      <x:c r="A1032" s="2" t="n">
        <x:v>46688</x:v>
      </x:c>
      <x:c r="B1032" t="str">
        <x:f>CHOOSE(WEEKDAY(A1032,2),"Lunes","Martes","Miércoles","Jueves","Viernes","Sábado","Domingo")</x:f>
        <x:v>Jueves</x:v>
      </x:c>
      <x:c r="C1032" t="str">
        <x:f>IF(COUNTIF(FERIADOS!$A$2:$A$250,A1032)&gt;0,"SÍ","NO")</x:f>
        <x:v>NO</x:v>
      </x:c>
      <x:c r="D1032" t="str">
        <x:f>IF(AND(WEEKDAY(A1032,2)&lt;=5,C1032="NO"),"SÍ","NO")</x:f>
        <x:v>SÍ</x:v>
      </x:c>
      <x:c r="E1032" s="2" t="n">
        <x:f>WORKDAY.INTL(A1032-1,1,1,FERIADOS!$A$2:$A$250)</x:f>
        <x:v>46688</x:v>
      </x:c>
      <x:c r="F1032" t="str">
        <x:f>IF(E1032&gt;=WORKDAY.INTL(EOMONTH(E1032,0)+1,-2,1,FERIADOS!$A$2:$A$250),"SÍ","NO")</x:f>
        <x:v>SÍ</x:v>
      </x:c>
      <x:c r="G1032" s="10" t="n">
        <x:f>IF(F1032="SÍ",EOMONTH(E1032,0)+1,DATE(YEAR(E1032),MONTH(E1032),1))</x:f>
        <x:v>46692</x:v>
      </x:c>
      <x:c r="H1032" t="str">
        <x:f>IF(D1032="NO",IF(C1032="SÍ","FERIADO","FIN DE SEMANA"),"LABORABLE")&amp;IF(F1032="SÍ"," + CIERRE","")</x:f>
        <x:v>LABORABLE + CIERRE</x:v>
      </x:c>
      <x:c r="I1032" t="str">
        <x:f>TEXT(G1032,"yyyy-mm")</x:f>
        <x:v>2027-11</x:v>
      </x:c>
    </x:row>
    <x:row r="1033" ht="19" customHeight="1">
      <x:c r="A1033" s="2" t="n">
        <x:v>46689</x:v>
      </x:c>
      <x:c r="B1033" t="str">
        <x:f>CHOOSE(WEEKDAY(A1033,2),"Lunes","Martes","Miércoles","Jueves","Viernes","Sábado","Domingo")</x:f>
        <x:v>Viernes</x:v>
      </x:c>
      <x:c r="C1033" t="str">
        <x:f>IF(COUNTIF(FERIADOS!$A$2:$A$250,A1033)&gt;0,"SÍ","NO")</x:f>
        <x:v>NO</x:v>
      </x:c>
      <x:c r="D1033" t="str">
        <x:f>IF(AND(WEEKDAY(A1033,2)&lt;=5,C1033="NO"),"SÍ","NO")</x:f>
        <x:v>SÍ</x:v>
      </x:c>
      <x:c r="E1033" s="2" t="n">
        <x:f>WORKDAY.INTL(A1033-1,1,1,FERIADOS!$A$2:$A$250)</x:f>
        <x:v>46689</x:v>
      </x:c>
      <x:c r="F1033" t="str">
        <x:f>IF(E1033&gt;=WORKDAY.INTL(EOMONTH(E1033,0)+1,-2,1,FERIADOS!$A$2:$A$250),"SÍ","NO")</x:f>
        <x:v>SÍ</x:v>
      </x:c>
      <x:c r="G1033" s="10" t="n">
        <x:f>IF(F1033="SÍ",EOMONTH(E1033,0)+1,DATE(YEAR(E1033),MONTH(E1033),1))</x:f>
        <x:v>46692</x:v>
      </x:c>
      <x:c r="H1033" t="str">
        <x:f>IF(D1033="NO",IF(C1033="SÍ","FERIADO","FIN DE SEMANA"),"LABORABLE")&amp;IF(F1033="SÍ"," + CIERRE","")</x:f>
        <x:v>LABORABLE + CIERRE</x:v>
      </x:c>
      <x:c r="I1033" t="str">
        <x:f>TEXT(G1033,"yyyy-mm")</x:f>
        <x:v>2027-11</x:v>
      </x:c>
    </x:row>
    <x:row r="1034" ht="19" customHeight="1">
      <x:c r="A1034" s="2" t="n">
        <x:v>46690</x:v>
      </x:c>
      <x:c r="B1034" t="str">
        <x:f>CHOOSE(WEEKDAY(A1034,2),"Lunes","Martes","Miércoles","Jueves","Viernes","Sábado","Domingo")</x:f>
        <x:v>Sábado</x:v>
      </x:c>
      <x:c r="C1034" t="str">
        <x:f>IF(COUNTIF(FERIADOS!$A$2:$A$250,A1034)&gt;0,"SÍ","NO")</x:f>
        <x:v>NO</x:v>
      </x:c>
      <x:c r="D1034" t="str">
        <x:f>IF(AND(WEEKDAY(A1034,2)&lt;=5,C1034="NO"),"SÍ","NO")</x:f>
        <x:v>NO</x:v>
      </x:c>
      <x:c r="E1034" s="2" t="n">
        <x:f>WORKDAY.INTL(A1034-1,1,1,FERIADOS!$A$2:$A$250)</x:f>
        <x:v>46694</x:v>
      </x:c>
      <x:c r="F1034" t="str">
        <x:f>IF(E1034&gt;=WORKDAY.INTL(EOMONTH(E1034,0)+1,-2,1,FERIADOS!$A$2:$A$250),"SÍ","NO")</x:f>
        <x:v>NO</x:v>
      </x:c>
      <x:c r="G1034" s="10" t="n">
        <x:f>IF(F1034="SÍ",EOMONTH(E1034,0)+1,DATE(YEAR(E1034),MONTH(E1034),1))</x:f>
        <x:v>46692</x:v>
      </x:c>
      <x:c r="H1034" t="str">
        <x:f>IF(D1034="NO",IF(C1034="SÍ","FERIADO","FIN DE SEMANA"),"LABORABLE")&amp;IF(F1034="SÍ"," + CIERRE","")</x:f>
        <x:v>FIN DE SEMANA</x:v>
      </x:c>
      <x:c r="I1034" t="str">
        <x:f>TEXT(G1034,"yyyy-mm")</x:f>
        <x:v>2027-11</x:v>
      </x:c>
    </x:row>
    <x:row r="1035" ht="19" customHeight="1">
      <x:c r="A1035" s="2" t="n">
        <x:v>46691</x:v>
      </x:c>
      <x:c r="B1035" t="str">
        <x:f>CHOOSE(WEEKDAY(A1035,2),"Lunes","Martes","Miércoles","Jueves","Viernes","Sábado","Domingo")</x:f>
        <x:v>Domingo</x:v>
      </x:c>
      <x:c r="C1035" t="str">
        <x:f>IF(COUNTIF(FERIADOS!$A$2:$A$250,A1035)&gt;0,"SÍ","NO")</x:f>
        <x:v>NO</x:v>
      </x:c>
      <x:c r="D1035" t="str">
        <x:f>IF(AND(WEEKDAY(A1035,2)&lt;=5,C1035="NO"),"SÍ","NO")</x:f>
        <x:v>NO</x:v>
      </x:c>
      <x:c r="E1035" s="2" t="n">
        <x:f>WORKDAY.INTL(A1035-1,1,1,FERIADOS!$A$2:$A$250)</x:f>
        <x:v>46694</x:v>
      </x:c>
      <x:c r="F1035" t="str">
        <x:f>IF(E1035&gt;=WORKDAY.INTL(EOMONTH(E1035,0)+1,-2,1,FERIADOS!$A$2:$A$250),"SÍ","NO")</x:f>
        <x:v>NO</x:v>
      </x:c>
      <x:c r="G1035" s="10" t="n">
        <x:f>IF(F1035="SÍ",EOMONTH(E1035,0)+1,DATE(YEAR(E1035),MONTH(E1035),1))</x:f>
        <x:v>46692</x:v>
      </x:c>
      <x:c r="H1035" t="str">
        <x:f>IF(D1035="NO",IF(C1035="SÍ","FERIADO","FIN DE SEMANA"),"LABORABLE")&amp;IF(F1035="SÍ"," + CIERRE","")</x:f>
        <x:v>FIN DE SEMANA</x:v>
      </x:c>
      <x:c r="I1035" t="str">
        <x:f>TEXT(G1035,"yyyy-mm")</x:f>
        <x:v>2027-11</x:v>
      </x:c>
    </x:row>
    <x:row r="1036" ht="19" customHeight="1">
      <x:c r="A1036" s="2" t="n">
        <x:v>46692</x:v>
      </x:c>
      <x:c r="B1036" t="str">
        <x:f>CHOOSE(WEEKDAY(A1036,2),"Lunes","Martes","Miércoles","Jueves","Viernes","Sábado","Domingo")</x:f>
        <x:v>Lunes</x:v>
      </x:c>
      <x:c r="C1036" t="str">
        <x:f>IF(COUNTIF(FERIADOS!$A$2:$A$250,A1036)&gt;0,"SÍ","NO")</x:f>
        <x:v>SÍ</x:v>
      </x:c>
      <x:c r="D1036" t="str">
        <x:f>IF(AND(WEEKDAY(A1036,2)&lt;=5,C1036="NO"),"SÍ","NO")</x:f>
        <x:v>NO</x:v>
      </x:c>
      <x:c r="E1036" s="2" t="n">
        <x:f>WORKDAY.INTL(A1036-1,1,1,FERIADOS!$A$2:$A$250)</x:f>
        <x:v>46694</x:v>
      </x:c>
      <x:c r="F1036" t="str">
        <x:f>IF(E1036&gt;=WORKDAY.INTL(EOMONTH(E1036,0)+1,-2,1,FERIADOS!$A$2:$A$250),"SÍ","NO")</x:f>
        <x:v>NO</x:v>
      </x:c>
      <x:c r="G1036" s="10" t="n">
        <x:f>IF(F1036="SÍ",EOMONTH(E1036,0)+1,DATE(YEAR(E1036),MONTH(E1036),1))</x:f>
        <x:v>46692</x:v>
      </x:c>
      <x:c r="H1036" t="str">
        <x:f>IF(D1036="NO",IF(C1036="SÍ","FERIADO","FIN DE SEMANA"),"LABORABLE")&amp;IF(F1036="SÍ"," + CIERRE","")</x:f>
        <x:v>FERIADO</x:v>
      </x:c>
      <x:c r="I1036" t="str">
        <x:f>TEXT(G1036,"yyyy-mm")</x:f>
        <x:v>2027-11</x:v>
      </x:c>
    </x:row>
    <x:row r="1037" ht="19" customHeight="1">
      <x:c r="A1037" s="2" t="n">
        <x:v>46693</x:v>
      </x:c>
      <x:c r="B1037" t="str">
        <x:f>CHOOSE(WEEKDAY(A1037,2),"Lunes","Martes","Miércoles","Jueves","Viernes","Sábado","Domingo")</x:f>
        <x:v>Martes</x:v>
      </x:c>
      <x:c r="C1037" t="str">
        <x:f>IF(COUNTIF(FERIADOS!$A$2:$A$250,A1037)&gt;0,"SÍ","NO")</x:f>
        <x:v>SÍ</x:v>
      </x:c>
      <x:c r="D1037" t="str">
        <x:f>IF(AND(WEEKDAY(A1037,2)&lt;=5,C1037="NO"),"SÍ","NO")</x:f>
        <x:v>NO</x:v>
      </x:c>
      <x:c r="E1037" s="2" t="n">
        <x:f>WORKDAY.INTL(A1037-1,1,1,FERIADOS!$A$2:$A$250)</x:f>
        <x:v>46694</x:v>
      </x:c>
      <x:c r="F1037" t="str">
        <x:f>IF(E1037&gt;=WORKDAY.INTL(EOMONTH(E1037,0)+1,-2,1,FERIADOS!$A$2:$A$250),"SÍ","NO")</x:f>
        <x:v>NO</x:v>
      </x:c>
      <x:c r="G1037" s="10" t="n">
        <x:f>IF(F1037="SÍ",EOMONTH(E1037,0)+1,DATE(YEAR(E1037),MONTH(E1037),1))</x:f>
        <x:v>46692</x:v>
      </x:c>
      <x:c r="H1037" t="str">
        <x:f>IF(D1037="NO",IF(C1037="SÍ","FERIADO","FIN DE SEMANA"),"LABORABLE")&amp;IF(F1037="SÍ"," + CIERRE","")</x:f>
        <x:v>FERIADO</x:v>
      </x:c>
      <x:c r="I1037" t="str">
        <x:f>TEXT(G1037,"yyyy-mm")</x:f>
        <x:v>2027-11</x:v>
      </x:c>
    </x:row>
    <x:row r="1038" ht="19" customHeight="1">
      <x:c r="A1038" s="2" t="n">
        <x:v>46694</x:v>
      </x:c>
      <x:c r="B1038" t="str">
        <x:f>CHOOSE(WEEKDAY(A1038,2),"Lunes","Martes","Miércoles","Jueves","Viernes","Sábado","Domingo")</x:f>
        <x:v>Miércoles</x:v>
      </x:c>
      <x:c r="C1038" t="str">
        <x:f>IF(COUNTIF(FERIADOS!$A$2:$A$250,A1038)&gt;0,"SÍ","NO")</x:f>
        <x:v>NO</x:v>
      </x:c>
      <x:c r="D1038" t="str">
        <x:f>IF(AND(WEEKDAY(A1038,2)&lt;=5,C1038="NO"),"SÍ","NO")</x:f>
        <x:v>SÍ</x:v>
      </x:c>
      <x:c r="E1038" s="2" t="n">
        <x:f>WORKDAY.INTL(A1038-1,1,1,FERIADOS!$A$2:$A$250)</x:f>
        <x:v>46694</x:v>
      </x:c>
      <x:c r="F1038" t="str">
        <x:f>IF(E1038&gt;=WORKDAY.INTL(EOMONTH(E1038,0)+1,-2,1,FERIADOS!$A$2:$A$250),"SÍ","NO")</x:f>
        <x:v>NO</x:v>
      </x:c>
      <x:c r="G1038" s="10" t="n">
        <x:f>IF(F1038="SÍ",EOMONTH(E1038,0)+1,DATE(YEAR(E1038),MONTH(E1038),1))</x:f>
        <x:v>46692</x:v>
      </x:c>
      <x:c r="H1038" t="str">
        <x:f>IF(D1038="NO",IF(C1038="SÍ","FERIADO","FIN DE SEMANA"),"LABORABLE")&amp;IF(F1038="SÍ"," + CIERRE","")</x:f>
        <x:v>LABORABLE</x:v>
      </x:c>
      <x:c r="I1038" t="str">
        <x:f>TEXT(G1038,"yyyy-mm")</x:f>
        <x:v>2027-11</x:v>
      </x:c>
    </x:row>
    <x:row r="1039" ht="19" customHeight="1">
      <x:c r="A1039" s="2" t="n">
        <x:v>46695</x:v>
      </x:c>
      <x:c r="B1039" t="str">
        <x:f>CHOOSE(WEEKDAY(A1039,2),"Lunes","Martes","Miércoles","Jueves","Viernes","Sábado","Domingo")</x:f>
        <x:v>Jueves</x:v>
      </x:c>
      <x:c r="C1039" t="str">
        <x:f>IF(COUNTIF(FERIADOS!$A$2:$A$250,A1039)&gt;0,"SÍ","NO")</x:f>
        <x:v>NO</x:v>
      </x:c>
      <x:c r="D1039" t="str">
        <x:f>IF(AND(WEEKDAY(A1039,2)&lt;=5,C1039="NO"),"SÍ","NO")</x:f>
        <x:v>SÍ</x:v>
      </x:c>
      <x:c r="E1039" s="2" t="n">
        <x:f>WORKDAY.INTL(A1039-1,1,1,FERIADOS!$A$2:$A$250)</x:f>
        <x:v>46695</x:v>
      </x:c>
      <x:c r="F1039" t="str">
        <x:f>IF(E1039&gt;=WORKDAY.INTL(EOMONTH(E1039,0)+1,-2,1,FERIADOS!$A$2:$A$250),"SÍ","NO")</x:f>
        <x:v>NO</x:v>
      </x:c>
      <x:c r="G1039" s="10" t="n">
        <x:f>IF(F1039="SÍ",EOMONTH(E1039,0)+1,DATE(YEAR(E1039),MONTH(E1039),1))</x:f>
        <x:v>46692</x:v>
      </x:c>
      <x:c r="H1039" t="str">
        <x:f>IF(D1039="NO",IF(C1039="SÍ","FERIADO","FIN DE SEMANA"),"LABORABLE")&amp;IF(F1039="SÍ"," + CIERRE","")</x:f>
        <x:v>LABORABLE</x:v>
      </x:c>
      <x:c r="I1039" t="str">
        <x:f>TEXT(G1039,"yyyy-mm")</x:f>
        <x:v>2027-11</x:v>
      </x:c>
    </x:row>
    <x:row r="1040" ht="19" customHeight="1">
      <x:c r="A1040" s="2" t="n">
        <x:v>46696</x:v>
      </x:c>
      <x:c r="B1040" t="str">
        <x:f>CHOOSE(WEEKDAY(A1040,2),"Lunes","Martes","Miércoles","Jueves","Viernes","Sábado","Domingo")</x:f>
        <x:v>Viernes</x:v>
      </x:c>
      <x:c r="C1040" t="str">
        <x:f>IF(COUNTIF(FERIADOS!$A$2:$A$250,A1040)&gt;0,"SÍ","NO")</x:f>
        <x:v>NO</x:v>
      </x:c>
      <x:c r="D1040" t="str">
        <x:f>IF(AND(WEEKDAY(A1040,2)&lt;=5,C1040="NO"),"SÍ","NO")</x:f>
        <x:v>SÍ</x:v>
      </x:c>
      <x:c r="E1040" s="2" t="n">
        <x:f>WORKDAY.INTL(A1040-1,1,1,FERIADOS!$A$2:$A$250)</x:f>
        <x:v>46696</x:v>
      </x:c>
      <x:c r="F1040" t="str">
        <x:f>IF(E1040&gt;=WORKDAY.INTL(EOMONTH(E1040,0)+1,-2,1,FERIADOS!$A$2:$A$250),"SÍ","NO")</x:f>
        <x:v>NO</x:v>
      </x:c>
      <x:c r="G1040" s="10" t="n">
        <x:f>IF(F1040="SÍ",EOMONTH(E1040,0)+1,DATE(YEAR(E1040),MONTH(E1040),1))</x:f>
        <x:v>46692</x:v>
      </x:c>
      <x:c r="H1040" t="str">
        <x:f>IF(D1040="NO",IF(C1040="SÍ","FERIADO","FIN DE SEMANA"),"LABORABLE")&amp;IF(F1040="SÍ"," + CIERRE","")</x:f>
        <x:v>LABORABLE</x:v>
      </x:c>
      <x:c r="I1040" t="str">
        <x:f>TEXT(G1040,"yyyy-mm")</x:f>
        <x:v>2027-11</x:v>
      </x:c>
    </x:row>
    <x:row r="1041" ht="19" customHeight="1">
      <x:c r="A1041" s="2" t="n">
        <x:v>46697</x:v>
      </x:c>
      <x:c r="B1041" t="str">
        <x:f>CHOOSE(WEEKDAY(A1041,2),"Lunes","Martes","Miércoles","Jueves","Viernes","Sábado","Domingo")</x:f>
        <x:v>Sábado</x:v>
      </x:c>
      <x:c r="C1041" t="str">
        <x:f>IF(COUNTIF(FERIADOS!$A$2:$A$250,A1041)&gt;0,"SÍ","NO")</x:f>
        <x:v>NO</x:v>
      </x:c>
      <x:c r="D1041" t="str">
        <x:f>IF(AND(WEEKDAY(A1041,2)&lt;=5,C1041="NO"),"SÍ","NO")</x:f>
        <x:v>NO</x:v>
      </x:c>
      <x:c r="E1041" s="2" t="n">
        <x:f>WORKDAY.INTL(A1041-1,1,1,FERIADOS!$A$2:$A$250)</x:f>
        <x:v>46699</x:v>
      </x:c>
      <x:c r="F1041" t="str">
        <x:f>IF(E1041&gt;=WORKDAY.INTL(EOMONTH(E1041,0)+1,-2,1,FERIADOS!$A$2:$A$250),"SÍ","NO")</x:f>
        <x:v>NO</x:v>
      </x:c>
      <x:c r="G1041" s="10" t="n">
        <x:f>IF(F1041="SÍ",EOMONTH(E1041,0)+1,DATE(YEAR(E1041),MONTH(E1041),1))</x:f>
        <x:v>46692</x:v>
      </x:c>
      <x:c r="H1041" t="str">
        <x:f>IF(D1041="NO",IF(C1041="SÍ","FERIADO","FIN DE SEMANA"),"LABORABLE")&amp;IF(F1041="SÍ"," + CIERRE","")</x:f>
        <x:v>FIN DE SEMANA</x:v>
      </x:c>
      <x:c r="I1041" t="str">
        <x:f>TEXT(G1041,"yyyy-mm")</x:f>
        <x:v>2027-11</x:v>
      </x:c>
    </x:row>
    <x:row r="1042" ht="19" customHeight="1">
      <x:c r="A1042" s="2" t="n">
        <x:v>46698</x:v>
      </x:c>
      <x:c r="B1042" t="str">
        <x:f>CHOOSE(WEEKDAY(A1042,2),"Lunes","Martes","Miércoles","Jueves","Viernes","Sábado","Domingo")</x:f>
        <x:v>Domingo</x:v>
      </x:c>
      <x:c r="C1042" t="str">
        <x:f>IF(COUNTIF(FERIADOS!$A$2:$A$250,A1042)&gt;0,"SÍ","NO")</x:f>
        <x:v>NO</x:v>
      </x:c>
      <x:c r="D1042" t="str">
        <x:f>IF(AND(WEEKDAY(A1042,2)&lt;=5,C1042="NO"),"SÍ","NO")</x:f>
        <x:v>NO</x:v>
      </x:c>
      <x:c r="E1042" s="2" t="n">
        <x:f>WORKDAY.INTL(A1042-1,1,1,FERIADOS!$A$2:$A$250)</x:f>
        <x:v>46699</x:v>
      </x:c>
      <x:c r="F1042" t="str">
        <x:f>IF(E1042&gt;=WORKDAY.INTL(EOMONTH(E1042,0)+1,-2,1,FERIADOS!$A$2:$A$250),"SÍ","NO")</x:f>
        <x:v>NO</x:v>
      </x:c>
      <x:c r="G1042" s="10" t="n">
        <x:f>IF(F1042="SÍ",EOMONTH(E1042,0)+1,DATE(YEAR(E1042),MONTH(E1042),1))</x:f>
        <x:v>46692</x:v>
      </x:c>
      <x:c r="H1042" t="str">
        <x:f>IF(D1042="NO",IF(C1042="SÍ","FERIADO","FIN DE SEMANA"),"LABORABLE")&amp;IF(F1042="SÍ"," + CIERRE","")</x:f>
        <x:v>FIN DE SEMANA</x:v>
      </x:c>
      <x:c r="I1042" t="str">
        <x:f>TEXT(G1042,"yyyy-mm")</x:f>
        <x:v>2027-11</x:v>
      </x:c>
    </x:row>
    <x:row r="1043" ht="19" customHeight="1">
      <x:c r="A1043" s="2" t="n">
        <x:v>46699</x:v>
      </x:c>
      <x:c r="B1043" t="str">
        <x:f>CHOOSE(WEEKDAY(A1043,2),"Lunes","Martes","Miércoles","Jueves","Viernes","Sábado","Domingo")</x:f>
        <x:v>Lunes</x:v>
      </x:c>
      <x:c r="C1043" t="str">
        <x:f>IF(COUNTIF(FERIADOS!$A$2:$A$250,A1043)&gt;0,"SÍ","NO")</x:f>
        <x:v>NO</x:v>
      </x:c>
      <x:c r="D1043" t="str">
        <x:f>IF(AND(WEEKDAY(A1043,2)&lt;=5,C1043="NO"),"SÍ","NO")</x:f>
        <x:v>SÍ</x:v>
      </x:c>
      <x:c r="E1043" s="2" t="n">
        <x:f>WORKDAY.INTL(A1043-1,1,1,FERIADOS!$A$2:$A$250)</x:f>
        <x:v>46699</x:v>
      </x:c>
      <x:c r="F1043" t="str">
        <x:f>IF(E1043&gt;=WORKDAY.INTL(EOMONTH(E1043,0)+1,-2,1,FERIADOS!$A$2:$A$250),"SÍ","NO")</x:f>
        <x:v>NO</x:v>
      </x:c>
      <x:c r="G1043" s="10" t="n">
        <x:f>IF(F1043="SÍ",EOMONTH(E1043,0)+1,DATE(YEAR(E1043),MONTH(E1043),1))</x:f>
        <x:v>46692</x:v>
      </x:c>
      <x:c r="H1043" t="str">
        <x:f>IF(D1043="NO",IF(C1043="SÍ","FERIADO","FIN DE SEMANA"),"LABORABLE")&amp;IF(F1043="SÍ"," + CIERRE","")</x:f>
        <x:v>LABORABLE</x:v>
      </x:c>
      <x:c r="I1043" t="str">
        <x:f>TEXT(G1043,"yyyy-mm")</x:f>
        <x:v>2027-11</x:v>
      </x:c>
    </x:row>
    <x:row r="1044" ht="19" customHeight="1">
      <x:c r="A1044" s="2" t="n">
        <x:v>46700</x:v>
      </x:c>
      <x:c r="B1044" t="str">
        <x:f>CHOOSE(WEEKDAY(A1044,2),"Lunes","Martes","Miércoles","Jueves","Viernes","Sábado","Domingo")</x:f>
        <x:v>Martes</x:v>
      </x:c>
      <x:c r="C1044" t="str">
        <x:f>IF(COUNTIF(FERIADOS!$A$2:$A$250,A1044)&gt;0,"SÍ","NO")</x:f>
        <x:v>NO</x:v>
      </x:c>
      <x:c r="D1044" t="str">
        <x:f>IF(AND(WEEKDAY(A1044,2)&lt;=5,C1044="NO"),"SÍ","NO")</x:f>
        <x:v>SÍ</x:v>
      </x:c>
      <x:c r="E1044" s="2" t="n">
        <x:f>WORKDAY.INTL(A1044-1,1,1,FERIADOS!$A$2:$A$250)</x:f>
        <x:v>46700</x:v>
      </x:c>
      <x:c r="F1044" t="str">
        <x:f>IF(E1044&gt;=WORKDAY.INTL(EOMONTH(E1044,0)+1,-2,1,FERIADOS!$A$2:$A$250),"SÍ","NO")</x:f>
        <x:v>NO</x:v>
      </x:c>
      <x:c r="G1044" s="10" t="n">
        <x:f>IF(F1044="SÍ",EOMONTH(E1044,0)+1,DATE(YEAR(E1044),MONTH(E1044),1))</x:f>
        <x:v>46692</x:v>
      </x:c>
      <x:c r="H1044" t="str">
        <x:f>IF(D1044="NO",IF(C1044="SÍ","FERIADO","FIN DE SEMANA"),"LABORABLE")&amp;IF(F1044="SÍ"," + CIERRE","")</x:f>
        <x:v>LABORABLE</x:v>
      </x:c>
      <x:c r="I1044" t="str">
        <x:f>TEXT(G1044,"yyyy-mm")</x:f>
        <x:v>2027-11</x:v>
      </x:c>
    </x:row>
    <x:row r="1045" ht="19" customHeight="1">
      <x:c r="A1045" s="2" t="n">
        <x:v>46701</x:v>
      </x:c>
      <x:c r="B1045" t="str">
        <x:f>CHOOSE(WEEKDAY(A1045,2),"Lunes","Martes","Miércoles","Jueves","Viernes","Sábado","Domingo")</x:f>
        <x:v>Miércoles</x:v>
      </x:c>
      <x:c r="C1045" t="str">
        <x:f>IF(COUNTIF(FERIADOS!$A$2:$A$250,A1045)&gt;0,"SÍ","NO")</x:f>
        <x:v>NO</x:v>
      </x:c>
      <x:c r="D1045" t="str">
        <x:f>IF(AND(WEEKDAY(A1045,2)&lt;=5,C1045="NO"),"SÍ","NO")</x:f>
        <x:v>SÍ</x:v>
      </x:c>
      <x:c r="E1045" s="2" t="n">
        <x:f>WORKDAY.INTL(A1045-1,1,1,FERIADOS!$A$2:$A$250)</x:f>
        <x:v>46701</x:v>
      </x:c>
      <x:c r="F1045" t="str">
        <x:f>IF(E1045&gt;=WORKDAY.INTL(EOMONTH(E1045,0)+1,-2,1,FERIADOS!$A$2:$A$250),"SÍ","NO")</x:f>
        <x:v>NO</x:v>
      </x:c>
      <x:c r="G1045" s="10" t="n">
        <x:f>IF(F1045="SÍ",EOMONTH(E1045,0)+1,DATE(YEAR(E1045),MONTH(E1045),1))</x:f>
        <x:v>46692</x:v>
      </x:c>
      <x:c r="H1045" t="str">
        <x:f>IF(D1045="NO",IF(C1045="SÍ","FERIADO","FIN DE SEMANA"),"LABORABLE")&amp;IF(F1045="SÍ"," + CIERRE","")</x:f>
        <x:v>LABORABLE</x:v>
      </x:c>
      <x:c r="I1045" t="str">
        <x:f>TEXT(G1045,"yyyy-mm")</x:f>
        <x:v>2027-11</x:v>
      </x:c>
    </x:row>
    <x:row r="1046" ht="19" customHeight="1">
      <x:c r="A1046" s="2" t="n">
        <x:v>46702</x:v>
      </x:c>
      <x:c r="B1046" t="str">
        <x:f>CHOOSE(WEEKDAY(A1046,2),"Lunes","Martes","Miércoles","Jueves","Viernes","Sábado","Domingo")</x:f>
        <x:v>Jueves</x:v>
      </x:c>
      <x:c r="C1046" t="str">
        <x:f>IF(COUNTIF(FERIADOS!$A$2:$A$250,A1046)&gt;0,"SÍ","NO")</x:f>
        <x:v>NO</x:v>
      </x:c>
      <x:c r="D1046" t="str">
        <x:f>IF(AND(WEEKDAY(A1046,2)&lt;=5,C1046="NO"),"SÍ","NO")</x:f>
        <x:v>SÍ</x:v>
      </x:c>
      <x:c r="E1046" s="2" t="n">
        <x:f>WORKDAY.INTL(A1046-1,1,1,FERIADOS!$A$2:$A$250)</x:f>
        <x:v>46702</x:v>
      </x:c>
      <x:c r="F1046" t="str">
        <x:f>IF(E1046&gt;=WORKDAY.INTL(EOMONTH(E1046,0)+1,-2,1,FERIADOS!$A$2:$A$250),"SÍ","NO")</x:f>
        <x:v>NO</x:v>
      </x:c>
      <x:c r="G1046" s="10" t="n">
        <x:f>IF(F1046="SÍ",EOMONTH(E1046,0)+1,DATE(YEAR(E1046),MONTH(E1046),1))</x:f>
        <x:v>46692</x:v>
      </x:c>
      <x:c r="H1046" t="str">
        <x:f>IF(D1046="NO",IF(C1046="SÍ","FERIADO","FIN DE SEMANA"),"LABORABLE")&amp;IF(F1046="SÍ"," + CIERRE","")</x:f>
        <x:v>LABORABLE</x:v>
      </x:c>
      <x:c r="I1046" t="str">
        <x:f>TEXT(G1046,"yyyy-mm")</x:f>
        <x:v>2027-11</x:v>
      </x:c>
    </x:row>
    <x:row r="1047" ht="19" customHeight="1">
      <x:c r="A1047" s="2" t="n">
        <x:v>46703</x:v>
      </x:c>
      <x:c r="B1047" t="str">
        <x:f>CHOOSE(WEEKDAY(A1047,2),"Lunes","Martes","Miércoles","Jueves","Viernes","Sábado","Domingo")</x:f>
        <x:v>Viernes</x:v>
      </x:c>
      <x:c r="C1047" t="str">
        <x:f>IF(COUNTIF(FERIADOS!$A$2:$A$250,A1047)&gt;0,"SÍ","NO")</x:f>
        <x:v>NO</x:v>
      </x:c>
      <x:c r="D1047" t="str">
        <x:f>IF(AND(WEEKDAY(A1047,2)&lt;=5,C1047="NO"),"SÍ","NO")</x:f>
        <x:v>SÍ</x:v>
      </x:c>
      <x:c r="E1047" s="2" t="n">
        <x:f>WORKDAY.INTL(A1047-1,1,1,FERIADOS!$A$2:$A$250)</x:f>
        <x:v>46703</x:v>
      </x:c>
      <x:c r="F1047" t="str">
        <x:f>IF(E1047&gt;=WORKDAY.INTL(EOMONTH(E1047,0)+1,-2,1,FERIADOS!$A$2:$A$250),"SÍ","NO")</x:f>
        <x:v>NO</x:v>
      </x:c>
      <x:c r="G1047" s="10" t="n">
        <x:f>IF(F1047="SÍ",EOMONTH(E1047,0)+1,DATE(YEAR(E1047),MONTH(E1047),1))</x:f>
        <x:v>46692</x:v>
      </x:c>
      <x:c r="H1047" t="str">
        <x:f>IF(D1047="NO",IF(C1047="SÍ","FERIADO","FIN DE SEMANA"),"LABORABLE")&amp;IF(F1047="SÍ"," + CIERRE","")</x:f>
        <x:v>LABORABLE</x:v>
      </x:c>
      <x:c r="I1047" t="str">
        <x:f>TEXT(G1047,"yyyy-mm")</x:f>
        <x:v>2027-11</x:v>
      </x:c>
    </x:row>
    <x:row r="1048" ht="19" customHeight="1">
      <x:c r="A1048" s="2" t="n">
        <x:v>46704</x:v>
      </x:c>
      <x:c r="B1048" t="str">
        <x:f>CHOOSE(WEEKDAY(A1048,2),"Lunes","Martes","Miércoles","Jueves","Viernes","Sábado","Domingo")</x:f>
        <x:v>Sábado</x:v>
      </x:c>
      <x:c r="C1048" t="str">
        <x:f>IF(COUNTIF(FERIADOS!$A$2:$A$250,A1048)&gt;0,"SÍ","NO")</x:f>
        <x:v>NO</x:v>
      </x:c>
      <x:c r="D1048" t="str">
        <x:f>IF(AND(WEEKDAY(A1048,2)&lt;=5,C1048="NO"),"SÍ","NO")</x:f>
        <x:v>NO</x:v>
      </x:c>
      <x:c r="E1048" s="2" t="n">
        <x:f>WORKDAY.INTL(A1048-1,1,1,FERIADOS!$A$2:$A$250)</x:f>
        <x:v>46706</x:v>
      </x:c>
      <x:c r="F1048" t="str">
        <x:f>IF(E1048&gt;=WORKDAY.INTL(EOMONTH(E1048,0)+1,-2,1,FERIADOS!$A$2:$A$250),"SÍ","NO")</x:f>
        <x:v>NO</x:v>
      </x:c>
      <x:c r="G1048" s="10" t="n">
        <x:f>IF(F1048="SÍ",EOMONTH(E1048,0)+1,DATE(YEAR(E1048),MONTH(E1048),1))</x:f>
        <x:v>46692</x:v>
      </x:c>
      <x:c r="H1048" t="str">
        <x:f>IF(D1048="NO",IF(C1048="SÍ","FERIADO","FIN DE SEMANA"),"LABORABLE")&amp;IF(F1048="SÍ"," + CIERRE","")</x:f>
        <x:v>FIN DE SEMANA</x:v>
      </x:c>
      <x:c r="I1048" t="str">
        <x:f>TEXT(G1048,"yyyy-mm")</x:f>
        <x:v>2027-11</x:v>
      </x:c>
    </x:row>
    <x:row r="1049" ht="19" customHeight="1">
      <x:c r="A1049" s="2" t="n">
        <x:v>46705</x:v>
      </x:c>
      <x:c r="B1049" t="str">
        <x:f>CHOOSE(WEEKDAY(A1049,2),"Lunes","Martes","Miércoles","Jueves","Viernes","Sábado","Domingo")</x:f>
        <x:v>Domingo</x:v>
      </x:c>
      <x:c r="C1049" t="str">
        <x:f>IF(COUNTIF(FERIADOS!$A$2:$A$250,A1049)&gt;0,"SÍ","NO")</x:f>
        <x:v>NO</x:v>
      </x:c>
      <x:c r="D1049" t="str">
        <x:f>IF(AND(WEEKDAY(A1049,2)&lt;=5,C1049="NO"),"SÍ","NO")</x:f>
        <x:v>NO</x:v>
      </x:c>
      <x:c r="E1049" s="2" t="n">
        <x:f>WORKDAY.INTL(A1049-1,1,1,FERIADOS!$A$2:$A$250)</x:f>
        <x:v>46706</x:v>
      </x:c>
      <x:c r="F1049" t="str">
        <x:f>IF(E1049&gt;=WORKDAY.INTL(EOMONTH(E1049,0)+1,-2,1,FERIADOS!$A$2:$A$250),"SÍ","NO")</x:f>
        <x:v>NO</x:v>
      </x:c>
      <x:c r="G1049" s="10" t="n">
        <x:f>IF(F1049="SÍ",EOMONTH(E1049,0)+1,DATE(YEAR(E1049),MONTH(E1049),1))</x:f>
        <x:v>46692</x:v>
      </x:c>
      <x:c r="H1049" t="str">
        <x:f>IF(D1049="NO",IF(C1049="SÍ","FERIADO","FIN DE SEMANA"),"LABORABLE")&amp;IF(F1049="SÍ"," + CIERRE","")</x:f>
        <x:v>FIN DE SEMANA</x:v>
      </x:c>
      <x:c r="I1049" t="str">
        <x:f>TEXT(G1049,"yyyy-mm")</x:f>
        <x:v>2027-11</x:v>
      </x:c>
    </x:row>
    <x:row r="1050" ht="19" customHeight="1">
      <x:c r="A1050" s="2" t="n">
        <x:v>46706</x:v>
      </x:c>
      <x:c r="B1050" t="str">
        <x:f>CHOOSE(WEEKDAY(A1050,2),"Lunes","Martes","Miércoles","Jueves","Viernes","Sábado","Domingo")</x:f>
        <x:v>Lunes</x:v>
      </x:c>
      <x:c r="C1050" t="str">
        <x:f>IF(COUNTIF(FERIADOS!$A$2:$A$250,A1050)&gt;0,"SÍ","NO")</x:f>
        <x:v>NO</x:v>
      </x:c>
      <x:c r="D1050" t="str">
        <x:f>IF(AND(WEEKDAY(A1050,2)&lt;=5,C1050="NO"),"SÍ","NO")</x:f>
        <x:v>SÍ</x:v>
      </x:c>
      <x:c r="E1050" s="2" t="n">
        <x:f>WORKDAY.INTL(A1050-1,1,1,FERIADOS!$A$2:$A$250)</x:f>
        <x:v>46706</x:v>
      </x:c>
      <x:c r="F1050" t="str">
        <x:f>IF(E1050&gt;=WORKDAY.INTL(EOMONTH(E1050,0)+1,-2,1,FERIADOS!$A$2:$A$250),"SÍ","NO")</x:f>
        <x:v>NO</x:v>
      </x:c>
      <x:c r="G1050" s="10" t="n">
        <x:f>IF(F1050="SÍ",EOMONTH(E1050,0)+1,DATE(YEAR(E1050),MONTH(E1050),1))</x:f>
        <x:v>46692</x:v>
      </x:c>
      <x:c r="H1050" t="str">
        <x:f>IF(D1050="NO",IF(C1050="SÍ","FERIADO","FIN DE SEMANA"),"LABORABLE")&amp;IF(F1050="SÍ"," + CIERRE","")</x:f>
        <x:v>LABORABLE</x:v>
      </x:c>
      <x:c r="I1050" t="str">
        <x:f>TEXT(G1050,"yyyy-mm")</x:f>
        <x:v>2027-11</x:v>
      </x:c>
    </x:row>
    <x:row r="1051" ht="19" customHeight="1">
      <x:c r="A1051" s="2" t="n">
        <x:v>46707</x:v>
      </x:c>
      <x:c r="B1051" t="str">
        <x:f>CHOOSE(WEEKDAY(A1051,2),"Lunes","Martes","Miércoles","Jueves","Viernes","Sábado","Domingo")</x:f>
        <x:v>Martes</x:v>
      </x:c>
      <x:c r="C1051" t="str">
        <x:f>IF(COUNTIF(FERIADOS!$A$2:$A$250,A1051)&gt;0,"SÍ","NO")</x:f>
        <x:v>NO</x:v>
      </x:c>
      <x:c r="D1051" t="str">
        <x:f>IF(AND(WEEKDAY(A1051,2)&lt;=5,C1051="NO"),"SÍ","NO")</x:f>
        <x:v>SÍ</x:v>
      </x:c>
      <x:c r="E1051" s="2" t="n">
        <x:f>WORKDAY.INTL(A1051-1,1,1,FERIADOS!$A$2:$A$250)</x:f>
        <x:v>46707</x:v>
      </x:c>
      <x:c r="F1051" t="str">
        <x:f>IF(E1051&gt;=WORKDAY.INTL(EOMONTH(E1051,0)+1,-2,1,FERIADOS!$A$2:$A$250),"SÍ","NO")</x:f>
        <x:v>NO</x:v>
      </x:c>
      <x:c r="G1051" s="10" t="n">
        <x:f>IF(F1051="SÍ",EOMONTH(E1051,0)+1,DATE(YEAR(E1051),MONTH(E1051),1))</x:f>
        <x:v>46692</x:v>
      </x:c>
      <x:c r="H1051" t="str">
        <x:f>IF(D1051="NO",IF(C1051="SÍ","FERIADO","FIN DE SEMANA"),"LABORABLE")&amp;IF(F1051="SÍ"," + CIERRE","")</x:f>
        <x:v>LABORABLE</x:v>
      </x:c>
      <x:c r="I1051" t="str">
        <x:f>TEXT(G1051,"yyyy-mm")</x:f>
        <x:v>2027-11</x:v>
      </x:c>
    </x:row>
    <x:row r="1052" ht="19" customHeight="1">
      <x:c r="A1052" s="2" t="n">
        <x:v>46708</x:v>
      </x:c>
      <x:c r="B1052" t="str">
        <x:f>CHOOSE(WEEKDAY(A1052,2),"Lunes","Martes","Miércoles","Jueves","Viernes","Sábado","Domingo")</x:f>
        <x:v>Miércoles</x:v>
      </x:c>
      <x:c r="C1052" t="str">
        <x:f>IF(COUNTIF(FERIADOS!$A$2:$A$250,A1052)&gt;0,"SÍ","NO")</x:f>
        <x:v>NO</x:v>
      </x:c>
      <x:c r="D1052" t="str">
        <x:f>IF(AND(WEEKDAY(A1052,2)&lt;=5,C1052="NO"),"SÍ","NO")</x:f>
        <x:v>SÍ</x:v>
      </x:c>
      <x:c r="E1052" s="2" t="n">
        <x:f>WORKDAY.INTL(A1052-1,1,1,FERIADOS!$A$2:$A$250)</x:f>
        <x:v>46708</x:v>
      </x:c>
      <x:c r="F1052" t="str">
        <x:f>IF(E1052&gt;=WORKDAY.INTL(EOMONTH(E1052,0)+1,-2,1,FERIADOS!$A$2:$A$250),"SÍ","NO")</x:f>
        <x:v>NO</x:v>
      </x:c>
      <x:c r="G1052" s="10" t="n">
        <x:f>IF(F1052="SÍ",EOMONTH(E1052,0)+1,DATE(YEAR(E1052),MONTH(E1052),1))</x:f>
        <x:v>46692</x:v>
      </x:c>
      <x:c r="H1052" t="str">
        <x:f>IF(D1052="NO",IF(C1052="SÍ","FERIADO","FIN DE SEMANA"),"LABORABLE")&amp;IF(F1052="SÍ"," + CIERRE","")</x:f>
        <x:v>LABORABLE</x:v>
      </x:c>
      <x:c r="I1052" t="str">
        <x:f>TEXT(G1052,"yyyy-mm")</x:f>
        <x:v>2027-11</x:v>
      </x:c>
    </x:row>
    <x:row r="1053" ht="19" customHeight="1">
      <x:c r="A1053" s="2" t="n">
        <x:v>46709</x:v>
      </x:c>
      <x:c r="B1053" t="str">
        <x:f>CHOOSE(WEEKDAY(A1053,2),"Lunes","Martes","Miércoles","Jueves","Viernes","Sábado","Domingo")</x:f>
        <x:v>Jueves</x:v>
      </x:c>
      <x:c r="C1053" t="str">
        <x:f>IF(COUNTIF(FERIADOS!$A$2:$A$250,A1053)&gt;0,"SÍ","NO")</x:f>
        <x:v>NO</x:v>
      </x:c>
      <x:c r="D1053" t="str">
        <x:f>IF(AND(WEEKDAY(A1053,2)&lt;=5,C1053="NO"),"SÍ","NO")</x:f>
        <x:v>SÍ</x:v>
      </x:c>
      <x:c r="E1053" s="2" t="n">
        <x:f>WORKDAY.INTL(A1053-1,1,1,FERIADOS!$A$2:$A$250)</x:f>
        <x:v>46709</x:v>
      </x:c>
      <x:c r="F1053" t="str">
        <x:f>IF(E1053&gt;=WORKDAY.INTL(EOMONTH(E1053,0)+1,-2,1,FERIADOS!$A$2:$A$250),"SÍ","NO")</x:f>
        <x:v>NO</x:v>
      </x:c>
      <x:c r="G1053" s="10" t="n">
        <x:f>IF(F1053="SÍ",EOMONTH(E1053,0)+1,DATE(YEAR(E1053),MONTH(E1053),1))</x:f>
        <x:v>46692</x:v>
      </x:c>
      <x:c r="H1053" t="str">
        <x:f>IF(D1053="NO",IF(C1053="SÍ","FERIADO","FIN DE SEMANA"),"LABORABLE")&amp;IF(F1053="SÍ"," + CIERRE","")</x:f>
        <x:v>LABORABLE</x:v>
      </x:c>
      <x:c r="I1053" t="str">
        <x:f>TEXT(G1053,"yyyy-mm")</x:f>
        <x:v>2027-11</x:v>
      </x:c>
    </x:row>
    <x:row r="1054" ht="19" customHeight="1">
      <x:c r="A1054" s="2" t="n">
        <x:v>46710</x:v>
      </x:c>
      <x:c r="B1054" t="str">
        <x:f>CHOOSE(WEEKDAY(A1054,2),"Lunes","Martes","Miércoles","Jueves","Viernes","Sábado","Domingo")</x:f>
        <x:v>Viernes</x:v>
      </x:c>
      <x:c r="C1054" t="str">
        <x:f>IF(COUNTIF(FERIADOS!$A$2:$A$250,A1054)&gt;0,"SÍ","NO")</x:f>
        <x:v>NO</x:v>
      </x:c>
      <x:c r="D1054" t="str">
        <x:f>IF(AND(WEEKDAY(A1054,2)&lt;=5,C1054="NO"),"SÍ","NO")</x:f>
        <x:v>SÍ</x:v>
      </x:c>
      <x:c r="E1054" s="2" t="n">
        <x:f>WORKDAY.INTL(A1054-1,1,1,FERIADOS!$A$2:$A$250)</x:f>
        <x:v>46710</x:v>
      </x:c>
      <x:c r="F1054" t="str">
        <x:f>IF(E1054&gt;=WORKDAY.INTL(EOMONTH(E1054,0)+1,-2,1,FERIADOS!$A$2:$A$250),"SÍ","NO")</x:f>
        <x:v>NO</x:v>
      </x:c>
      <x:c r="G1054" s="10" t="n">
        <x:f>IF(F1054="SÍ",EOMONTH(E1054,0)+1,DATE(YEAR(E1054),MONTH(E1054),1))</x:f>
        <x:v>46692</x:v>
      </x:c>
      <x:c r="H1054" t="str">
        <x:f>IF(D1054="NO",IF(C1054="SÍ","FERIADO","FIN DE SEMANA"),"LABORABLE")&amp;IF(F1054="SÍ"," + CIERRE","")</x:f>
        <x:v>LABORABLE</x:v>
      </x:c>
      <x:c r="I1054" t="str">
        <x:f>TEXT(G1054,"yyyy-mm")</x:f>
        <x:v>2027-11</x:v>
      </x:c>
    </x:row>
    <x:row r="1055" ht="19" customHeight="1">
      <x:c r="A1055" s="2" t="n">
        <x:v>46711</x:v>
      </x:c>
      <x:c r="B1055" t="str">
        <x:f>CHOOSE(WEEKDAY(A1055,2),"Lunes","Martes","Miércoles","Jueves","Viernes","Sábado","Domingo")</x:f>
        <x:v>Sábado</x:v>
      </x:c>
      <x:c r="C1055" t="str">
        <x:f>IF(COUNTIF(FERIADOS!$A$2:$A$250,A1055)&gt;0,"SÍ","NO")</x:f>
        <x:v>NO</x:v>
      </x:c>
      <x:c r="D1055" t="str">
        <x:f>IF(AND(WEEKDAY(A1055,2)&lt;=5,C1055="NO"),"SÍ","NO")</x:f>
        <x:v>NO</x:v>
      </x:c>
      <x:c r="E1055" s="2" t="n">
        <x:f>WORKDAY.INTL(A1055-1,1,1,FERIADOS!$A$2:$A$250)</x:f>
        <x:v>46713</x:v>
      </x:c>
      <x:c r="F1055" t="str">
        <x:f>IF(E1055&gt;=WORKDAY.INTL(EOMONTH(E1055,0)+1,-2,1,FERIADOS!$A$2:$A$250),"SÍ","NO")</x:f>
        <x:v>NO</x:v>
      </x:c>
      <x:c r="G1055" s="10" t="n">
        <x:f>IF(F1055="SÍ",EOMONTH(E1055,0)+1,DATE(YEAR(E1055),MONTH(E1055),1))</x:f>
        <x:v>46692</x:v>
      </x:c>
      <x:c r="H1055" t="str">
        <x:f>IF(D1055="NO",IF(C1055="SÍ","FERIADO","FIN DE SEMANA"),"LABORABLE")&amp;IF(F1055="SÍ"," + CIERRE","")</x:f>
        <x:v>FIN DE SEMANA</x:v>
      </x:c>
      <x:c r="I1055" t="str">
        <x:f>TEXT(G1055,"yyyy-mm")</x:f>
        <x:v>2027-11</x:v>
      </x:c>
    </x:row>
    <x:row r="1056" ht="19" customHeight="1">
      <x:c r="A1056" s="2" t="n">
        <x:v>46712</x:v>
      </x:c>
      <x:c r="B1056" t="str">
        <x:f>CHOOSE(WEEKDAY(A1056,2),"Lunes","Martes","Miércoles","Jueves","Viernes","Sábado","Domingo")</x:f>
        <x:v>Domingo</x:v>
      </x:c>
      <x:c r="C1056" t="str">
        <x:f>IF(COUNTIF(FERIADOS!$A$2:$A$250,A1056)&gt;0,"SÍ","NO")</x:f>
        <x:v>NO</x:v>
      </x:c>
      <x:c r="D1056" t="str">
        <x:f>IF(AND(WEEKDAY(A1056,2)&lt;=5,C1056="NO"),"SÍ","NO")</x:f>
        <x:v>NO</x:v>
      </x:c>
      <x:c r="E1056" s="2" t="n">
        <x:f>WORKDAY.INTL(A1056-1,1,1,FERIADOS!$A$2:$A$250)</x:f>
        <x:v>46713</x:v>
      </x:c>
      <x:c r="F1056" t="str">
        <x:f>IF(E1056&gt;=WORKDAY.INTL(EOMONTH(E1056,0)+1,-2,1,FERIADOS!$A$2:$A$250),"SÍ","NO")</x:f>
        <x:v>NO</x:v>
      </x:c>
      <x:c r="G1056" s="10" t="n">
        <x:f>IF(F1056="SÍ",EOMONTH(E1056,0)+1,DATE(YEAR(E1056),MONTH(E1056),1))</x:f>
        <x:v>46692</x:v>
      </x:c>
      <x:c r="H1056" t="str">
        <x:f>IF(D1056="NO",IF(C1056="SÍ","FERIADO","FIN DE SEMANA"),"LABORABLE")&amp;IF(F1056="SÍ"," + CIERRE","")</x:f>
        <x:v>FIN DE SEMANA</x:v>
      </x:c>
      <x:c r="I1056" t="str">
        <x:f>TEXT(G1056,"yyyy-mm")</x:f>
        <x:v>2027-11</x:v>
      </x:c>
    </x:row>
    <x:row r="1057" ht="19" customHeight="1">
      <x:c r="A1057" s="2" t="n">
        <x:v>46713</x:v>
      </x:c>
      <x:c r="B1057" t="str">
        <x:f>CHOOSE(WEEKDAY(A1057,2),"Lunes","Martes","Miércoles","Jueves","Viernes","Sábado","Domingo")</x:f>
        <x:v>Lunes</x:v>
      </x:c>
      <x:c r="C1057" t="str">
        <x:f>IF(COUNTIF(FERIADOS!$A$2:$A$250,A1057)&gt;0,"SÍ","NO")</x:f>
        <x:v>NO</x:v>
      </x:c>
      <x:c r="D1057" t="str">
        <x:f>IF(AND(WEEKDAY(A1057,2)&lt;=5,C1057="NO"),"SÍ","NO")</x:f>
        <x:v>SÍ</x:v>
      </x:c>
      <x:c r="E1057" s="2" t="n">
        <x:f>WORKDAY.INTL(A1057-1,1,1,FERIADOS!$A$2:$A$250)</x:f>
        <x:v>46713</x:v>
      </x:c>
      <x:c r="F1057" t="str">
        <x:f>IF(E1057&gt;=WORKDAY.INTL(EOMONTH(E1057,0)+1,-2,1,FERIADOS!$A$2:$A$250),"SÍ","NO")</x:f>
        <x:v>NO</x:v>
      </x:c>
      <x:c r="G1057" s="10" t="n">
        <x:f>IF(F1057="SÍ",EOMONTH(E1057,0)+1,DATE(YEAR(E1057),MONTH(E1057),1))</x:f>
        <x:v>46692</x:v>
      </x:c>
      <x:c r="H1057" t="str">
        <x:f>IF(D1057="NO",IF(C1057="SÍ","FERIADO","FIN DE SEMANA"),"LABORABLE")&amp;IF(F1057="SÍ"," + CIERRE","")</x:f>
        <x:v>LABORABLE</x:v>
      </x:c>
      <x:c r="I1057" t="str">
        <x:f>TEXT(G1057,"yyyy-mm")</x:f>
        <x:v>2027-11</x:v>
      </x:c>
    </x:row>
    <x:row r="1058" ht="19" customHeight="1">
      <x:c r="A1058" s="2" t="n">
        <x:v>46714</x:v>
      </x:c>
      <x:c r="B1058" t="str">
        <x:f>CHOOSE(WEEKDAY(A1058,2),"Lunes","Martes","Miércoles","Jueves","Viernes","Sábado","Domingo")</x:f>
        <x:v>Martes</x:v>
      </x:c>
      <x:c r="C1058" t="str">
        <x:f>IF(COUNTIF(FERIADOS!$A$2:$A$250,A1058)&gt;0,"SÍ","NO")</x:f>
        <x:v>NO</x:v>
      </x:c>
      <x:c r="D1058" t="str">
        <x:f>IF(AND(WEEKDAY(A1058,2)&lt;=5,C1058="NO"),"SÍ","NO")</x:f>
        <x:v>SÍ</x:v>
      </x:c>
      <x:c r="E1058" s="2" t="n">
        <x:f>WORKDAY.INTL(A1058-1,1,1,FERIADOS!$A$2:$A$250)</x:f>
        <x:v>46714</x:v>
      </x:c>
      <x:c r="F1058" t="str">
        <x:f>IF(E1058&gt;=WORKDAY.INTL(EOMONTH(E1058,0)+1,-2,1,FERIADOS!$A$2:$A$250),"SÍ","NO")</x:f>
        <x:v>NO</x:v>
      </x:c>
      <x:c r="G1058" s="10" t="n">
        <x:f>IF(F1058="SÍ",EOMONTH(E1058,0)+1,DATE(YEAR(E1058),MONTH(E1058),1))</x:f>
        <x:v>46692</x:v>
      </x:c>
      <x:c r="H1058" t="str">
        <x:f>IF(D1058="NO",IF(C1058="SÍ","FERIADO","FIN DE SEMANA"),"LABORABLE")&amp;IF(F1058="SÍ"," + CIERRE","")</x:f>
        <x:v>LABORABLE</x:v>
      </x:c>
      <x:c r="I1058" t="str">
        <x:f>TEXT(G1058,"yyyy-mm")</x:f>
        <x:v>2027-11</x:v>
      </x:c>
    </x:row>
    <x:row r="1059" ht="19" customHeight="1">
      <x:c r="A1059" s="2" t="n">
        <x:v>46715</x:v>
      </x:c>
      <x:c r="B1059" t="str">
        <x:f>CHOOSE(WEEKDAY(A1059,2),"Lunes","Martes","Miércoles","Jueves","Viernes","Sábado","Domingo")</x:f>
        <x:v>Miércoles</x:v>
      </x:c>
      <x:c r="C1059" t="str">
        <x:f>IF(COUNTIF(FERIADOS!$A$2:$A$250,A1059)&gt;0,"SÍ","NO")</x:f>
        <x:v>NO</x:v>
      </x:c>
      <x:c r="D1059" t="str">
        <x:f>IF(AND(WEEKDAY(A1059,2)&lt;=5,C1059="NO"),"SÍ","NO")</x:f>
        <x:v>SÍ</x:v>
      </x:c>
      <x:c r="E1059" s="2" t="n">
        <x:f>WORKDAY.INTL(A1059-1,1,1,FERIADOS!$A$2:$A$250)</x:f>
        <x:v>46715</x:v>
      </x:c>
      <x:c r="F1059" t="str">
        <x:f>IF(E1059&gt;=WORKDAY.INTL(EOMONTH(E1059,0)+1,-2,1,FERIADOS!$A$2:$A$250),"SÍ","NO")</x:f>
        <x:v>NO</x:v>
      </x:c>
      <x:c r="G1059" s="10" t="n">
        <x:f>IF(F1059="SÍ",EOMONTH(E1059,0)+1,DATE(YEAR(E1059),MONTH(E1059),1))</x:f>
        <x:v>46692</x:v>
      </x:c>
      <x:c r="H1059" t="str">
        <x:f>IF(D1059="NO",IF(C1059="SÍ","FERIADO","FIN DE SEMANA"),"LABORABLE")&amp;IF(F1059="SÍ"," + CIERRE","")</x:f>
        <x:v>LABORABLE</x:v>
      </x:c>
      <x:c r="I1059" t="str">
        <x:f>TEXT(G1059,"yyyy-mm")</x:f>
        <x:v>2027-11</x:v>
      </x:c>
    </x:row>
    <x:row r="1060" ht="19" customHeight="1">
      <x:c r="A1060" s="2" t="n">
        <x:v>46716</x:v>
      </x:c>
      <x:c r="B1060" t="str">
        <x:f>CHOOSE(WEEKDAY(A1060,2),"Lunes","Martes","Miércoles","Jueves","Viernes","Sábado","Domingo")</x:f>
        <x:v>Jueves</x:v>
      </x:c>
      <x:c r="C1060" t="str">
        <x:f>IF(COUNTIF(FERIADOS!$A$2:$A$250,A1060)&gt;0,"SÍ","NO")</x:f>
        <x:v>NO</x:v>
      </x:c>
      <x:c r="D1060" t="str">
        <x:f>IF(AND(WEEKDAY(A1060,2)&lt;=5,C1060="NO"),"SÍ","NO")</x:f>
        <x:v>SÍ</x:v>
      </x:c>
      <x:c r="E1060" s="2" t="n">
        <x:f>WORKDAY.INTL(A1060-1,1,1,FERIADOS!$A$2:$A$250)</x:f>
        <x:v>46716</x:v>
      </x:c>
      <x:c r="F1060" t="str">
        <x:f>IF(E1060&gt;=WORKDAY.INTL(EOMONTH(E1060,0)+1,-2,1,FERIADOS!$A$2:$A$250),"SÍ","NO")</x:f>
        <x:v>NO</x:v>
      </x:c>
      <x:c r="G1060" s="10" t="n">
        <x:f>IF(F1060="SÍ",EOMONTH(E1060,0)+1,DATE(YEAR(E1060),MONTH(E1060),1))</x:f>
        <x:v>46692</x:v>
      </x:c>
      <x:c r="H1060" t="str">
        <x:f>IF(D1060="NO",IF(C1060="SÍ","FERIADO","FIN DE SEMANA"),"LABORABLE")&amp;IF(F1060="SÍ"," + CIERRE","")</x:f>
        <x:v>LABORABLE</x:v>
      </x:c>
      <x:c r="I1060" t="str">
        <x:f>TEXT(G1060,"yyyy-mm")</x:f>
        <x:v>2027-11</x:v>
      </x:c>
    </x:row>
    <x:row r="1061" ht="19" customHeight="1">
      <x:c r="A1061" s="2" t="n">
        <x:v>46717</x:v>
      </x:c>
      <x:c r="B1061" t="str">
        <x:f>CHOOSE(WEEKDAY(A1061,2),"Lunes","Martes","Miércoles","Jueves","Viernes","Sábado","Domingo")</x:f>
        <x:v>Viernes</x:v>
      </x:c>
      <x:c r="C1061" t="str">
        <x:f>IF(COUNTIF(FERIADOS!$A$2:$A$250,A1061)&gt;0,"SÍ","NO")</x:f>
        <x:v>NO</x:v>
      </x:c>
      <x:c r="D1061" t="str">
        <x:f>IF(AND(WEEKDAY(A1061,2)&lt;=5,C1061="NO"),"SÍ","NO")</x:f>
        <x:v>SÍ</x:v>
      </x:c>
      <x:c r="E1061" s="2" t="n">
        <x:f>WORKDAY.INTL(A1061-1,1,1,FERIADOS!$A$2:$A$250)</x:f>
        <x:v>46717</x:v>
      </x:c>
      <x:c r="F1061" t="str">
        <x:f>IF(E1061&gt;=WORKDAY.INTL(EOMONTH(E1061,0)+1,-2,1,FERIADOS!$A$2:$A$250),"SÍ","NO")</x:f>
        <x:v>NO</x:v>
      </x:c>
      <x:c r="G1061" s="10" t="n">
        <x:f>IF(F1061="SÍ",EOMONTH(E1061,0)+1,DATE(YEAR(E1061),MONTH(E1061),1))</x:f>
        <x:v>46692</x:v>
      </x:c>
      <x:c r="H1061" t="str">
        <x:f>IF(D1061="NO",IF(C1061="SÍ","FERIADO","FIN DE SEMANA"),"LABORABLE")&amp;IF(F1061="SÍ"," + CIERRE","")</x:f>
        <x:v>LABORABLE</x:v>
      </x:c>
      <x:c r="I1061" t="str">
        <x:f>TEXT(G1061,"yyyy-mm")</x:f>
        <x:v>2027-11</x:v>
      </x:c>
    </x:row>
    <x:row r="1062" ht="19" customHeight="1">
      <x:c r="A1062" s="2" t="n">
        <x:v>46718</x:v>
      </x:c>
      <x:c r="B1062" t="str">
        <x:f>CHOOSE(WEEKDAY(A1062,2),"Lunes","Martes","Miércoles","Jueves","Viernes","Sábado","Domingo")</x:f>
        <x:v>Sábado</x:v>
      </x:c>
      <x:c r="C1062" t="str">
        <x:f>IF(COUNTIF(FERIADOS!$A$2:$A$250,A1062)&gt;0,"SÍ","NO")</x:f>
        <x:v>NO</x:v>
      </x:c>
      <x:c r="D1062" t="str">
        <x:f>IF(AND(WEEKDAY(A1062,2)&lt;=5,C1062="NO"),"SÍ","NO")</x:f>
        <x:v>NO</x:v>
      </x:c>
      <x:c r="E1062" s="2" t="n">
        <x:f>WORKDAY.INTL(A1062-1,1,1,FERIADOS!$A$2:$A$250)</x:f>
        <x:v>46720</x:v>
      </x:c>
      <x:c r="F1062" t="str">
        <x:f>IF(E1062&gt;=WORKDAY.INTL(EOMONTH(E1062,0)+1,-2,1,FERIADOS!$A$2:$A$250),"SÍ","NO")</x:f>
        <x:v>SÍ</x:v>
      </x:c>
      <x:c r="G1062" s="10" t="n">
        <x:f>IF(F1062="SÍ",EOMONTH(E1062,0)+1,DATE(YEAR(E1062),MONTH(E1062),1))</x:f>
        <x:v>46722</x:v>
      </x:c>
      <x:c r="H1062" t="str">
        <x:f>IF(D1062="NO",IF(C1062="SÍ","FERIADO","FIN DE SEMANA"),"LABORABLE")&amp;IF(F1062="SÍ"," + CIERRE","")</x:f>
        <x:v>FIN DE SEMANA + CIERRE</x:v>
      </x:c>
      <x:c r="I1062" t="str">
        <x:f>TEXT(G1062,"yyyy-mm")</x:f>
        <x:v>2027-12</x:v>
      </x:c>
    </x:row>
    <x:row r="1063" ht="19" customHeight="1">
      <x:c r="A1063" s="2" t="n">
        <x:v>46719</x:v>
      </x:c>
      <x:c r="B1063" t="str">
        <x:f>CHOOSE(WEEKDAY(A1063,2),"Lunes","Martes","Miércoles","Jueves","Viernes","Sábado","Domingo")</x:f>
        <x:v>Domingo</x:v>
      </x:c>
      <x:c r="C1063" t="str">
        <x:f>IF(COUNTIF(FERIADOS!$A$2:$A$250,A1063)&gt;0,"SÍ","NO")</x:f>
        <x:v>NO</x:v>
      </x:c>
      <x:c r="D1063" t="str">
        <x:f>IF(AND(WEEKDAY(A1063,2)&lt;=5,C1063="NO"),"SÍ","NO")</x:f>
        <x:v>NO</x:v>
      </x:c>
      <x:c r="E1063" s="2" t="n">
        <x:f>WORKDAY.INTL(A1063-1,1,1,FERIADOS!$A$2:$A$250)</x:f>
        <x:v>46720</x:v>
      </x:c>
      <x:c r="F1063" t="str">
        <x:f>IF(E1063&gt;=WORKDAY.INTL(EOMONTH(E1063,0)+1,-2,1,FERIADOS!$A$2:$A$250),"SÍ","NO")</x:f>
        <x:v>SÍ</x:v>
      </x:c>
      <x:c r="G1063" s="10" t="n">
        <x:f>IF(F1063="SÍ",EOMONTH(E1063,0)+1,DATE(YEAR(E1063),MONTH(E1063),1))</x:f>
        <x:v>46722</x:v>
      </x:c>
      <x:c r="H1063" t="str">
        <x:f>IF(D1063="NO",IF(C1063="SÍ","FERIADO","FIN DE SEMANA"),"LABORABLE")&amp;IF(F1063="SÍ"," + CIERRE","")</x:f>
        <x:v>FIN DE SEMANA + CIERRE</x:v>
      </x:c>
      <x:c r="I1063" t="str">
        <x:f>TEXT(G1063,"yyyy-mm")</x:f>
        <x:v>2027-12</x:v>
      </x:c>
    </x:row>
    <x:row r="1064" ht="19" customHeight="1">
      <x:c r="A1064" s="2" t="n">
        <x:v>46720</x:v>
      </x:c>
      <x:c r="B1064" t="str">
        <x:f>CHOOSE(WEEKDAY(A1064,2),"Lunes","Martes","Miércoles","Jueves","Viernes","Sábado","Domingo")</x:f>
        <x:v>Lunes</x:v>
      </x:c>
      <x:c r="C1064" t="str">
        <x:f>IF(COUNTIF(FERIADOS!$A$2:$A$250,A1064)&gt;0,"SÍ","NO")</x:f>
        <x:v>NO</x:v>
      </x:c>
      <x:c r="D1064" t="str">
        <x:f>IF(AND(WEEKDAY(A1064,2)&lt;=5,C1064="NO"),"SÍ","NO")</x:f>
        <x:v>SÍ</x:v>
      </x:c>
      <x:c r="E1064" s="2" t="n">
        <x:f>WORKDAY.INTL(A1064-1,1,1,FERIADOS!$A$2:$A$250)</x:f>
        <x:v>46720</x:v>
      </x:c>
      <x:c r="F1064" t="str">
        <x:f>IF(E1064&gt;=WORKDAY.INTL(EOMONTH(E1064,0)+1,-2,1,FERIADOS!$A$2:$A$250),"SÍ","NO")</x:f>
        <x:v>SÍ</x:v>
      </x:c>
      <x:c r="G1064" s="10" t="n">
        <x:f>IF(F1064="SÍ",EOMONTH(E1064,0)+1,DATE(YEAR(E1064),MONTH(E1064),1))</x:f>
        <x:v>46722</x:v>
      </x:c>
      <x:c r="H1064" t="str">
        <x:f>IF(D1064="NO",IF(C1064="SÍ","FERIADO","FIN DE SEMANA"),"LABORABLE")&amp;IF(F1064="SÍ"," + CIERRE","")</x:f>
        <x:v>LABORABLE + CIERRE</x:v>
      </x:c>
      <x:c r="I1064" t="str">
        <x:f>TEXT(G1064,"yyyy-mm")</x:f>
        <x:v>2027-12</x:v>
      </x:c>
    </x:row>
    <x:row r="1065" ht="19" customHeight="1">
      <x:c r="A1065" s="2" t="n">
        <x:v>46721</x:v>
      </x:c>
      <x:c r="B1065" t="str">
        <x:f>CHOOSE(WEEKDAY(A1065,2),"Lunes","Martes","Miércoles","Jueves","Viernes","Sábado","Domingo")</x:f>
        <x:v>Martes</x:v>
      </x:c>
      <x:c r="C1065" t="str">
        <x:f>IF(COUNTIF(FERIADOS!$A$2:$A$250,A1065)&gt;0,"SÍ","NO")</x:f>
        <x:v>NO</x:v>
      </x:c>
      <x:c r="D1065" t="str">
        <x:f>IF(AND(WEEKDAY(A1065,2)&lt;=5,C1065="NO"),"SÍ","NO")</x:f>
        <x:v>SÍ</x:v>
      </x:c>
      <x:c r="E1065" s="2" t="n">
        <x:f>WORKDAY.INTL(A1065-1,1,1,FERIADOS!$A$2:$A$250)</x:f>
        <x:v>46721</x:v>
      </x:c>
      <x:c r="F1065" t="str">
        <x:f>IF(E1065&gt;=WORKDAY.INTL(EOMONTH(E1065,0)+1,-2,1,FERIADOS!$A$2:$A$250),"SÍ","NO")</x:f>
        <x:v>SÍ</x:v>
      </x:c>
      <x:c r="G1065" s="10" t="n">
        <x:f>IF(F1065="SÍ",EOMONTH(E1065,0)+1,DATE(YEAR(E1065),MONTH(E1065),1))</x:f>
        <x:v>46722</x:v>
      </x:c>
      <x:c r="H1065" t="str">
        <x:f>IF(D1065="NO",IF(C1065="SÍ","FERIADO","FIN DE SEMANA"),"LABORABLE")&amp;IF(F1065="SÍ"," + CIERRE","")</x:f>
        <x:v>LABORABLE + CIERRE</x:v>
      </x:c>
      <x:c r="I1065" t="str">
        <x:f>TEXT(G1065,"yyyy-mm")</x:f>
        <x:v>2027-12</x:v>
      </x:c>
    </x:row>
    <x:row r="1066" ht="19" customHeight="1">
      <x:c r="A1066" s="2" t="n">
        <x:v>46722</x:v>
      </x:c>
      <x:c r="B1066" t="str">
        <x:f>CHOOSE(WEEKDAY(A1066,2),"Lunes","Martes","Miércoles","Jueves","Viernes","Sábado","Domingo")</x:f>
        <x:v>Miércoles</x:v>
      </x:c>
      <x:c r="C1066" t="str">
        <x:f>IF(COUNTIF(FERIADOS!$A$2:$A$250,A1066)&gt;0,"SÍ","NO")</x:f>
        <x:v>NO</x:v>
      </x:c>
      <x:c r="D1066" t="str">
        <x:f>IF(AND(WEEKDAY(A1066,2)&lt;=5,C1066="NO"),"SÍ","NO")</x:f>
        <x:v>SÍ</x:v>
      </x:c>
      <x:c r="E1066" s="2" t="n">
        <x:f>WORKDAY.INTL(A1066-1,1,1,FERIADOS!$A$2:$A$250)</x:f>
        <x:v>46722</x:v>
      </x:c>
      <x:c r="F1066" t="str">
        <x:f>IF(E1066&gt;=WORKDAY.INTL(EOMONTH(E1066,0)+1,-2,1,FERIADOS!$A$2:$A$250),"SÍ","NO")</x:f>
        <x:v>NO</x:v>
      </x:c>
      <x:c r="G1066" s="10" t="n">
        <x:f>IF(F1066="SÍ",EOMONTH(E1066,0)+1,DATE(YEAR(E1066),MONTH(E1066),1))</x:f>
        <x:v>46722</x:v>
      </x:c>
      <x:c r="H1066" t="str">
        <x:f>IF(D1066="NO",IF(C1066="SÍ","FERIADO","FIN DE SEMANA"),"LABORABLE")&amp;IF(F1066="SÍ"," + CIERRE","")</x:f>
        <x:v>LABORABLE</x:v>
      </x:c>
      <x:c r="I1066" t="str">
        <x:f>TEXT(G1066,"yyyy-mm")</x:f>
        <x:v>2027-12</x:v>
      </x:c>
    </x:row>
    <x:row r="1067" ht="19" customHeight="1">
      <x:c r="A1067" s="2" t="n">
        <x:v>46723</x:v>
      </x:c>
      <x:c r="B1067" t="str">
        <x:f>CHOOSE(WEEKDAY(A1067,2),"Lunes","Martes","Miércoles","Jueves","Viernes","Sábado","Domingo")</x:f>
        <x:v>Jueves</x:v>
      </x:c>
      <x:c r="C1067" t="str">
        <x:f>IF(COUNTIF(FERIADOS!$A$2:$A$250,A1067)&gt;0,"SÍ","NO")</x:f>
        <x:v>NO</x:v>
      </x:c>
      <x:c r="D1067" t="str">
        <x:f>IF(AND(WEEKDAY(A1067,2)&lt;=5,C1067="NO"),"SÍ","NO")</x:f>
        <x:v>SÍ</x:v>
      </x:c>
      <x:c r="E1067" s="2" t="n">
        <x:f>WORKDAY.INTL(A1067-1,1,1,FERIADOS!$A$2:$A$250)</x:f>
        <x:v>46723</x:v>
      </x:c>
      <x:c r="F1067" t="str">
        <x:f>IF(E1067&gt;=WORKDAY.INTL(EOMONTH(E1067,0)+1,-2,1,FERIADOS!$A$2:$A$250),"SÍ","NO")</x:f>
        <x:v>NO</x:v>
      </x:c>
      <x:c r="G1067" s="10" t="n">
        <x:f>IF(F1067="SÍ",EOMONTH(E1067,0)+1,DATE(YEAR(E1067),MONTH(E1067),1))</x:f>
        <x:v>46722</x:v>
      </x:c>
      <x:c r="H1067" t="str">
        <x:f>IF(D1067="NO",IF(C1067="SÍ","FERIADO","FIN DE SEMANA"),"LABORABLE")&amp;IF(F1067="SÍ"," + CIERRE","")</x:f>
        <x:v>LABORABLE</x:v>
      </x:c>
      <x:c r="I1067" t="str">
        <x:f>TEXT(G1067,"yyyy-mm")</x:f>
        <x:v>2027-12</x:v>
      </x:c>
    </x:row>
    <x:row r="1068" ht="19" customHeight="1">
      <x:c r="A1068" s="2" t="n">
        <x:v>46724</x:v>
      </x:c>
      <x:c r="B1068" t="str">
        <x:f>CHOOSE(WEEKDAY(A1068,2),"Lunes","Martes","Miércoles","Jueves","Viernes","Sábado","Domingo")</x:f>
        <x:v>Viernes</x:v>
      </x:c>
      <x:c r="C1068" t="str">
        <x:f>IF(COUNTIF(FERIADOS!$A$2:$A$250,A1068)&gt;0,"SÍ","NO")</x:f>
        <x:v>NO</x:v>
      </x:c>
      <x:c r="D1068" t="str">
        <x:f>IF(AND(WEEKDAY(A1068,2)&lt;=5,C1068="NO"),"SÍ","NO")</x:f>
        <x:v>SÍ</x:v>
      </x:c>
      <x:c r="E1068" s="2" t="n">
        <x:f>WORKDAY.INTL(A1068-1,1,1,FERIADOS!$A$2:$A$250)</x:f>
        <x:v>46724</x:v>
      </x:c>
      <x:c r="F1068" t="str">
        <x:f>IF(E1068&gt;=WORKDAY.INTL(EOMONTH(E1068,0)+1,-2,1,FERIADOS!$A$2:$A$250),"SÍ","NO")</x:f>
        <x:v>NO</x:v>
      </x:c>
      <x:c r="G1068" s="10" t="n">
        <x:f>IF(F1068="SÍ",EOMONTH(E1068,0)+1,DATE(YEAR(E1068),MONTH(E1068),1))</x:f>
        <x:v>46722</x:v>
      </x:c>
      <x:c r="H1068" t="str">
        <x:f>IF(D1068="NO",IF(C1068="SÍ","FERIADO","FIN DE SEMANA"),"LABORABLE")&amp;IF(F1068="SÍ"," + CIERRE","")</x:f>
        <x:v>LABORABLE</x:v>
      </x:c>
      <x:c r="I1068" t="str">
        <x:f>TEXT(G1068,"yyyy-mm")</x:f>
        <x:v>2027-12</x:v>
      </x:c>
    </x:row>
    <x:row r="1069" ht="19" customHeight="1">
      <x:c r="A1069" s="2" t="n">
        <x:v>46725</x:v>
      </x:c>
      <x:c r="B1069" t="str">
        <x:f>CHOOSE(WEEKDAY(A1069,2),"Lunes","Martes","Miércoles","Jueves","Viernes","Sábado","Domingo")</x:f>
        <x:v>Sábado</x:v>
      </x:c>
      <x:c r="C1069" t="str">
        <x:f>IF(COUNTIF(FERIADOS!$A$2:$A$250,A1069)&gt;0,"SÍ","NO")</x:f>
        <x:v>NO</x:v>
      </x:c>
      <x:c r="D1069" t="str">
        <x:f>IF(AND(WEEKDAY(A1069,2)&lt;=5,C1069="NO"),"SÍ","NO")</x:f>
        <x:v>NO</x:v>
      </x:c>
      <x:c r="E1069" s="2" t="n">
        <x:f>WORKDAY.INTL(A1069-1,1,1,FERIADOS!$A$2:$A$250)</x:f>
        <x:v>46727</x:v>
      </x:c>
      <x:c r="F1069" t="str">
        <x:f>IF(E1069&gt;=WORKDAY.INTL(EOMONTH(E1069,0)+1,-2,1,FERIADOS!$A$2:$A$250),"SÍ","NO")</x:f>
        <x:v>NO</x:v>
      </x:c>
      <x:c r="G1069" s="10" t="n">
        <x:f>IF(F1069="SÍ",EOMONTH(E1069,0)+1,DATE(YEAR(E1069),MONTH(E1069),1))</x:f>
        <x:v>46722</x:v>
      </x:c>
      <x:c r="H1069" t="str">
        <x:f>IF(D1069="NO",IF(C1069="SÍ","FERIADO","FIN DE SEMANA"),"LABORABLE")&amp;IF(F1069="SÍ"," + CIERRE","")</x:f>
        <x:v>FIN DE SEMANA</x:v>
      </x:c>
      <x:c r="I1069" t="str">
        <x:f>TEXT(G1069,"yyyy-mm")</x:f>
        <x:v>2027-12</x:v>
      </x:c>
    </x:row>
    <x:row r="1070" ht="19" customHeight="1">
      <x:c r="A1070" s="2" t="n">
        <x:v>46726</x:v>
      </x:c>
      <x:c r="B1070" t="str">
        <x:f>CHOOSE(WEEKDAY(A1070,2),"Lunes","Martes","Miércoles","Jueves","Viernes","Sábado","Domingo")</x:f>
        <x:v>Domingo</x:v>
      </x:c>
      <x:c r="C1070" t="str">
        <x:f>IF(COUNTIF(FERIADOS!$A$2:$A$250,A1070)&gt;0,"SÍ","NO")</x:f>
        <x:v>NO</x:v>
      </x:c>
      <x:c r="D1070" t="str">
        <x:f>IF(AND(WEEKDAY(A1070,2)&lt;=5,C1070="NO"),"SÍ","NO")</x:f>
        <x:v>NO</x:v>
      </x:c>
      <x:c r="E1070" s="2" t="n">
        <x:f>WORKDAY.INTL(A1070-1,1,1,FERIADOS!$A$2:$A$250)</x:f>
        <x:v>46727</x:v>
      </x:c>
      <x:c r="F1070" t="str">
        <x:f>IF(E1070&gt;=WORKDAY.INTL(EOMONTH(E1070,0)+1,-2,1,FERIADOS!$A$2:$A$250),"SÍ","NO")</x:f>
        <x:v>NO</x:v>
      </x:c>
      <x:c r="G1070" s="10" t="n">
        <x:f>IF(F1070="SÍ",EOMONTH(E1070,0)+1,DATE(YEAR(E1070),MONTH(E1070),1))</x:f>
        <x:v>46722</x:v>
      </x:c>
      <x:c r="H1070" t="str">
        <x:f>IF(D1070="NO",IF(C1070="SÍ","FERIADO","FIN DE SEMANA"),"LABORABLE")&amp;IF(F1070="SÍ"," + CIERRE","")</x:f>
        <x:v>FIN DE SEMANA</x:v>
      </x:c>
      <x:c r="I1070" t="str">
        <x:f>TEXT(G1070,"yyyy-mm")</x:f>
        <x:v>2027-12</x:v>
      </x:c>
    </x:row>
    <x:row r="1071" ht="19" customHeight="1">
      <x:c r="A1071" s="2" t="n">
        <x:v>46727</x:v>
      </x:c>
      <x:c r="B1071" t="str">
        <x:f>CHOOSE(WEEKDAY(A1071,2),"Lunes","Martes","Miércoles","Jueves","Viernes","Sábado","Domingo")</x:f>
        <x:v>Lunes</x:v>
      </x:c>
      <x:c r="C1071" t="str">
        <x:f>IF(COUNTIF(FERIADOS!$A$2:$A$250,A1071)&gt;0,"SÍ","NO")</x:f>
        <x:v>NO</x:v>
      </x:c>
      <x:c r="D1071" t="str">
        <x:f>IF(AND(WEEKDAY(A1071,2)&lt;=5,C1071="NO"),"SÍ","NO")</x:f>
        <x:v>SÍ</x:v>
      </x:c>
      <x:c r="E1071" s="2" t="n">
        <x:f>WORKDAY.INTL(A1071-1,1,1,FERIADOS!$A$2:$A$250)</x:f>
        <x:v>46727</x:v>
      </x:c>
      <x:c r="F1071" t="str">
        <x:f>IF(E1071&gt;=WORKDAY.INTL(EOMONTH(E1071,0)+1,-2,1,FERIADOS!$A$2:$A$250),"SÍ","NO")</x:f>
        <x:v>NO</x:v>
      </x:c>
      <x:c r="G1071" s="10" t="n">
        <x:f>IF(F1071="SÍ",EOMONTH(E1071,0)+1,DATE(YEAR(E1071),MONTH(E1071),1))</x:f>
        <x:v>46722</x:v>
      </x:c>
      <x:c r="H1071" t="str">
        <x:f>IF(D1071="NO",IF(C1071="SÍ","FERIADO","FIN DE SEMANA"),"LABORABLE")&amp;IF(F1071="SÍ"," + CIERRE","")</x:f>
        <x:v>LABORABLE</x:v>
      </x:c>
      <x:c r="I1071" t="str">
        <x:f>TEXT(G1071,"yyyy-mm")</x:f>
        <x:v>2027-12</x:v>
      </x:c>
    </x:row>
    <x:row r="1072" ht="19" customHeight="1">
      <x:c r="A1072" s="2" t="n">
        <x:v>46728</x:v>
      </x:c>
      <x:c r="B1072" t="str">
        <x:f>CHOOSE(WEEKDAY(A1072,2),"Lunes","Martes","Miércoles","Jueves","Viernes","Sábado","Domingo")</x:f>
        <x:v>Martes</x:v>
      </x:c>
      <x:c r="C1072" t="str">
        <x:f>IF(COUNTIF(FERIADOS!$A$2:$A$250,A1072)&gt;0,"SÍ","NO")</x:f>
        <x:v>NO</x:v>
      </x:c>
      <x:c r="D1072" t="str">
        <x:f>IF(AND(WEEKDAY(A1072,2)&lt;=5,C1072="NO"),"SÍ","NO")</x:f>
        <x:v>SÍ</x:v>
      </x:c>
      <x:c r="E1072" s="2" t="n">
        <x:f>WORKDAY.INTL(A1072-1,1,1,FERIADOS!$A$2:$A$250)</x:f>
        <x:v>46728</x:v>
      </x:c>
      <x:c r="F1072" t="str">
        <x:f>IF(E1072&gt;=WORKDAY.INTL(EOMONTH(E1072,0)+1,-2,1,FERIADOS!$A$2:$A$250),"SÍ","NO")</x:f>
        <x:v>NO</x:v>
      </x:c>
      <x:c r="G1072" s="10" t="n">
        <x:f>IF(F1072="SÍ",EOMONTH(E1072,0)+1,DATE(YEAR(E1072),MONTH(E1072),1))</x:f>
        <x:v>46722</x:v>
      </x:c>
      <x:c r="H1072" t="str">
        <x:f>IF(D1072="NO",IF(C1072="SÍ","FERIADO","FIN DE SEMANA"),"LABORABLE")&amp;IF(F1072="SÍ"," + CIERRE","")</x:f>
        <x:v>LABORABLE</x:v>
      </x:c>
      <x:c r="I1072" t="str">
        <x:f>TEXT(G1072,"yyyy-mm")</x:f>
        <x:v>2027-12</x:v>
      </x:c>
    </x:row>
    <x:row r="1073" ht="19" customHeight="1">
      <x:c r="A1073" s="2" t="n">
        <x:v>46729</x:v>
      </x:c>
      <x:c r="B1073" t="str">
        <x:f>CHOOSE(WEEKDAY(A1073,2),"Lunes","Martes","Miércoles","Jueves","Viernes","Sábado","Domingo")</x:f>
        <x:v>Miércoles</x:v>
      </x:c>
      <x:c r="C1073" t="str">
        <x:f>IF(COUNTIF(FERIADOS!$A$2:$A$250,A1073)&gt;0,"SÍ","NO")</x:f>
        <x:v>NO</x:v>
      </x:c>
      <x:c r="D1073" t="str">
        <x:f>IF(AND(WEEKDAY(A1073,2)&lt;=5,C1073="NO"),"SÍ","NO")</x:f>
        <x:v>SÍ</x:v>
      </x:c>
      <x:c r="E1073" s="2" t="n">
        <x:f>WORKDAY.INTL(A1073-1,1,1,FERIADOS!$A$2:$A$250)</x:f>
        <x:v>46729</x:v>
      </x:c>
      <x:c r="F1073" t="str">
        <x:f>IF(E1073&gt;=WORKDAY.INTL(EOMONTH(E1073,0)+1,-2,1,FERIADOS!$A$2:$A$250),"SÍ","NO")</x:f>
        <x:v>NO</x:v>
      </x:c>
      <x:c r="G1073" s="10" t="n">
        <x:f>IF(F1073="SÍ",EOMONTH(E1073,0)+1,DATE(YEAR(E1073),MONTH(E1073),1))</x:f>
        <x:v>46722</x:v>
      </x:c>
      <x:c r="H1073" t="str">
        <x:f>IF(D1073="NO",IF(C1073="SÍ","FERIADO","FIN DE SEMANA"),"LABORABLE")&amp;IF(F1073="SÍ"," + CIERRE","")</x:f>
        <x:v>LABORABLE</x:v>
      </x:c>
      <x:c r="I1073" t="str">
        <x:f>TEXT(G1073,"yyyy-mm")</x:f>
        <x:v>2027-12</x:v>
      </x:c>
    </x:row>
    <x:row r="1074" ht="19" customHeight="1">
      <x:c r="A1074" s="2" t="n">
        <x:v>46730</x:v>
      </x:c>
      <x:c r="B1074" t="str">
        <x:f>CHOOSE(WEEKDAY(A1074,2),"Lunes","Martes","Miércoles","Jueves","Viernes","Sábado","Domingo")</x:f>
        <x:v>Jueves</x:v>
      </x:c>
      <x:c r="C1074" t="str">
        <x:f>IF(COUNTIF(FERIADOS!$A$2:$A$250,A1074)&gt;0,"SÍ","NO")</x:f>
        <x:v>NO</x:v>
      </x:c>
      <x:c r="D1074" t="str">
        <x:f>IF(AND(WEEKDAY(A1074,2)&lt;=5,C1074="NO"),"SÍ","NO")</x:f>
        <x:v>SÍ</x:v>
      </x:c>
      <x:c r="E1074" s="2" t="n">
        <x:f>WORKDAY.INTL(A1074-1,1,1,FERIADOS!$A$2:$A$250)</x:f>
        <x:v>46730</x:v>
      </x:c>
      <x:c r="F1074" t="str">
        <x:f>IF(E1074&gt;=WORKDAY.INTL(EOMONTH(E1074,0)+1,-2,1,FERIADOS!$A$2:$A$250),"SÍ","NO")</x:f>
        <x:v>NO</x:v>
      </x:c>
      <x:c r="G1074" s="10" t="n">
        <x:f>IF(F1074="SÍ",EOMONTH(E1074,0)+1,DATE(YEAR(E1074),MONTH(E1074),1))</x:f>
        <x:v>46722</x:v>
      </x:c>
      <x:c r="H1074" t="str">
        <x:f>IF(D1074="NO",IF(C1074="SÍ","FERIADO","FIN DE SEMANA"),"LABORABLE")&amp;IF(F1074="SÍ"," + CIERRE","")</x:f>
        <x:v>LABORABLE</x:v>
      </x:c>
      <x:c r="I1074" t="str">
        <x:f>TEXT(G1074,"yyyy-mm")</x:f>
        <x:v>2027-12</x:v>
      </x:c>
    </x:row>
    <x:row r="1075" ht="19" customHeight="1">
      <x:c r="A1075" s="2" t="n">
        <x:v>46731</x:v>
      </x:c>
      <x:c r="B1075" t="str">
        <x:f>CHOOSE(WEEKDAY(A1075,2),"Lunes","Martes","Miércoles","Jueves","Viernes","Sábado","Domingo")</x:f>
        <x:v>Viernes</x:v>
      </x:c>
      <x:c r="C1075" t="str">
        <x:f>IF(COUNTIF(FERIADOS!$A$2:$A$250,A1075)&gt;0,"SÍ","NO")</x:f>
        <x:v>NO</x:v>
      </x:c>
      <x:c r="D1075" t="str">
        <x:f>IF(AND(WEEKDAY(A1075,2)&lt;=5,C1075="NO"),"SÍ","NO")</x:f>
        <x:v>SÍ</x:v>
      </x:c>
      <x:c r="E1075" s="2" t="n">
        <x:f>WORKDAY.INTL(A1075-1,1,1,FERIADOS!$A$2:$A$250)</x:f>
        <x:v>46731</x:v>
      </x:c>
      <x:c r="F1075" t="str">
        <x:f>IF(E1075&gt;=WORKDAY.INTL(EOMONTH(E1075,0)+1,-2,1,FERIADOS!$A$2:$A$250),"SÍ","NO")</x:f>
        <x:v>NO</x:v>
      </x:c>
      <x:c r="G1075" s="10" t="n">
        <x:f>IF(F1075="SÍ",EOMONTH(E1075,0)+1,DATE(YEAR(E1075),MONTH(E1075),1))</x:f>
        <x:v>46722</x:v>
      </x:c>
      <x:c r="H1075" t="str">
        <x:f>IF(D1075="NO",IF(C1075="SÍ","FERIADO","FIN DE SEMANA"),"LABORABLE")&amp;IF(F1075="SÍ"," + CIERRE","")</x:f>
        <x:v>LABORABLE</x:v>
      </x:c>
      <x:c r="I1075" t="str">
        <x:f>TEXT(G1075,"yyyy-mm")</x:f>
        <x:v>2027-12</x:v>
      </x:c>
    </x:row>
    <x:row r="1076" ht="19" customHeight="1">
      <x:c r="A1076" s="2" t="n">
        <x:v>46732</x:v>
      </x:c>
      <x:c r="B1076" t="str">
        <x:f>CHOOSE(WEEKDAY(A1076,2),"Lunes","Martes","Miércoles","Jueves","Viernes","Sábado","Domingo")</x:f>
        <x:v>Sábado</x:v>
      </x:c>
      <x:c r="C1076" t="str">
        <x:f>IF(COUNTIF(FERIADOS!$A$2:$A$250,A1076)&gt;0,"SÍ","NO")</x:f>
        <x:v>NO</x:v>
      </x:c>
      <x:c r="D1076" t="str">
        <x:f>IF(AND(WEEKDAY(A1076,2)&lt;=5,C1076="NO"),"SÍ","NO")</x:f>
        <x:v>NO</x:v>
      </x:c>
      <x:c r="E1076" s="2" t="n">
        <x:f>WORKDAY.INTL(A1076-1,1,1,FERIADOS!$A$2:$A$250)</x:f>
        <x:v>46734</x:v>
      </x:c>
      <x:c r="F1076" t="str">
        <x:f>IF(E1076&gt;=WORKDAY.INTL(EOMONTH(E1076,0)+1,-2,1,FERIADOS!$A$2:$A$250),"SÍ","NO")</x:f>
        <x:v>NO</x:v>
      </x:c>
      <x:c r="G1076" s="10" t="n">
        <x:f>IF(F1076="SÍ",EOMONTH(E1076,0)+1,DATE(YEAR(E1076),MONTH(E1076),1))</x:f>
        <x:v>46722</x:v>
      </x:c>
      <x:c r="H1076" t="str">
        <x:f>IF(D1076="NO",IF(C1076="SÍ","FERIADO","FIN DE SEMANA"),"LABORABLE")&amp;IF(F1076="SÍ"," + CIERRE","")</x:f>
        <x:v>FIN DE SEMANA</x:v>
      </x:c>
      <x:c r="I1076" t="str">
        <x:f>TEXT(G1076,"yyyy-mm")</x:f>
        <x:v>2027-12</x:v>
      </x:c>
    </x:row>
    <x:row r="1077" ht="19" customHeight="1">
      <x:c r="A1077" s="2" t="n">
        <x:v>46733</x:v>
      </x:c>
      <x:c r="B1077" t="str">
        <x:f>CHOOSE(WEEKDAY(A1077,2),"Lunes","Martes","Miércoles","Jueves","Viernes","Sábado","Domingo")</x:f>
        <x:v>Domingo</x:v>
      </x:c>
      <x:c r="C1077" t="str">
        <x:f>IF(COUNTIF(FERIADOS!$A$2:$A$250,A1077)&gt;0,"SÍ","NO")</x:f>
        <x:v>NO</x:v>
      </x:c>
      <x:c r="D1077" t="str">
        <x:f>IF(AND(WEEKDAY(A1077,2)&lt;=5,C1077="NO"),"SÍ","NO")</x:f>
        <x:v>NO</x:v>
      </x:c>
      <x:c r="E1077" s="2" t="n">
        <x:f>WORKDAY.INTL(A1077-1,1,1,FERIADOS!$A$2:$A$250)</x:f>
        <x:v>46734</x:v>
      </x:c>
      <x:c r="F1077" t="str">
        <x:f>IF(E1077&gt;=WORKDAY.INTL(EOMONTH(E1077,0)+1,-2,1,FERIADOS!$A$2:$A$250),"SÍ","NO")</x:f>
        <x:v>NO</x:v>
      </x:c>
      <x:c r="G1077" s="10" t="n">
        <x:f>IF(F1077="SÍ",EOMONTH(E1077,0)+1,DATE(YEAR(E1077),MONTH(E1077),1))</x:f>
        <x:v>46722</x:v>
      </x:c>
      <x:c r="H1077" t="str">
        <x:f>IF(D1077="NO",IF(C1077="SÍ","FERIADO","FIN DE SEMANA"),"LABORABLE")&amp;IF(F1077="SÍ"," + CIERRE","")</x:f>
        <x:v>FIN DE SEMANA</x:v>
      </x:c>
      <x:c r="I1077" t="str">
        <x:f>TEXT(G1077,"yyyy-mm")</x:f>
        <x:v>2027-12</x:v>
      </x:c>
    </x:row>
    <x:row r="1078" ht="19" customHeight="1">
      <x:c r="A1078" s="2" t="n">
        <x:v>46734</x:v>
      </x:c>
      <x:c r="B1078" t="str">
        <x:f>CHOOSE(WEEKDAY(A1078,2),"Lunes","Martes","Miércoles","Jueves","Viernes","Sábado","Domingo")</x:f>
        <x:v>Lunes</x:v>
      </x:c>
      <x:c r="C1078" t="str">
        <x:f>IF(COUNTIF(FERIADOS!$A$2:$A$250,A1078)&gt;0,"SÍ","NO")</x:f>
        <x:v>NO</x:v>
      </x:c>
      <x:c r="D1078" t="str">
        <x:f>IF(AND(WEEKDAY(A1078,2)&lt;=5,C1078="NO"),"SÍ","NO")</x:f>
        <x:v>SÍ</x:v>
      </x:c>
      <x:c r="E1078" s="2" t="n">
        <x:f>WORKDAY.INTL(A1078-1,1,1,FERIADOS!$A$2:$A$250)</x:f>
        <x:v>46734</x:v>
      </x:c>
      <x:c r="F1078" t="str">
        <x:f>IF(E1078&gt;=WORKDAY.INTL(EOMONTH(E1078,0)+1,-2,1,FERIADOS!$A$2:$A$250),"SÍ","NO")</x:f>
        <x:v>NO</x:v>
      </x:c>
      <x:c r="G1078" s="10" t="n">
        <x:f>IF(F1078="SÍ",EOMONTH(E1078,0)+1,DATE(YEAR(E1078),MONTH(E1078),1))</x:f>
        <x:v>46722</x:v>
      </x:c>
      <x:c r="H1078" t="str">
        <x:f>IF(D1078="NO",IF(C1078="SÍ","FERIADO","FIN DE SEMANA"),"LABORABLE")&amp;IF(F1078="SÍ"," + CIERRE","")</x:f>
        <x:v>LABORABLE</x:v>
      </x:c>
      <x:c r="I1078" t="str">
        <x:f>TEXT(G1078,"yyyy-mm")</x:f>
        <x:v>2027-12</x:v>
      </x:c>
    </x:row>
    <x:row r="1079" ht="19" customHeight="1">
      <x:c r="A1079" s="2" t="n">
        <x:v>46735</x:v>
      </x:c>
      <x:c r="B1079" t="str">
        <x:f>CHOOSE(WEEKDAY(A1079,2),"Lunes","Martes","Miércoles","Jueves","Viernes","Sábado","Domingo")</x:f>
        <x:v>Martes</x:v>
      </x:c>
      <x:c r="C1079" t="str">
        <x:f>IF(COUNTIF(FERIADOS!$A$2:$A$250,A1079)&gt;0,"SÍ","NO")</x:f>
        <x:v>NO</x:v>
      </x:c>
      <x:c r="D1079" t="str">
        <x:f>IF(AND(WEEKDAY(A1079,2)&lt;=5,C1079="NO"),"SÍ","NO")</x:f>
        <x:v>SÍ</x:v>
      </x:c>
      <x:c r="E1079" s="2" t="n">
        <x:f>WORKDAY.INTL(A1079-1,1,1,FERIADOS!$A$2:$A$250)</x:f>
        <x:v>46735</x:v>
      </x:c>
      <x:c r="F1079" t="str">
        <x:f>IF(E1079&gt;=WORKDAY.INTL(EOMONTH(E1079,0)+1,-2,1,FERIADOS!$A$2:$A$250),"SÍ","NO")</x:f>
        <x:v>NO</x:v>
      </x:c>
      <x:c r="G1079" s="10" t="n">
        <x:f>IF(F1079="SÍ",EOMONTH(E1079,0)+1,DATE(YEAR(E1079),MONTH(E1079),1))</x:f>
        <x:v>46722</x:v>
      </x:c>
      <x:c r="H1079" t="str">
        <x:f>IF(D1079="NO",IF(C1079="SÍ","FERIADO","FIN DE SEMANA"),"LABORABLE")&amp;IF(F1079="SÍ"," + CIERRE","")</x:f>
        <x:v>LABORABLE</x:v>
      </x:c>
      <x:c r="I1079" t="str">
        <x:f>TEXT(G1079,"yyyy-mm")</x:f>
        <x:v>2027-12</x:v>
      </x:c>
    </x:row>
    <x:row r="1080" ht="19" customHeight="1">
      <x:c r="A1080" s="2" t="n">
        <x:v>46736</x:v>
      </x:c>
      <x:c r="B1080" t="str">
        <x:f>CHOOSE(WEEKDAY(A1080,2),"Lunes","Martes","Miércoles","Jueves","Viernes","Sábado","Domingo")</x:f>
        <x:v>Miércoles</x:v>
      </x:c>
      <x:c r="C1080" t="str">
        <x:f>IF(COUNTIF(FERIADOS!$A$2:$A$250,A1080)&gt;0,"SÍ","NO")</x:f>
        <x:v>NO</x:v>
      </x:c>
      <x:c r="D1080" t="str">
        <x:f>IF(AND(WEEKDAY(A1080,2)&lt;=5,C1080="NO"),"SÍ","NO")</x:f>
        <x:v>SÍ</x:v>
      </x:c>
      <x:c r="E1080" s="2" t="n">
        <x:f>WORKDAY.INTL(A1080-1,1,1,FERIADOS!$A$2:$A$250)</x:f>
        <x:v>46736</x:v>
      </x:c>
      <x:c r="F1080" t="str">
        <x:f>IF(E1080&gt;=WORKDAY.INTL(EOMONTH(E1080,0)+1,-2,1,FERIADOS!$A$2:$A$250),"SÍ","NO")</x:f>
        <x:v>NO</x:v>
      </x:c>
      <x:c r="G1080" s="10" t="n">
        <x:f>IF(F1080="SÍ",EOMONTH(E1080,0)+1,DATE(YEAR(E1080),MONTH(E1080),1))</x:f>
        <x:v>46722</x:v>
      </x:c>
      <x:c r="H1080" t="str">
        <x:f>IF(D1080="NO",IF(C1080="SÍ","FERIADO","FIN DE SEMANA"),"LABORABLE")&amp;IF(F1080="SÍ"," + CIERRE","")</x:f>
        <x:v>LABORABLE</x:v>
      </x:c>
      <x:c r="I1080" t="str">
        <x:f>TEXT(G1080,"yyyy-mm")</x:f>
        <x:v>2027-12</x:v>
      </x:c>
    </x:row>
    <x:row r="1081" ht="19" customHeight="1">
      <x:c r="A1081" s="2" t="n">
        <x:v>46737</x:v>
      </x:c>
      <x:c r="B1081" t="str">
        <x:f>CHOOSE(WEEKDAY(A1081,2),"Lunes","Martes","Miércoles","Jueves","Viernes","Sábado","Domingo")</x:f>
        <x:v>Jueves</x:v>
      </x:c>
      <x:c r="C1081" t="str">
        <x:f>IF(COUNTIF(FERIADOS!$A$2:$A$250,A1081)&gt;0,"SÍ","NO")</x:f>
        <x:v>NO</x:v>
      </x:c>
      <x:c r="D1081" t="str">
        <x:f>IF(AND(WEEKDAY(A1081,2)&lt;=5,C1081="NO"),"SÍ","NO")</x:f>
        <x:v>SÍ</x:v>
      </x:c>
      <x:c r="E1081" s="2" t="n">
        <x:f>WORKDAY.INTL(A1081-1,1,1,FERIADOS!$A$2:$A$250)</x:f>
        <x:v>46737</x:v>
      </x:c>
      <x:c r="F1081" t="str">
        <x:f>IF(E1081&gt;=WORKDAY.INTL(EOMONTH(E1081,0)+1,-2,1,FERIADOS!$A$2:$A$250),"SÍ","NO")</x:f>
        <x:v>NO</x:v>
      </x:c>
      <x:c r="G1081" s="10" t="n">
        <x:f>IF(F1081="SÍ",EOMONTH(E1081,0)+1,DATE(YEAR(E1081),MONTH(E1081),1))</x:f>
        <x:v>46722</x:v>
      </x:c>
      <x:c r="H1081" t="str">
        <x:f>IF(D1081="NO",IF(C1081="SÍ","FERIADO","FIN DE SEMANA"),"LABORABLE")&amp;IF(F1081="SÍ"," + CIERRE","")</x:f>
        <x:v>LABORABLE</x:v>
      </x:c>
      <x:c r="I1081" t="str">
        <x:f>TEXT(G1081,"yyyy-mm")</x:f>
        <x:v>2027-12</x:v>
      </x:c>
    </x:row>
    <x:row r="1082" ht="19" customHeight="1">
      <x:c r="A1082" s="2" t="n">
        <x:v>46738</x:v>
      </x:c>
      <x:c r="B1082" t="str">
        <x:f>CHOOSE(WEEKDAY(A1082,2),"Lunes","Martes","Miércoles","Jueves","Viernes","Sábado","Domingo")</x:f>
        <x:v>Viernes</x:v>
      </x:c>
      <x:c r="C1082" t="str">
        <x:f>IF(COUNTIF(FERIADOS!$A$2:$A$250,A1082)&gt;0,"SÍ","NO")</x:f>
        <x:v>NO</x:v>
      </x:c>
      <x:c r="D1082" t="str">
        <x:f>IF(AND(WEEKDAY(A1082,2)&lt;=5,C1082="NO"),"SÍ","NO")</x:f>
        <x:v>SÍ</x:v>
      </x:c>
      <x:c r="E1082" s="2" t="n">
        <x:f>WORKDAY.INTL(A1082-1,1,1,FERIADOS!$A$2:$A$250)</x:f>
        <x:v>46738</x:v>
      </x:c>
      <x:c r="F1082" t="str">
        <x:f>IF(E1082&gt;=WORKDAY.INTL(EOMONTH(E1082,0)+1,-2,1,FERIADOS!$A$2:$A$250),"SÍ","NO")</x:f>
        <x:v>NO</x:v>
      </x:c>
      <x:c r="G1082" s="10" t="n">
        <x:f>IF(F1082="SÍ",EOMONTH(E1082,0)+1,DATE(YEAR(E1082),MONTH(E1082),1))</x:f>
        <x:v>46722</x:v>
      </x:c>
      <x:c r="H1082" t="str">
        <x:f>IF(D1082="NO",IF(C1082="SÍ","FERIADO","FIN DE SEMANA"),"LABORABLE")&amp;IF(F1082="SÍ"," + CIERRE","")</x:f>
        <x:v>LABORABLE</x:v>
      </x:c>
      <x:c r="I1082" t="str">
        <x:f>TEXT(G1082,"yyyy-mm")</x:f>
        <x:v>2027-12</x:v>
      </x:c>
    </x:row>
    <x:row r="1083" ht="19" customHeight="1">
      <x:c r="A1083" s="2" t="n">
        <x:v>46739</x:v>
      </x:c>
      <x:c r="B1083" t="str">
        <x:f>CHOOSE(WEEKDAY(A1083,2),"Lunes","Martes","Miércoles","Jueves","Viernes","Sábado","Domingo")</x:f>
        <x:v>Sábado</x:v>
      </x:c>
      <x:c r="C1083" t="str">
        <x:f>IF(COUNTIF(FERIADOS!$A$2:$A$250,A1083)&gt;0,"SÍ","NO")</x:f>
        <x:v>NO</x:v>
      </x:c>
      <x:c r="D1083" t="str">
        <x:f>IF(AND(WEEKDAY(A1083,2)&lt;=5,C1083="NO"),"SÍ","NO")</x:f>
        <x:v>NO</x:v>
      </x:c>
      <x:c r="E1083" s="2" t="n">
        <x:f>WORKDAY.INTL(A1083-1,1,1,FERIADOS!$A$2:$A$250)</x:f>
        <x:v>46741</x:v>
      </x:c>
      <x:c r="F1083" t="str">
        <x:f>IF(E1083&gt;=WORKDAY.INTL(EOMONTH(E1083,0)+1,-2,1,FERIADOS!$A$2:$A$250),"SÍ","NO")</x:f>
        <x:v>NO</x:v>
      </x:c>
      <x:c r="G1083" s="10" t="n">
        <x:f>IF(F1083="SÍ",EOMONTH(E1083,0)+1,DATE(YEAR(E1083),MONTH(E1083),1))</x:f>
        <x:v>46722</x:v>
      </x:c>
      <x:c r="H1083" t="str">
        <x:f>IF(D1083="NO",IF(C1083="SÍ","FERIADO","FIN DE SEMANA"),"LABORABLE")&amp;IF(F1083="SÍ"," + CIERRE","")</x:f>
        <x:v>FIN DE SEMANA</x:v>
      </x:c>
      <x:c r="I1083" t="str">
        <x:f>TEXT(G1083,"yyyy-mm")</x:f>
        <x:v>2027-12</x:v>
      </x:c>
    </x:row>
    <x:row r="1084" ht="19" customHeight="1">
      <x:c r="A1084" s="2" t="n">
        <x:v>46740</x:v>
      </x:c>
      <x:c r="B1084" t="str">
        <x:f>CHOOSE(WEEKDAY(A1084,2),"Lunes","Martes","Miércoles","Jueves","Viernes","Sábado","Domingo")</x:f>
        <x:v>Domingo</x:v>
      </x:c>
      <x:c r="C1084" t="str">
        <x:f>IF(COUNTIF(FERIADOS!$A$2:$A$250,A1084)&gt;0,"SÍ","NO")</x:f>
        <x:v>NO</x:v>
      </x:c>
      <x:c r="D1084" t="str">
        <x:f>IF(AND(WEEKDAY(A1084,2)&lt;=5,C1084="NO"),"SÍ","NO")</x:f>
        <x:v>NO</x:v>
      </x:c>
      <x:c r="E1084" s="2" t="n">
        <x:f>WORKDAY.INTL(A1084-1,1,1,FERIADOS!$A$2:$A$250)</x:f>
        <x:v>46741</x:v>
      </x:c>
      <x:c r="F1084" t="str">
        <x:f>IF(E1084&gt;=WORKDAY.INTL(EOMONTH(E1084,0)+1,-2,1,FERIADOS!$A$2:$A$250),"SÍ","NO")</x:f>
        <x:v>NO</x:v>
      </x:c>
      <x:c r="G1084" s="10" t="n">
        <x:f>IF(F1084="SÍ",EOMONTH(E1084,0)+1,DATE(YEAR(E1084),MONTH(E1084),1))</x:f>
        <x:v>46722</x:v>
      </x:c>
      <x:c r="H1084" t="str">
        <x:f>IF(D1084="NO",IF(C1084="SÍ","FERIADO","FIN DE SEMANA"),"LABORABLE")&amp;IF(F1084="SÍ"," + CIERRE","")</x:f>
        <x:v>FIN DE SEMANA</x:v>
      </x:c>
      <x:c r="I1084" t="str">
        <x:f>TEXT(G1084,"yyyy-mm")</x:f>
        <x:v>2027-12</x:v>
      </x:c>
    </x:row>
    <x:row r="1085" ht="19" customHeight="1">
      <x:c r="A1085" s="2" t="n">
        <x:v>46741</x:v>
      </x:c>
      <x:c r="B1085" t="str">
        <x:f>CHOOSE(WEEKDAY(A1085,2),"Lunes","Martes","Miércoles","Jueves","Viernes","Sábado","Domingo")</x:f>
        <x:v>Lunes</x:v>
      </x:c>
      <x:c r="C1085" t="str">
        <x:f>IF(COUNTIF(FERIADOS!$A$2:$A$250,A1085)&gt;0,"SÍ","NO")</x:f>
        <x:v>NO</x:v>
      </x:c>
      <x:c r="D1085" t="str">
        <x:f>IF(AND(WEEKDAY(A1085,2)&lt;=5,C1085="NO"),"SÍ","NO")</x:f>
        <x:v>SÍ</x:v>
      </x:c>
      <x:c r="E1085" s="2" t="n">
        <x:f>WORKDAY.INTL(A1085-1,1,1,FERIADOS!$A$2:$A$250)</x:f>
        <x:v>46741</x:v>
      </x:c>
      <x:c r="F1085" t="str">
        <x:f>IF(E1085&gt;=WORKDAY.INTL(EOMONTH(E1085,0)+1,-2,1,FERIADOS!$A$2:$A$250),"SÍ","NO")</x:f>
        <x:v>NO</x:v>
      </x:c>
      <x:c r="G1085" s="10" t="n">
        <x:f>IF(F1085="SÍ",EOMONTH(E1085,0)+1,DATE(YEAR(E1085),MONTH(E1085),1))</x:f>
        <x:v>46722</x:v>
      </x:c>
      <x:c r="H1085" t="str">
        <x:f>IF(D1085="NO",IF(C1085="SÍ","FERIADO","FIN DE SEMANA"),"LABORABLE")&amp;IF(F1085="SÍ"," + CIERRE","")</x:f>
        <x:v>LABORABLE</x:v>
      </x:c>
      <x:c r="I1085" t="str">
        <x:f>TEXT(G1085,"yyyy-mm")</x:f>
        <x:v>2027-12</x:v>
      </x:c>
    </x:row>
    <x:row r="1086" ht="19" customHeight="1">
      <x:c r="A1086" s="2" t="n">
        <x:v>46742</x:v>
      </x:c>
      <x:c r="B1086" t="str">
        <x:f>CHOOSE(WEEKDAY(A1086,2),"Lunes","Martes","Miércoles","Jueves","Viernes","Sábado","Domingo")</x:f>
        <x:v>Martes</x:v>
      </x:c>
      <x:c r="C1086" t="str">
        <x:f>IF(COUNTIF(FERIADOS!$A$2:$A$250,A1086)&gt;0,"SÍ","NO")</x:f>
        <x:v>NO</x:v>
      </x:c>
      <x:c r="D1086" t="str">
        <x:f>IF(AND(WEEKDAY(A1086,2)&lt;=5,C1086="NO"),"SÍ","NO")</x:f>
        <x:v>SÍ</x:v>
      </x:c>
      <x:c r="E1086" s="2" t="n">
        <x:f>WORKDAY.INTL(A1086-1,1,1,FERIADOS!$A$2:$A$250)</x:f>
        <x:v>46742</x:v>
      </x:c>
      <x:c r="F1086" t="str">
        <x:f>IF(E1086&gt;=WORKDAY.INTL(EOMONTH(E1086,0)+1,-2,1,FERIADOS!$A$2:$A$250),"SÍ","NO")</x:f>
        <x:v>NO</x:v>
      </x:c>
      <x:c r="G1086" s="10" t="n">
        <x:f>IF(F1086="SÍ",EOMONTH(E1086,0)+1,DATE(YEAR(E1086),MONTH(E1086),1))</x:f>
        <x:v>46722</x:v>
      </x:c>
      <x:c r="H1086" t="str">
        <x:f>IF(D1086="NO",IF(C1086="SÍ","FERIADO","FIN DE SEMANA"),"LABORABLE")&amp;IF(F1086="SÍ"," + CIERRE","")</x:f>
        <x:v>LABORABLE</x:v>
      </x:c>
      <x:c r="I1086" t="str">
        <x:f>TEXT(G1086,"yyyy-mm")</x:f>
        <x:v>2027-12</x:v>
      </x:c>
    </x:row>
    <x:row r="1087" ht="19" customHeight="1">
      <x:c r="A1087" s="2" t="n">
        <x:v>46743</x:v>
      </x:c>
      <x:c r="B1087" t="str">
        <x:f>CHOOSE(WEEKDAY(A1087,2),"Lunes","Martes","Miércoles","Jueves","Viernes","Sábado","Domingo")</x:f>
        <x:v>Miércoles</x:v>
      </x:c>
      <x:c r="C1087" t="str">
        <x:f>IF(COUNTIF(FERIADOS!$A$2:$A$250,A1087)&gt;0,"SÍ","NO")</x:f>
        <x:v>NO</x:v>
      </x:c>
      <x:c r="D1087" t="str">
        <x:f>IF(AND(WEEKDAY(A1087,2)&lt;=5,C1087="NO"),"SÍ","NO")</x:f>
        <x:v>SÍ</x:v>
      </x:c>
      <x:c r="E1087" s="2" t="n">
        <x:f>WORKDAY.INTL(A1087-1,1,1,FERIADOS!$A$2:$A$250)</x:f>
        <x:v>46743</x:v>
      </x:c>
      <x:c r="F1087" t="str">
        <x:f>IF(E1087&gt;=WORKDAY.INTL(EOMONTH(E1087,0)+1,-2,1,FERIADOS!$A$2:$A$250),"SÍ","NO")</x:f>
        <x:v>NO</x:v>
      </x:c>
      <x:c r="G1087" s="10" t="n">
        <x:f>IF(F1087="SÍ",EOMONTH(E1087,0)+1,DATE(YEAR(E1087),MONTH(E1087),1))</x:f>
        <x:v>46722</x:v>
      </x:c>
      <x:c r="H1087" t="str">
        <x:f>IF(D1087="NO",IF(C1087="SÍ","FERIADO","FIN DE SEMANA"),"LABORABLE")&amp;IF(F1087="SÍ"," + CIERRE","")</x:f>
        <x:v>LABORABLE</x:v>
      </x:c>
      <x:c r="I1087" t="str">
        <x:f>TEXT(G1087,"yyyy-mm")</x:f>
        <x:v>2027-12</x:v>
      </x:c>
    </x:row>
    <x:row r="1088" ht="19" customHeight="1">
      <x:c r="A1088" s="2" t="n">
        <x:v>46744</x:v>
      </x:c>
      <x:c r="B1088" t="str">
        <x:f>CHOOSE(WEEKDAY(A1088,2),"Lunes","Martes","Miércoles","Jueves","Viernes","Sábado","Domingo")</x:f>
        <x:v>Jueves</x:v>
      </x:c>
      <x:c r="C1088" t="str">
        <x:f>IF(COUNTIF(FERIADOS!$A$2:$A$250,A1088)&gt;0,"SÍ","NO")</x:f>
        <x:v>NO</x:v>
      </x:c>
      <x:c r="D1088" t="str">
        <x:f>IF(AND(WEEKDAY(A1088,2)&lt;=5,C1088="NO"),"SÍ","NO")</x:f>
        <x:v>SÍ</x:v>
      </x:c>
      <x:c r="E1088" s="2" t="n">
        <x:f>WORKDAY.INTL(A1088-1,1,1,FERIADOS!$A$2:$A$250)</x:f>
        <x:v>46744</x:v>
      </x:c>
      <x:c r="F1088" t="str">
        <x:f>IF(E1088&gt;=WORKDAY.INTL(EOMONTH(E1088,0)+1,-2,1,FERIADOS!$A$2:$A$250),"SÍ","NO")</x:f>
        <x:v>NO</x:v>
      </x:c>
      <x:c r="G1088" s="10" t="n">
        <x:f>IF(F1088="SÍ",EOMONTH(E1088,0)+1,DATE(YEAR(E1088),MONTH(E1088),1))</x:f>
        <x:v>46722</x:v>
      </x:c>
      <x:c r="H1088" t="str">
        <x:f>IF(D1088="NO",IF(C1088="SÍ","FERIADO","FIN DE SEMANA"),"LABORABLE")&amp;IF(F1088="SÍ"," + CIERRE","")</x:f>
        <x:v>LABORABLE</x:v>
      </x:c>
      <x:c r="I1088" t="str">
        <x:f>TEXT(G1088,"yyyy-mm")</x:f>
        <x:v>2027-12</x:v>
      </x:c>
    </x:row>
    <x:row r="1089" ht="19" customHeight="1">
      <x:c r="A1089" s="2" t="n">
        <x:v>46745</x:v>
      </x:c>
      <x:c r="B1089" t="str">
        <x:f>CHOOSE(WEEKDAY(A1089,2),"Lunes","Martes","Miércoles","Jueves","Viernes","Sábado","Domingo")</x:f>
        <x:v>Viernes</x:v>
      </x:c>
      <x:c r="C1089" t="str">
        <x:f>IF(COUNTIF(FERIADOS!$A$2:$A$250,A1089)&gt;0,"SÍ","NO")</x:f>
        <x:v>NO</x:v>
      </x:c>
      <x:c r="D1089" t="str">
        <x:f>IF(AND(WEEKDAY(A1089,2)&lt;=5,C1089="NO"),"SÍ","NO")</x:f>
        <x:v>SÍ</x:v>
      </x:c>
      <x:c r="E1089" s="2" t="n">
        <x:f>WORKDAY.INTL(A1089-1,1,1,FERIADOS!$A$2:$A$250)</x:f>
        <x:v>46745</x:v>
      </x:c>
      <x:c r="F1089" t="str">
        <x:f>IF(E1089&gt;=WORKDAY.INTL(EOMONTH(E1089,0)+1,-2,1,FERIADOS!$A$2:$A$250),"SÍ","NO")</x:f>
        <x:v>NO</x:v>
      </x:c>
      <x:c r="G1089" s="10" t="n">
        <x:f>IF(F1089="SÍ",EOMONTH(E1089,0)+1,DATE(YEAR(E1089),MONTH(E1089),1))</x:f>
        <x:v>46722</x:v>
      </x:c>
      <x:c r="H1089" t="str">
        <x:f>IF(D1089="NO",IF(C1089="SÍ","FERIADO","FIN DE SEMANA"),"LABORABLE")&amp;IF(F1089="SÍ"," + CIERRE","")</x:f>
        <x:v>LABORABLE</x:v>
      </x:c>
      <x:c r="I1089" t="str">
        <x:f>TEXT(G1089,"yyyy-mm")</x:f>
        <x:v>2027-12</x:v>
      </x:c>
    </x:row>
    <x:row r="1090" ht="19" customHeight="1">
      <x:c r="A1090" s="2" t="n">
        <x:v>46746</x:v>
      </x:c>
      <x:c r="B1090" t="str">
        <x:f>CHOOSE(WEEKDAY(A1090,2),"Lunes","Martes","Miércoles","Jueves","Viernes","Sábado","Domingo")</x:f>
        <x:v>Sábado</x:v>
      </x:c>
      <x:c r="C1090" t="str">
        <x:f>IF(COUNTIF(FERIADOS!$A$2:$A$250,A1090)&gt;0,"SÍ","NO")</x:f>
        <x:v>SÍ</x:v>
      </x:c>
      <x:c r="D1090" t="str">
        <x:f>IF(AND(WEEKDAY(A1090,2)&lt;=5,C1090="NO"),"SÍ","NO")</x:f>
        <x:v>NO</x:v>
      </x:c>
      <x:c r="E1090" s="2" t="n">
        <x:f>WORKDAY.INTL(A1090-1,1,1,FERIADOS!$A$2:$A$250)</x:f>
        <x:v>46748</x:v>
      </x:c>
      <x:c r="F1090" t="str">
        <x:f>IF(E1090&gt;=WORKDAY.INTL(EOMONTH(E1090,0)+1,-2,1,FERIADOS!$A$2:$A$250),"SÍ","NO")</x:f>
        <x:v>NO</x:v>
      </x:c>
      <x:c r="G1090" s="10" t="n">
        <x:f>IF(F1090="SÍ",EOMONTH(E1090,0)+1,DATE(YEAR(E1090),MONTH(E1090),1))</x:f>
        <x:v>46722</x:v>
      </x:c>
      <x:c r="H1090" t="str">
        <x:f>IF(D1090="NO",IF(C1090="SÍ","FERIADO","FIN DE SEMANA"),"LABORABLE")&amp;IF(F1090="SÍ"," + CIERRE","")</x:f>
        <x:v>FERIADO</x:v>
      </x:c>
      <x:c r="I1090" t="str">
        <x:f>TEXT(G1090,"yyyy-mm")</x:f>
        <x:v>2027-12</x:v>
      </x:c>
    </x:row>
    <x:row r="1091" ht="19" customHeight="1">
      <x:c r="A1091" s="2" t="n">
        <x:v>46747</x:v>
      </x:c>
      <x:c r="B1091" t="str">
        <x:f>CHOOSE(WEEKDAY(A1091,2),"Lunes","Martes","Miércoles","Jueves","Viernes","Sábado","Domingo")</x:f>
        <x:v>Domingo</x:v>
      </x:c>
      <x:c r="C1091" t="str">
        <x:f>IF(COUNTIF(FERIADOS!$A$2:$A$250,A1091)&gt;0,"SÍ","NO")</x:f>
        <x:v>NO</x:v>
      </x:c>
      <x:c r="D1091" t="str">
        <x:f>IF(AND(WEEKDAY(A1091,2)&lt;=5,C1091="NO"),"SÍ","NO")</x:f>
        <x:v>NO</x:v>
      </x:c>
      <x:c r="E1091" s="2" t="n">
        <x:f>WORKDAY.INTL(A1091-1,1,1,FERIADOS!$A$2:$A$250)</x:f>
        <x:v>46748</x:v>
      </x:c>
      <x:c r="F1091" t="str">
        <x:f>IF(E1091&gt;=WORKDAY.INTL(EOMONTH(E1091,0)+1,-2,1,FERIADOS!$A$2:$A$250),"SÍ","NO")</x:f>
        <x:v>NO</x:v>
      </x:c>
      <x:c r="G1091" s="10" t="n">
        <x:f>IF(F1091="SÍ",EOMONTH(E1091,0)+1,DATE(YEAR(E1091),MONTH(E1091),1))</x:f>
        <x:v>46722</x:v>
      </x:c>
      <x:c r="H1091" t="str">
        <x:f>IF(D1091="NO",IF(C1091="SÍ","FERIADO","FIN DE SEMANA"),"LABORABLE")&amp;IF(F1091="SÍ"," + CIERRE","")</x:f>
        <x:v>FIN DE SEMANA</x:v>
      </x:c>
      <x:c r="I1091" t="str">
        <x:f>TEXT(G1091,"yyyy-mm")</x:f>
        <x:v>2027-12</x:v>
      </x:c>
    </x:row>
    <x:row r="1092" ht="19" customHeight="1">
      <x:c r="A1092" s="2" t="n">
        <x:v>46748</x:v>
      </x:c>
      <x:c r="B1092" t="str">
        <x:f>CHOOSE(WEEKDAY(A1092,2),"Lunes","Martes","Miércoles","Jueves","Viernes","Sábado","Domingo")</x:f>
        <x:v>Lunes</x:v>
      </x:c>
      <x:c r="C1092" t="str">
        <x:f>IF(COUNTIF(FERIADOS!$A$2:$A$250,A1092)&gt;0,"SÍ","NO")</x:f>
        <x:v>NO</x:v>
      </x:c>
      <x:c r="D1092" t="str">
        <x:f>IF(AND(WEEKDAY(A1092,2)&lt;=5,C1092="NO"),"SÍ","NO")</x:f>
        <x:v>SÍ</x:v>
      </x:c>
      <x:c r="E1092" s="2" t="n">
        <x:f>WORKDAY.INTL(A1092-1,1,1,FERIADOS!$A$2:$A$250)</x:f>
        <x:v>46748</x:v>
      </x:c>
      <x:c r="F1092" t="str">
        <x:f>IF(E1092&gt;=WORKDAY.INTL(EOMONTH(E1092,0)+1,-2,1,FERIADOS!$A$2:$A$250),"SÍ","NO")</x:f>
        <x:v>NO</x:v>
      </x:c>
      <x:c r="G1092" s="10" t="n">
        <x:f>IF(F1092="SÍ",EOMONTH(E1092,0)+1,DATE(YEAR(E1092),MONTH(E1092),1))</x:f>
        <x:v>46722</x:v>
      </x:c>
      <x:c r="H1092" t="str">
        <x:f>IF(D1092="NO",IF(C1092="SÍ","FERIADO","FIN DE SEMANA"),"LABORABLE")&amp;IF(F1092="SÍ"," + CIERRE","")</x:f>
        <x:v>LABORABLE</x:v>
      </x:c>
      <x:c r="I1092" t="str">
        <x:f>TEXT(G1092,"yyyy-mm")</x:f>
        <x:v>2027-12</x:v>
      </x:c>
    </x:row>
    <x:row r="1093" ht="19" customHeight="1">
      <x:c r="A1093" s="2" t="n">
        <x:v>46749</x:v>
      </x:c>
      <x:c r="B1093" t="str">
        <x:f>CHOOSE(WEEKDAY(A1093,2),"Lunes","Martes","Miércoles","Jueves","Viernes","Sábado","Domingo")</x:f>
        <x:v>Martes</x:v>
      </x:c>
      <x:c r="C1093" t="str">
        <x:f>IF(COUNTIF(FERIADOS!$A$2:$A$250,A1093)&gt;0,"SÍ","NO")</x:f>
        <x:v>NO</x:v>
      </x:c>
      <x:c r="D1093" t="str">
        <x:f>IF(AND(WEEKDAY(A1093,2)&lt;=5,C1093="NO"),"SÍ","NO")</x:f>
        <x:v>SÍ</x:v>
      </x:c>
      <x:c r="E1093" s="2" t="n">
        <x:f>WORKDAY.INTL(A1093-1,1,1,FERIADOS!$A$2:$A$250)</x:f>
        <x:v>46749</x:v>
      </x:c>
      <x:c r="F1093" t="str">
        <x:f>IF(E1093&gt;=WORKDAY.INTL(EOMONTH(E1093,0)+1,-2,1,FERIADOS!$A$2:$A$250),"SÍ","NO")</x:f>
        <x:v>NO</x:v>
      </x:c>
      <x:c r="G1093" s="10" t="n">
        <x:f>IF(F1093="SÍ",EOMONTH(E1093,0)+1,DATE(YEAR(E1093),MONTH(E1093),1))</x:f>
        <x:v>46722</x:v>
      </x:c>
      <x:c r="H1093" t="str">
        <x:f>IF(D1093="NO",IF(C1093="SÍ","FERIADO","FIN DE SEMANA"),"LABORABLE")&amp;IF(F1093="SÍ"," + CIERRE","")</x:f>
        <x:v>LABORABLE</x:v>
      </x:c>
      <x:c r="I1093" t="str">
        <x:f>TEXT(G1093,"yyyy-mm")</x:f>
        <x:v>2027-12</x:v>
      </x:c>
    </x:row>
    <x:row r="1094" ht="19" customHeight="1">
      <x:c r="A1094" s="2" t="n">
        <x:v>46750</x:v>
      </x:c>
      <x:c r="B1094" t="str">
        <x:f>CHOOSE(WEEKDAY(A1094,2),"Lunes","Martes","Miércoles","Jueves","Viernes","Sábado","Domingo")</x:f>
        <x:v>Miércoles</x:v>
      </x:c>
      <x:c r="C1094" t="str">
        <x:f>IF(COUNTIF(FERIADOS!$A$2:$A$250,A1094)&gt;0,"SÍ","NO")</x:f>
        <x:v>NO</x:v>
      </x:c>
      <x:c r="D1094" t="str">
        <x:f>IF(AND(WEEKDAY(A1094,2)&lt;=5,C1094="NO"),"SÍ","NO")</x:f>
        <x:v>SÍ</x:v>
      </x:c>
      <x:c r="E1094" s="2" t="n">
        <x:f>WORKDAY.INTL(A1094-1,1,1,FERIADOS!$A$2:$A$250)</x:f>
        <x:v>46750</x:v>
      </x:c>
      <x:c r="F1094" t="str">
        <x:f>IF(E1094&gt;=WORKDAY.INTL(EOMONTH(E1094,0)+1,-2,1,FERIADOS!$A$2:$A$250),"SÍ","NO")</x:f>
        <x:v>NO</x:v>
      </x:c>
      <x:c r="G1094" s="10" t="n">
        <x:f>IF(F1094="SÍ",EOMONTH(E1094,0)+1,DATE(YEAR(E1094),MONTH(E1094),1))</x:f>
        <x:v>46722</x:v>
      </x:c>
      <x:c r="H1094" t="str">
        <x:f>IF(D1094="NO",IF(C1094="SÍ","FERIADO","FIN DE SEMANA"),"LABORABLE")&amp;IF(F1094="SÍ"," + CIERRE","")</x:f>
        <x:v>LABORABLE</x:v>
      </x:c>
      <x:c r="I1094" t="str">
        <x:f>TEXT(G1094,"yyyy-mm")</x:f>
        <x:v>2027-12</x:v>
      </x:c>
    </x:row>
    <x:row r="1095" ht="19" customHeight="1">
      <x:c r="A1095" s="2" t="n">
        <x:v>46751</x:v>
      </x:c>
      <x:c r="B1095" t="str">
        <x:f>CHOOSE(WEEKDAY(A1095,2),"Lunes","Martes","Miércoles","Jueves","Viernes","Sábado","Domingo")</x:f>
        <x:v>Jueves</x:v>
      </x:c>
      <x:c r="C1095" t="str">
        <x:f>IF(COUNTIF(FERIADOS!$A$2:$A$250,A1095)&gt;0,"SÍ","NO")</x:f>
        <x:v>NO</x:v>
      </x:c>
      <x:c r="D1095" t="str">
        <x:f>IF(AND(WEEKDAY(A1095,2)&lt;=5,C1095="NO"),"SÍ","NO")</x:f>
        <x:v>SÍ</x:v>
      </x:c>
      <x:c r="E1095" s="2" t="n">
        <x:f>WORKDAY.INTL(A1095-1,1,1,FERIADOS!$A$2:$A$250)</x:f>
        <x:v>46751</x:v>
      </x:c>
      <x:c r="F1095" t="str">
        <x:f>IF(E1095&gt;=WORKDAY.INTL(EOMONTH(E1095,0)+1,-2,1,FERIADOS!$A$2:$A$250),"SÍ","NO")</x:f>
        <x:v>SÍ</x:v>
      </x:c>
      <x:c r="G1095" s="10" t="n">
        <x:f>IF(F1095="SÍ",EOMONTH(E1095,0)+1,DATE(YEAR(E1095),MONTH(E1095),1))</x:f>
        <x:v>46753</x:v>
      </x:c>
      <x:c r="H1095" t="str">
        <x:f>IF(D1095="NO",IF(C1095="SÍ","FERIADO","FIN DE SEMANA"),"LABORABLE")&amp;IF(F1095="SÍ"," + CIERRE","")</x:f>
        <x:v>LABORABLE + CIERRE</x:v>
      </x:c>
      <x:c r="I1095" t="str">
        <x:f>TEXT(G1095,"yyyy-mm")</x:f>
        <x:v>2028-01</x:v>
      </x:c>
    </x:row>
    <x:row r="1096" ht="19" customHeight="1">
      <x:c r="A1096" s="2" t="n">
        <x:v>46752</x:v>
      </x:c>
      <x:c r="B1096" t="str">
        <x:f>CHOOSE(WEEKDAY(A1096,2),"Lunes","Martes","Miércoles","Jueves","Viernes","Sábado","Domingo")</x:f>
        <x:v>Viernes</x:v>
      </x:c>
      <x:c r="C1096" t="str">
        <x:f>IF(COUNTIF(FERIADOS!$A$2:$A$250,A1096)&gt;0,"SÍ","NO")</x:f>
        <x:v>NO</x:v>
      </x:c>
      <x:c r="D1096" t="str">
        <x:f>IF(AND(WEEKDAY(A1096,2)&lt;=5,C1096="NO"),"SÍ","NO")</x:f>
        <x:v>SÍ</x:v>
      </x:c>
      <x:c r="E1096" s="2" t="n">
        <x:f>WORKDAY.INTL(A1096-1,1,1,FERIADOS!$A$2:$A$250)</x:f>
        <x:v>46752</x:v>
      </x:c>
      <x:c r="F1096" t="str">
        <x:f>IF(E1096&gt;=WORKDAY.INTL(EOMONTH(E1096,0)+1,-2,1,FERIADOS!$A$2:$A$250),"SÍ","NO")</x:f>
        <x:v>SÍ</x:v>
      </x:c>
      <x:c r="G1096" s="10" t="n">
        <x:f>IF(F1096="SÍ",EOMONTH(E1096,0)+1,DATE(YEAR(E1096),MONTH(E1096),1))</x:f>
        <x:v>46753</x:v>
      </x:c>
      <x:c r="H1096" t="str">
        <x:f>IF(D1096="NO",IF(C1096="SÍ","FERIADO","FIN DE SEMANA"),"LABORABLE")&amp;IF(F1096="SÍ"," + CIERRE","")</x:f>
        <x:v>LABORABLE + CIERRE</x:v>
      </x:c>
      <x:c r="I1096" t="str">
        <x:f>TEXT(G1096,"yyyy-mm")</x:f>
        <x:v>2028-01</x:v>
      </x:c>
    </x:row>
    <x:row r="1097" ht="19" customHeight="1">
      <x:c r="A1097" s="2" t="n">
        <x:v>46753</x:v>
      </x:c>
      <x:c r="B1097" t="str">
        <x:f>CHOOSE(WEEKDAY(A1097,2),"Lunes","Martes","Miércoles","Jueves","Viernes","Sábado","Domingo")</x:f>
        <x:v>Sábado</x:v>
      </x:c>
      <x:c r="C1097" t="str">
        <x:f>IF(COUNTIF(FERIADOS!$A$2:$A$250,A1097)&gt;0,"SÍ","NO")</x:f>
        <x:v>SÍ</x:v>
      </x:c>
      <x:c r="D1097" t="str">
        <x:f>IF(AND(WEEKDAY(A1097,2)&lt;=5,C1097="NO"),"SÍ","NO")</x:f>
        <x:v>NO</x:v>
      </x:c>
      <x:c r="E1097" s="2" t="n">
        <x:f>WORKDAY.INTL(A1097-1,1,1,FERIADOS!$A$2:$A$250)</x:f>
        <x:v>46755</x:v>
      </x:c>
      <x:c r="F1097" t="str">
        <x:f>IF(E1097&gt;=WORKDAY.INTL(EOMONTH(E1097,0)+1,-2,1,FERIADOS!$A$2:$A$250),"SÍ","NO")</x:f>
        <x:v>NO</x:v>
      </x:c>
      <x:c r="G1097" s="10" t="n">
        <x:f>IF(F1097="SÍ",EOMONTH(E1097,0)+1,DATE(YEAR(E1097),MONTH(E1097),1))</x:f>
        <x:v>46753</x:v>
      </x:c>
      <x:c r="H1097" t="str">
        <x:f>IF(D1097="NO",IF(C1097="SÍ","FERIADO","FIN DE SEMANA"),"LABORABLE")&amp;IF(F1097="SÍ"," + CIERRE","")</x:f>
        <x:v>FERIADO</x:v>
      </x:c>
      <x:c r="I1097" t="str">
        <x:f>TEXT(G1097,"yyyy-mm")</x:f>
        <x:v>2028-01</x:v>
      </x:c>
    </x:row>
    <x:row r="1098" ht="19" customHeight="1">
      <x:c r="A1098" s="2" t="n">
        <x:v>46754</x:v>
      </x:c>
      <x:c r="B1098" t="str">
        <x:f>CHOOSE(WEEKDAY(A1098,2),"Lunes","Martes","Miércoles","Jueves","Viernes","Sábado","Domingo")</x:f>
        <x:v>Domingo</x:v>
      </x:c>
      <x:c r="C1098" t="str">
        <x:f>IF(COUNTIF(FERIADOS!$A$2:$A$250,A1098)&gt;0,"SÍ","NO")</x:f>
        <x:v>NO</x:v>
      </x:c>
      <x:c r="D1098" t="str">
        <x:f>IF(AND(WEEKDAY(A1098,2)&lt;=5,C1098="NO"),"SÍ","NO")</x:f>
        <x:v>NO</x:v>
      </x:c>
      <x:c r="E1098" s="2" t="n">
        <x:f>WORKDAY.INTL(A1098-1,1,1,FERIADOS!$A$2:$A$250)</x:f>
        <x:v>46755</x:v>
      </x:c>
      <x:c r="F1098" t="str">
        <x:f>IF(E1098&gt;=WORKDAY.INTL(EOMONTH(E1098,0)+1,-2,1,FERIADOS!$A$2:$A$250),"SÍ","NO")</x:f>
        <x:v>NO</x:v>
      </x:c>
      <x:c r="G1098" s="10" t="n">
        <x:f>IF(F1098="SÍ",EOMONTH(E1098,0)+1,DATE(YEAR(E1098),MONTH(E1098),1))</x:f>
        <x:v>46753</x:v>
      </x:c>
      <x:c r="H1098" t="str">
        <x:f>IF(D1098="NO",IF(C1098="SÍ","FERIADO","FIN DE SEMANA"),"LABORABLE")&amp;IF(F1098="SÍ"," + CIERRE","")</x:f>
        <x:v>FIN DE SEMANA</x:v>
      </x:c>
      <x:c r="I1098" t="str">
        <x:f>TEXT(G1098,"yyyy-mm")</x:f>
        <x:v>2028-01</x:v>
      </x:c>
    </x:row>
    <x:row r="1099" ht="19" customHeight="1">
      <x:c r="A1099" s="2" t="n">
        <x:v>46755</x:v>
      </x:c>
      <x:c r="B1099" t="str">
        <x:f>CHOOSE(WEEKDAY(A1099,2),"Lunes","Martes","Miércoles","Jueves","Viernes","Sábado","Domingo")</x:f>
        <x:v>Lunes</x:v>
      </x:c>
      <x:c r="C1099" t="str">
        <x:f>IF(COUNTIF(FERIADOS!$A$2:$A$250,A1099)&gt;0,"SÍ","NO")</x:f>
        <x:v>NO</x:v>
      </x:c>
      <x:c r="D1099" t="str">
        <x:f>IF(AND(WEEKDAY(A1099,2)&lt;=5,C1099="NO"),"SÍ","NO")</x:f>
        <x:v>SÍ</x:v>
      </x:c>
      <x:c r="E1099" s="2" t="n">
        <x:f>WORKDAY.INTL(A1099-1,1,1,FERIADOS!$A$2:$A$250)</x:f>
        <x:v>46755</x:v>
      </x:c>
      <x:c r="F1099" t="str">
        <x:f>IF(E1099&gt;=WORKDAY.INTL(EOMONTH(E1099,0)+1,-2,1,FERIADOS!$A$2:$A$250),"SÍ","NO")</x:f>
        <x:v>NO</x:v>
      </x:c>
      <x:c r="G1099" s="10" t="n">
        <x:f>IF(F1099="SÍ",EOMONTH(E1099,0)+1,DATE(YEAR(E1099),MONTH(E1099),1))</x:f>
        <x:v>46753</x:v>
      </x:c>
      <x:c r="H1099" t="str">
        <x:f>IF(D1099="NO",IF(C1099="SÍ","FERIADO","FIN DE SEMANA"),"LABORABLE")&amp;IF(F1099="SÍ"," + CIERRE","")</x:f>
        <x:v>LABORABLE</x:v>
      </x:c>
      <x:c r="I1099" t="str">
        <x:f>TEXT(G1099,"yyyy-mm")</x:f>
        <x:v>2028-01</x:v>
      </x:c>
    </x:row>
    <x:row r="1100" ht="19" customHeight="1">
      <x:c r="A1100" s="2" t="n">
        <x:v>46756</x:v>
      </x:c>
      <x:c r="B1100" t="str">
        <x:f>CHOOSE(WEEKDAY(A1100,2),"Lunes","Martes","Miércoles","Jueves","Viernes","Sábado","Domingo")</x:f>
        <x:v>Martes</x:v>
      </x:c>
      <x:c r="C1100" t="str">
        <x:f>IF(COUNTIF(FERIADOS!$A$2:$A$250,A1100)&gt;0,"SÍ","NO")</x:f>
        <x:v>NO</x:v>
      </x:c>
      <x:c r="D1100" t="str">
        <x:f>IF(AND(WEEKDAY(A1100,2)&lt;=5,C1100="NO"),"SÍ","NO")</x:f>
        <x:v>SÍ</x:v>
      </x:c>
      <x:c r="E1100" s="2" t="n">
        <x:f>WORKDAY.INTL(A1100-1,1,1,FERIADOS!$A$2:$A$250)</x:f>
        <x:v>46756</x:v>
      </x:c>
      <x:c r="F1100" t="str">
        <x:f>IF(E1100&gt;=WORKDAY.INTL(EOMONTH(E1100,0)+1,-2,1,FERIADOS!$A$2:$A$250),"SÍ","NO")</x:f>
        <x:v>NO</x:v>
      </x:c>
      <x:c r="G1100" s="10" t="n">
        <x:f>IF(F1100="SÍ",EOMONTH(E1100,0)+1,DATE(YEAR(E1100),MONTH(E1100),1))</x:f>
        <x:v>46753</x:v>
      </x:c>
      <x:c r="H1100" t="str">
        <x:f>IF(D1100="NO",IF(C1100="SÍ","FERIADO","FIN DE SEMANA"),"LABORABLE")&amp;IF(F1100="SÍ"," + CIERRE","")</x:f>
        <x:v>LABORABLE</x:v>
      </x:c>
      <x:c r="I1100" t="str">
        <x:f>TEXT(G1100,"yyyy-mm")</x:f>
        <x:v>2028-01</x:v>
      </x:c>
    </x:row>
    <x:row r="1101" ht="19" customHeight="1">
      <x:c r="A1101" s="2" t="n">
        <x:v>46757</x:v>
      </x:c>
      <x:c r="B1101" t="str">
        <x:f>CHOOSE(WEEKDAY(A1101,2),"Lunes","Martes","Miércoles","Jueves","Viernes","Sábado","Domingo")</x:f>
        <x:v>Miércoles</x:v>
      </x:c>
      <x:c r="C1101" t="str">
        <x:f>IF(COUNTIF(FERIADOS!$A$2:$A$250,A1101)&gt;0,"SÍ","NO")</x:f>
        <x:v>NO</x:v>
      </x:c>
      <x:c r="D1101" t="str">
        <x:f>IF(AND(WEEKDAY(A1101,2)&lt;=5,C1101="NO"),"SÍ","NO")</x:f>
        <x:v>SÍ</x:v>
      </x:c>
      <x:c r="E1101" s="2" t="n">
        <x:f>WORKDAY.INTL(A1101-1,1,1,FERIADOS!$A$2:$A$250)</x:f>
        <x:v>46757</x:v>
      </x:c>
      <x:c r="F1101" t="str">
        <x:f>IF(E1101&gt;=WORKDAY.INTL(EOMONTH(E1101,0)+1,-2,1,FERIADOS!$A$2:$A$250),"SÍ","NO")</x:f>
        <x:v>NO</x:v>
      </x:c>
      <x:c r="G1101" s="10" t="n">
        <x:f>IF(F1101="SÍ",EOMONTH(E1101,0)+1,DATE(YEAR(E1101),MONTH(E1101),1))</x:f>
        <x:v>46753</x:v>
      </x:c>
      <x:c r="H1101" t="str">
        <x:f>IF(D1101="NO",IF(C1101="SÍ","FERIADO","FIN DE SEMANA"),"LABORABLE")&amp;IF(F1101="SÍ"," + CIERRE","")</x:f>
        <x:v>LABORABLE</x:v>
      </x:c>
      <x:c r="I1101" t="str">
        <x:f>TEXT(G1101,"yyyy-mm")</x:f>
        <x:v>2028-01</x:v>
      </x:c>
    </x:row>
    <x:row r="1102" ht="19" customHeight="1">
      <x:c r="A1102" s="2" t="n">
        <x:v>46758</x:v>
      </x:c>
      <x:c r="B1102" t="str">
        <x:f>CHOOSE(WEEKDAY(A1102,2),"Lunes","Martes","Miércoles","Jueves","Viernes","Sábado","Domingo")</x:f>
        <x:v>Jueves</x:v>
      </x:c>
      <x:c r="C1102" t="str">
        <x:f>IF(COUNTIF(FERIADOS!$A$2:$A$250,A1102)&gt;0,"SÍ","NO")</x:f>
        <x:v>NO</x:v>
      </x:c>
      <x:c r="D1102" t="str">
        <x:f>IF(AND(WEEKDAY(A1102,2)&lt;=5,C1102="NO"),"SÍ","NO")</x:f>
        <x:v>SÍ</x:v>
      </x:c>
      <x:c r="E1102" s="2" t="n">
        <x:f>WORKDAY.INTL(A1102-1,1,1,FERIADOS!$A$2:$A$250)</x:f>
        <x:v>46758</x:v>
      </x:c>
      <x:c r="F1102" t="str">
        <x:f>IF(E1102&gt;=WORKDAY.INTL(EOMONTH(E1102,0)+1,-2,1,FERIADOS!$A$2:$A$250),"SÍ","NO")</x:f>
        <x:v>NO</x:v>
      </x:c>
      <x:c r="G1102" s="10" t="n">
        <x:f>IF(F1102="SÍ",EOMONTH(E1102,0)+1,DATE(YEAR(E1102),MONTH(E1102),1))</x:f>
        <x:v>46753</x:v>
      </x:c>
      <x:c r="H1102" t="str">
        <x:f>IF(D1102="NO",IF(C1102="SÍ","FERIADO","FIN DE SEMANA"),"LABORABLE")&amp;IF(F1102="SÍ"," + CIERRE","")</x:f>
        <x:v>LABORABLE</x:v>
      </x:c>
      <x:c r="I1102" t="str">
        <x:f>TEXT(G1102,"yyyy-mm")</x:f>
        <x:v>2028-01</x:v>
      </x:c>
    </x:row>
    <x:row r="1103" ht="19" customHeight="1">
      <x:c r="A1103" s="2" t="n">
        <x:v>46759</x:v>
      </x:c>
      <x:c r="B1103" t="str">
        <x:f>CHOOSE(WEEKDAY(A1103,2),"Lunes","Martes","Miércoles","Jueves","Viernes","Sábado","Domingo")</x:f>
        <x:v>Viernes</x:v>
      </x:c>
      <x:c r="C1103" t="str">
        <x:f>IF(COUNTIF(FERIADOS!$A$2:$A$250,A1103)&gt;0,"SÍ","NO")</x:f>
        <x:v>NO</x:v>
      </x:c>
      <x:c r="D1103" t="str">
        <x:f>IF(AND(WEEKDAY(A1103,2)&lt;=5,C1103="NO"),"SÍ","NO")</x:f>
        <x:v>SÍ</x:v>
      </x:c>
      <x:c r="E1103" s="2" t="n">
        <x:f>WORKDAY.INTL(A1103-1,1,1,FERIADOS!$A$2:$A$250)</x:f>
        <x:v>46759</x:v>
      </x:c>
      <x:c r="F1103" t="str">
        <x:f>IF(E1103&gt;=WORKDAY.INTL(EOMONTH(E1103,0)+1,-2,1,FERIADOS!$A$2:$A$250),"SÍ","NO")</x:f>
        <x:v>NO</x:v>
      </x:c>
      <x:c r="G1103" s="10" t="n">
        <x:f>IF(F1103="SÍ",EOMONTH(E1103,0)+1,DATE(YEAR(E1103),MONTH(E1103),1))</x:f>
        <x:v>46753</x:v>
      </x:c>
      <x:c r="H1103" t="str">
        <x:f>IF(D1103="NO",IF(C1103="SÍ","FERIADO","FIN DE SEMANA"),"LABORABLE")&amp;IF(F1103="SÍ"," + CIERRE","")</x:f>
        <x:v>LABORABLE</x:v>
      </x:c>
      <x:c r="I1103" t="str">
        <x:f>TEXT(G1103,"yyyy-mm")</x:f>
        <x:v>2028-01</x:v>
      </x:c>
    </x:row>
    <x:row r="1104" ht="19" customHeight="1">
      <x:c r="A1104" s="2" t="n">
        <x:v>46760</x:v>
      </x:c>
      <x:c r="B1104" t="str">
        <x:f>CHOOSE(WEEKDAY(A1104,2),"Lunes","Martes","Miércoles","Jueves","Viernes","Sábado","Domingo")</x:f>
        <x:v>Sábado</x:v>
      </x:c>
      <x:c r="C1104" t="str">
        <x:f>IF(COUNTIF(FERIADOS!$A$2:$A$250,A1104)&gt;0,"SÍ","NO")</x:f>
        <x:v>NO</x:v>
      </x:c>
      <x:c r="D1104" t="str">
        <x:f>IF(AND(WEEKDAY(A1104,2)&lt;=5,C1104="NO"),"SÍ","NO")</x:f>
        <x:v>NO</x:v>
      </x:c>
      <x:c r="E1104" s="2" t="n">
        <x:f>WORKDAY.INTL(A1104-1,1,1,FERIADOS!$A$2:$A$250)</x:f>
        <x:v>46762</x:v>
      </x:c>
      <x:c r="F1104" t="str">
        <x:f>IF(E1104&gt;=WORKDAY.INTL(EOMONTH(E1104,0)+1,-2,1,FERIADOS!$A$2:$A$250),"SÍ","NO")</x:f>
        <x:v>NO</x:v>
      </x:c>
      <x:c r="G1104" s="10" t="n">
        <x:f>IF(F1104="SÍ",EOMONTH(E1104,0)+1,DATE(YEAR(E1104),MONTH(E1104),1))</x:f>
        <x:v>46753</x:v>
      </x:c>
      <x:c r="H1104" t="str">
        <x:f>IF(D1104="NO",IF(C1104="SÍ","FERIADO","FIN DE SEMANA"),"LABORABLE")&amp;IF(F1104="SÍ"," + CIERRE","")</x:f>
        <x:v>FIN DE SEMANA</x:v>
      </x:c>
      <x:c r="I1104" t="str">
        <x:f>TEXT(G1104,"yyyy-mm")</x:f>
        <x:v>2028-01</x:v>
      </x:c>
    </x:row>
    <x:row r="1105" ht="19" customHeight="1">
      <x:c r="A1105" s="2" t="n">
        <x:v>46761</x:v>
      </x:c>
      <x:c r="B1105" t="str">
        <x:f>CHOOSE(WEEKDAY(A1105,2),"Lunes","Martes","Miércoles","Jueves","Viernes","Sábado","Domingo")</x:f>
        <x:v>Domingo</x:v>
      </x:c>
      <x:c r="C1105" t="str">
        <x:f>IF(COUNTIF(FERIADOS!$A$2:$A$250,A1105)&gt;0,"SÍ","NO")</x:f>
        <x:v>NO</x:v>
      </x:c>
      <x:c r="D1105" t="str">
        <x:f>IF(AND(WEEKDAY(A1105,2)&lt;=5,C1105="NO"),"SÍ","NO")</x:f>
        <x:v>NO</x:v>
      </x:c>
      <x:c r="E1105" s="2" t="n">
        <x:f>WORKDAY.INTL(A1105-1,1,1,FERIADOS!$A$2:$A$250)</x:f>
        <x:v>46762</x:v>
      </x:c>
      <x:c r="F1105" t="str">
        <x:f>IF(E1105&gt;=WORKDAY.INTL(EOMONTH(E1105,0)+1,-2,1,FERIADOS!$A$2:$A$250),"SÍ","NO")</x:f>
        <x:v>NO</x:v>
      </x:c>
      <x:c r="G1105" s="10" t="n">
        <x:f>IF(F1105="SÍ",EOMONTH(E1105,0)+1,DATE(YEAR(E1105),MONTH(E1105),1))</x:f>
        <x:v>46753</x:v>
      </x:c>
      <x:c r="H1105" t="str">
        <x:f>IF(D1105="NO",IF(C1105="SÍ","FERIADO","FIN DE SEMANA"),"LABORABLE")&amp;IF(F1105="SÍ"," + CIERRE","")</x:f>
        <x:v>FIN DE SEMANA</x:v>
      </x:c>
      <x:c r="I1105" t="str">
        <x:f>TEXT(G1105,"yyyy-mm")</x:f>
        <x:v>2028-01</x:v>
      </x:c>
    </x:row>
    <x:row r="1106" ht="19" customHeight="1">
      <x:c r="A1106" s="2" t="n">
        <x:v>46762</x:v>
      </x:c>
      <x:c r="B1106" t="str">
        <x:f>CHOOSE(WEEKDAY(A1106,2),"Lunes","Martes","Miércoles","Jueves","Viernes","Sábado","Domingo")</x:f>
        <x:v>Lunes</x:v>
      </x:c>
      <x:c r="C1106" t="str">
        <x:f>IF(COUNTIF(FERIADOS!$A$2:$A$250,A1106)&gt;0,"SÍ","NO")</x:f>
        <x:v>NO</x:v>
      </x:c>
      <x:c r="D1106" t="str">
        <x:f>IF(AND(WEEKDAY(A1106,2)&lt;=5,C1106="NO"),"SÍ","NO")</x:f>
        <x:v>SÍ</x:v>
      </x:c>
      <x:c r="E1106" s="2" t="n">
        <x:f>WORKDAY.INTL(A1106-1,1,1,FERIADOS!$A$2:$A$250)</x:f>
        <x:v>46762</x:v>
      </x:c>
      <x:c r="F1106" t="str">
        <x:f>IF(E1106&gt;=WORKDAY.INTL(EOMONTH(E1106,0)+1,-2,1,FERIADOS!$A$2:$A$250),"SÍ","NO")</x:f>
        <x:v>NO</x:v>
      </x:c>
      <x:c r="G1106" s="10" t="n">
        <x:f>IF(F1106="SÍ",EOMONTH(E1106,0)+1,DATE(YEAR(E1106),MONTH(E1106),1))</x:f>
        <x:v>46753</x:v>
      </x:c>
      <x:c r="H1106" t="str">
        <x:f>IF(D1106="NO",IF(C1106="SÍ","FERIADO","FIN DE SEMANA"),"LABORABLE")&amp;IF(F1106="SÍ"," + CIERRE","")</x:f>
        <x:v>LABORABLE</x:v>
      </x:c>
      <x:c r="I1106" t="str">
        <x:f>TEXT(G1106,"yyyy-mm")</x:f>
        <x:v>2028-01</x:v>
      </x:c>
    </x:row>
    <x:row r="1107" ht="19" customHeight="1">
      <x:c r="A1107" s="2" t="n">
        <x:v>46763</x:v>
      </x:c>
      <x:c r="B1107" t="str">
        <x:f>CHOOSE(WEEKDAY(A1107,2),"Lunes","Martes","Miércoles","Jueves","Viernes","Sábado","Domingo")</x:f>
        <x:v>Martes</x:v>
      </x:c>
      <x:c r="C1107" t="str">
        <x:f>IF(COUNTIF(FERIADOS!$A$2:$A$250,A1107)&gt;0,"SÍ","NO")</x:f>
        <x:v>NO</x:v>
      </x:c>
      <x:c r="D1107" t="str">
        <x:f>IF(AND(WEEKDAY(A1107,2)&lt;=5,C1107="NO"),"SÍ","NO")</x:f>
        <x:v>SÍ</x:v>
      </x:c>
      <x:c r="E1107" s="2" t="n">
        <x:f>WORKDAY.INTL(A1107-1,1,1,FERIADOS!$A$2:$A$250)</x:f>
        <x:v>46763</x:v>
      </x:c>
      <x:c r="F1107" t="str">
        <x:f>IF(E1107&gt;=WORKDAY.INTL(EOMONTH(E1107,0)+1,-2,1,FERIADOS!$A$2:$A$250),"SÍ","NO")</x:f>
        <x:v>NO</x:v>
      </x:c>
      <x:c r="G1107" s="10" t="n">
        <x:f>IF(F1107="SÍ",EOMONTH(E1107,0)+1,DATE(YEAR(E1107),MONTH(E1107),1))</x:f>
        <x:v>46753</x:v>
      </x:c>
      <x:c r="H1107" t="str">
        <x:f>IF(D1107="NO",IF(C1107="SÍ","FERIADO","FIN DE SEMANA"),"LABORABLE")&amp;IF(F1107="SÍ"," + CIERRE","")</x:f>
        <x:v>LABORABLE</x:v>
      </x:c>
      <x:c r="I1107" t="str">
        <x:f>TEXT(G1107,"yyyy-mm")</x:f>
        <x:v>2028-01</x:v>
      </x:c>
    </x:row>
    <x:row r="1108" ht="19" customHeight="1">
      <x:c r="A1108" s="2" t="n">
        <x:v>46764</x:v>
      </x:c>
      <x:c r="B1108" t="str">
        <x:f>CHOOSE(WEEKDAY(A1108,2),"Lunes","Martes","Miércoles","Jueves","Viernes","Sábado","Domingo")</x:f>
        <x:v>Miércoles</x:v>
      </x:c>
      <x:c r="C1108" t="str">
        <x:f>IF(COUNTIF(FERIADOS!$A$2:$A$250,A1108)&gt;0,"SÍ","NO")</x:f>
        <x:v>NO</x:v>
      </x:c>
      <x:c r="D1108" t="str">
        <x:f>IF(AND(WEEKDAY(A1108,2)&lt;=5,C1108="NO"),"SÍ","NO")</x:f>
        <x:v>SÍ</x:v>
      </x:c>
      <x:c r="E1108" s="2" t="n">
        <x:f>WORKDAY.INTL(A1108-1,1,1,FERIADOS!$A$2:$A$250)</x:f>
        <x:v>46764</x:v>
      </x:c>
      <x:c r="F1108" t="str">
        <x:f>IF(E1108&gt;=WORKDAY.INTL(EOMONTH(E1108,0)+1,-2,1,FERIADOS!$A$2:$A$250),"SÍ","NO")</x:f>
        <x:v>NO</x:v>
      </x:c>
      <x:c r="G1108" s="10" t="n">
        <x:f>IF(F1108="SÍ",EOMONTH(E1108,0)+1,DATE(YEAR(E1108),MONTH(E1108),1))</x:f>
        <x:v>46753</x:v>
      </x:c>
      <x:c r="H1108" t="str">
        <x:f>IF(D1108="NO",IF(C1108="SÍ","FERIADO","FIN DE SEMANA"),"LABORABLE")&amp;IF(F1108="SÍ"," + CIERRE","")</x:f>
        <x:v>LABORABLE</x:v>
      </x:c>
      <x:c r="I1108" t="str">
        <x:f>TEXT(G1108,"yyyy-mm")</x:f>
        <x:v>2028-01</x:v>
      </x:c>
    </x:row>
    <x:row r="1109" ht="19" customHeight="1">
      <x:c r="A1109" s="2" t="n">
        <x:v>46765</x:v>
      </x:c>
      <x:c r="B1109" t="str">
        <x:f>CHOOSE(WEEKDAY(A1109,2),"Lunes","Martes","Miércoles","Jueves","Viernes","Sábado","Domingo")</x:f>
        <x:v>Jueves</x:v>
      </x:c>
      <x:c r="C1109" t="str">
        <x:f>IF(COUNTIF(FERIADOS!$A$2:$A$250,A1109)&gt;0,"SÍ","NO")</x:f>
        <x:v>NO</x:v>
      </x:c>
      <x:c r="D1109" t="str">
        <x:f>IF(AND(WEEKDAY(A1109,2)&lt;=5,C1109="NO"),"SÍ","NO")</x:f>
        <x:v>SÍ</x:v>
      </x:c>
      <x:c r="E1109" s="2" t="n">
        <x:f>WORKDAY.INTL(A1109-1,1,1,FERIADOS!$A$2:$A$250)</x:f>
        <x:v>46765</x:v>
      </x:c>
      <x:c r="F1109" t="str">
        <x:f>IF(E1109&gt;=WORKDAY.INTL(EOMONTH(E1109,0)+1,-2,1,FERIADOS!$A$2:$A$250),"SÍ","NO")</x:f>
        <x:v>NO</x:v>
      </x:c>
      <x:c r="G1109" s="10" t="n">
        <x:f>IF(F1109="SÍ",EOMONTH(E1109,0)+1,DATE(YEAR(E1109),MONTH(E1109),1))</x:f>
        <x:v>46753</x:v>
      </x:c>
      <x:c r="H1109" t="str">
        <x:f>IF(D1109="NO",IF(C1109="SÍ","FERIADO","FIN DE SEMANA"),"LABORABLE")&amp;IF(F1109="SÍ"," + CIERRE","")</x:f>
        <x:v>LABORABLE</x:v>
      </x:c>
      <x:c r="I1109" t="str">
        <x:f>TEXT(G1109,"yyyy-mm")</x:f>
        <x:v>2028-01</x:v>
      </x:c>
    </x:row>
    <x:row r="1110" ht="19" customHeight="1">
      <x:c r="A1110" s="2" t="n">
        <x:v>46766</x:v>
      </x:c>
      <x:c r="B1110" t="str">
        <x:f>CHOOSE(WEEKDAY(A1110,2),"Lunes","Martes","Miércoles","Jueves","Viernes","Sábado","Domingo")</x:f>
        <x:v>Viernes</x:v>
      </x:c>
      <x:c r="C1110" t="str">
        <x:f>IF(COUNTIF(FERIADOS!$A$2:$A$250,A1110)&gt;0,"SÍ","NO")</x:f>
        <x:v>NO</x:v>
      </x:c>
      <x:c r="D1110" t="str">
        <x:f>IF(AND(WEEKDAY(A1110,2)&lt;=5,C1110="NO"),"SÍ","NO")</x:f>
        <x:v>SÍ</x:v>
      </x:c>
      <x:c r="E1110" s="2" t="n">
        <x:f>WORKDAY.INTL(A1110-1,1,1,FERIADOS!$A$2:$A$250)</x:f>
        <x:v>46766</x:v>
      </x:c>
      <x:c r="F1110" t="str">
        <x:f>IF(E1110&gt;=WORKDAY.INTL(EOMONTH(E1110,0)+1,-2,1,FERIADOS!$A$2:$A$250),"SÍ","NO")</x:f>
        <x:v>NO</x:v>
      </x:c>
      <x:c r="G1110" s="10" t="n">
        <x:f>IF(F1110="SÍ",EOMONTH(E1110,0)+1,DATE(YEAR(E1110),MONTH(E1110),1))</x:f>
        <x:v>46753</x:v>
      </x:c>
      <x:c r="H1110" t="str">
        <x:f>IF(D1110="NO",IF(C1110="SÍ","FERIADO","FIN DE SEMANA"),"LABORABLE")&amp;IF(F1110="SÍ"," + CIERRE","")</x:f>
        <x:v>LABORABLE</x:v>
      </x:c>
      <x:c r="I1110" t="str">
        <x:f>TEXT(G1110,"yyyy-mm")</x:f>
        <x:v>2028-01</x:v>
      </x:c>
    </x:row>
    <x:row r="1111" ht="19" customHeight="1">
      <x:c r="A1111" s="2" t="n">
        <x:v>46767</x:v>
      </x:c>
      <x:c r="B1111" t="str">
        <x:f>CHOOSE(WEEKDAY(A1111,2),"Lunes","Martes","Miércoles","Jueves","Viernes","Sábado","Domingo")</x:f>
        <x:v>Sábado</x:v>
      </x:c>
      <x:c r="C1111" t="str">
        <x:f>IF(COUNTIF(FERIADOS!$A$2:$A$250,A1111)&gt;0,"SÍ","NO")</x:f>
        <x:v>NO</x:v>
      </x:c>
      <x:c r="D1111" t="str">
        <x:f>IF(AND(WEEKDAY(A1111,2)&lt;=5,C1111="NO"),"SÍ","NO")</x:f>
        <x:v>NO</x:v>
      </x:c>
      <x:c r="E1111" s="2" t="n">
        <x:f>WORKDAY.INTL(A1111-1,1,1,FERIADOS!$A$2:$A$250)</x:f>
        <x:v>46769</x:v>
      </x:c>
      <x:c r="F1111" t="str">
        <x:f>IF(E1111&gt;=WORKDAY.INTL(EOMONTH(E1111,0)+1,-2,1,FERIADOS!$A$2:$A$250),"SÍ","NO")</x:f>
        <x:v>NO</x:v>
      </x:c>
      <x:c r="G1111" s="10" t="n">
        <x:f>IF(F1111="SÍ",EOMONTH(E1111,0)+1,DATE(YEAR(E1111),MONTH(E1111),1))</x:f>
        <x:v>46753</x:v>
      </x:c>
      <x:c r="H1111" t="str">
        <x:f>IF(D1111="NO",IF(C1111="SÍ","FERIADO","FIN DE SEMANA"),"LABORABLE")&amp;IF(F1111="SÍ"," + CIERRE","")</x:f>
        <x:v>FIN DE SEMANA</x:v>
      </x:c>
      <x:c r="I1111" t="str">
        <x:f>TEXT(G1111,"yyyy-mm")</x:f>
        <x:v>2028-01</x:v>
      </x:c>
    </x:row>
    <x:row r="1112" ht="19" customHeight="1">
      <x:c r="A1112" s="2" t="n">
        <x:v>46768</x:v>
      </x:c>
      <x:c r="B1112" t="str">
        <x:f>CHOOSE(WEEKDAY(A1112,2),"Lunes","Martes","Miércoles","Jueves","Viernes","Sábado","Domingo")</x:f>
        <x:v>Domingo</x:v>
      </x:c>
      <x:c r="C1112" t="str">
        <x:f>IF(COUNTIF(FERIADOS!$A$2:$A$250,A1112)&gt;0,"SÍ","NO")</x:f>
        <x:v>NO</x:v>
      </x:c>
      <x:c r="D1112" t="str">
        <x:f>IF(AND(WEEKDAY(A1112,2)&lt;=5,C1112="NO"),"SÍ","NO")</x:f>
        <x:v>NO</x:v>
      </x:c>
      <x:c r="E1112" s="2" t="n">
        <x:f>WORKDAY.INTL(A1112-1,1,1,FERIADOS!$A$2:$A$250)</x:f>
        <x:v>46769</x:v>
      </x:c>
      <x:c r="F1112" t="str">
        <x:f>IF(E1112&gt;=WORKDAY.INTL(EOMONTH(E1112,0)+1,-2,1,FERIADOS!$A$2:$A$250),"SÍ","NO")</x:f>
        <x:v>NO</x:v>
      </x:c>
      <x:c r="G1112" s="10" t="n">
        <x:f>IF(F1112="SÍ",EOMONTH(E1112,0)+1,DATE(YEAR(E1112),MONTH(E1112),1))</x:f>
        <x:v>46753</x:v>
      </x:c>
      <x:c r="H1112" t="str">
        <x:f>IF(D1112="NO",IF(C1112="SÍ","FERIADO","FIN DE SEMANA"),"LABORABLE")&amp;IF(F1112="SÍ"," + CIERRE","")</x:f>
        <x:v>FIN DE SEMANA</x:v>
      </x:c>
      <x:c r="I1112" t="str">
        <x:f>TEXT(G1112,"yyyy-mm")</x:f>
        <x:v>2028-01</x:v>
      </x:c>
    </x:row>
    <x:row r="1113" ht="19" customHeight="1">
      <x:c r="A1113" s="2" t="n">
        <x:v>46769</x:v>
      </x:c>
      <x:c r="B1113" t="str">
        <x:f>CHOOSE(WEEKDAY(A1113,2),"Lunes","Martes","Miércoles","Jueves","Viernes","Sábado","Domingo")</x:f>
        <x:v>Lunes</x:v>
      </x:c>
      <x:c r="C1113" t="str">
        <x:f>IF(COUNTIF(FERIADOS!$A$2:$A$250,A1113)&gt;0,"SÍ","NO")</x:f>
        <x:v>NO</x:v>
      </x:c>
      <x:c r="D1113" t="str">
        <x:f>IF(AND(WEEKDAY(A1113,2)&lt;=5,C1113="NO"),"SÍ","NO")</x:f>
        <x:v>SÍ</x:v>
      </x:c>
      <x:c r="E1113" s="2" t="n">
        <x:f>WORKDAY.INTL(A1113-1,1,1,FERIADOS!$A$2:$A$250)</x:f>
        <x:v>46769</x:v>
      </x:c>
      <x:c r="F1113" t="str">
        <x:f>IF(E1113&gt;=WORKDAY.INTL(EOMONTH(E1113,0)+1,-2,1,FERIADOS!$A$2:$A$250),"SÍ","NO")</x:f>
        <x:v>NO</x:v>
      </x:c>
      <x:c r="G1113" s="10" t="n">
        <x:f>IF(F1113="SÍ",EOMONTH(E1113,0)+1,DATE(YEAR(E1113),MONTH(E1113),1))</x:f>
        <x:v>46753</x:v>
      </x:c>
      <x:c r="H1113" t="str">
        <x:f>IF(D1113="NO",IF(C1113="SÍ","FERIADO","FIN DE SEMANA"),"LABORABLE")&amp;IF(F1113="SÍ"," + CIERRE","")</x:f>
        <x:v>LABORABLE</x:v>
      </x:c>
      <x:c r="I1113" t="str">
        <x:f>TEXT(G1113,"yyyy-mm")</x:f>
        <x:v>2028-01</x:v>
      </x:c>
    </x:row>
    <x:row r="1114" ht="19" customHeight="1">
      <x:c r="A1114" s="2" t="n">
        <x:v>46770</x:v>
      </x:c>
      <x:c r="B1114" t="str">
        <x:f>CHOOSE(WEEKDAY(A1114,2),"Lunes","Martes","Miércoles","Jueves","Viernes","Sábado","Domingo")</x:f>
        <x:v>Martes</x:v>
      </x:c>
      <x:c r="C1114" t="str">
        <x:f>IF(COUNTIF(FERIADOS!$A$2:$A$250,A1114)&gt;0,"SÍ","NO")</x:f>
        <x:v>NO</x:v>
      </x:c>
      <x:c r="D1114" t="str">
        <x:f>IF(AND(WEEKDAY(A1114,2)&lt;=5,C1114="NO"),"SÍ","NO")</x:f>
        <x:v>SÍ</x:v>
      </x:c>
      <x:c r="E1114" s="2" t="n">
        <x:f>WORKDAY.INTL(A1114-1,1,1,FERIADOS!$A$2:$A$250)</x:f>
        <x:v>46770</x:v>
      </x:c>
      <x:c r="F1114" t="str">
        <x:f>IF(E1114&gt;=WORKDAY.INTL(EOMONTH(E1114,0)+1,-2,1,FERIADOS!$A$2:$A$250),"SÍ","NO")</x:f>
        <x:v>NO</x:v>
      </x:c>
      <x:c r="G1114" s="10" t="n">
        <x:f>IF(F1114="SÍ",EOMONTH(E1114,0)+1,DATE(YEAR(E1114),MONTH(E1114),1))</x:f>
        <x:v>46753</x:v>
      </x:c>
      <x:c r="H1114" t="str">
        <x:f>IF(D1114="NO",IF(C1114="SÍ","FERIADO","FIN DE SEMANA"),"LABORABLE")&amp;IF(F1114="SÍ"," + CIERRE","")</x:f>
        <x:v>LABORABLE</x:v>
      </x:c>
      <x:c r="I1114" t="str">
        <x:f>TEXT(G1114,"yyyy-mm")</x:f>
        <x:v>2028-01</x:v>
      </x:c>
    </x:row>
    <x:row r="1115" ht="19" customHeight="1">
      <x:c r="A1115" s="2" t="n">
        <x:v>46771</x:v>
      </x:c>
      <x:c r="B1115" t="str">
        <x:f>CHOOSE(WEEKDAY(A1115,2),"Lunes","Martes","Miércoles","Jueves","Viernes","Sábado","Domingo")</x:f>
        <x:v>Miércoles</x:v>
      </x:c>
      <x:c r="C1115" t="str">
        <x:f>IF(COUNTIF(FERIADOS!$A$2:$A$250,A1115)&gt;0,"SÍ","NO")</x:f>
        <x:v>NO</x:v>
      </x:c>
      <x:c r="D1115" t="str">
        <x:f>IF(AND(WEEKDAY(A1115,2)&lt;=5,C1115="NO"),"SÍ","NO")</x:f>
        <x:v>SÍ</x:v>
      </x:c>
      <x:c r="E1115" s="2" t="n">
        <x:f>WORKDAY.INTL(A1115-1,1,1,FERIADOS!$A$2:$A$250)</x:f>
        <x:v>46771</x:v>
      </x:c>
      <x:c r="F1115" t="str">
        <x:f>IF(E1115&gt;=WORKDAY.INTL(EOMONTH(E1115,0)+1,-2,1,FERIADOS!$A$2:$A$250),"SÍ","NO")</x:f>
        <x:v>NO</x:v>
      </x:c>
      <x:c r="G1115" s="10" t="n">
        <x:f>IF(F1115="SÍ",EOMONTH(E1115,0)+1,DATE(YEAR(E1115),MONTH(E1115),1))</x:f>
        <x:v>46753</x:v>
      </x:c>
      <x:c r="H1115" t="str">
        <x:f>IF(D1115="NO",IF(C1115="SÍ","FERIADO","FIN DE SEMANA"),"LABORABLE")&amp;IF(F1115="SÍ"," + CIERRE","")</x:f>
        <x:v>LABORABLE</x:v>
      </x:c>
      <x:c r="I1115" t="str">
        <x:f>TEXT(G1115,"yyyy-mm")</x:f>
        <x:v>2028-01</x:v>
      </x:c>
    </x:row>
    <x:row r="1116" ht="19" customHeight="1">
      <x:c r="A1116" s="2" t="n">
        <x:v>46772</x:v>
      </x:c>
      <x:c r="B1116" t="str">
        <x:f>CHOOSE(WEEKDAY(A1116,2),"Lunes","Martes","Miércoles","Jueves","Viernes","Sábado","Domingo")</x:f>
        <x:v>Jueves</x:v>
      </x:c>
      <x:c r="C1116" t="str">
        <x:f>IF(COUNTIF(FERIADOS!$A$2:$A$250,A1116)&gt;0,"SÍ","NO")</x:f>
        <x:v>NO</x:v>
      </x:c>
      <x:c r="D1116" t="str">
        <x:f>IF(AND(WEEKDAY(A1116,2)&lt;=5,C1116="NO"),"SÍ","NO")</x:f>
        <x:v>SÍ</x:v>
      </x:c>
      <x:c r="E1116" s="2" t="n">
        <x:f>WORKDAY.INTL(A1116-1,1,1,FERIADOS!$A$2:$A$250)</x:f>
        <x:v>46772</x:v>
      </x:c>
      <x:c r="F1116" t="str">
        <x:f>IF(E1116&gt;=WORKDAY.INTL(EOMONTH(E1116,0)+1,-2,1,FERIADOS!$A$2:$A$250),"SÍ","NO")</x:f>
        <x:v>NO</x:v>
      </x:c>
      <x:c r="G1116" s="10" t="n">
        <x:f>IF(F1116="SÍ",EOMONTH(E1116,0)+1,DATE(YEAR(E1116),MONTH(E1116),1))</x:f>
        <x:v>46753</x:v>
      </x:c>
      <x:c r="H1116" t="str">
        <x:f>IF(D1116="NO",IF(C1116="SÍ","FERIADO","FIN DE SEMANA"),"LABORABLE")&amp;IF(F1116="SÍ"," + CIERRE","")</x:f>
        <x:v>LABORABLE</x:v>
      </x:c>
      <x:c r="I1116" t="str">
        <x:f>TEXT(G1116,"yyyy-mm")</x:f>
        <x:v>2028-01</x:v>
      </x:c>
    </x:row>
    <x:row r="1117" ht="19" customHeight="1">
      <x:c r="A1117" s="2" t="n">
        <x:v>46773</x:v>
      </x:c>
      <x:c r="B1117" t="str">
        <x:f>CHOOSE(WEEKDAY(A1117,2),"Lunes","Martes","Miércoles","Jueves","Viernes","Sábado","Domingo")</x:f>
        <x:v>Viernes</x:v>
      </x:c>
      <x:c r="C1117" t="str">
        <x:f>IF(COUNTIF(FERIADOS!$A$2:$A$250,A1117)&gt;0,"SÍ","NO")</x:f>
        <x:v>NO</x:v>
      </x:c>
      <x:c r="D1117" t="str">
        <x:f>IF(AND(WEEKDAY(A1117,2)&lt;=5,C1117="NO"),"SÍ","NO")</x:f>
        <x:v>SÍ</x:v>
      </x:c>
      <x:c r="E1117" s="2" t="n">
        <x:f>WORKDAY.INTL(A1117-1,1,1,FERIADOS!$A$2:$A$250)</x:f>
        <x:v>46773</x:v>
      </x:c>
      <x:c r="F1117" t="str">
        <x:f>IF(E1117&gt;=WORKDAY.INTL(EOMONTH(E1117,0)+1,-2,1,FERIADOS!$A$2:$A$250),"SÍ","NO")</x:f>
        <x:v>NO</x:v>
      </x:c>
      <x:c r="G1117" s="10" t="n">
        <x:f>IF(F1117="SÍ",EOMONTH(E1117,0)+1,DATE(YEAR(E1117),MONTH(E1117),1))</x:f>
        <x:v>46753</x:v>
      </x:c>
      <x:c r="H1117" t="str">
        <x:f>IF(D1117="NO",IF(C1117="SÍ","FERIADO","FIN DE SEMANA"),"LABORABLE")&amp;IF(F1117="SÍ"," + CIERRE","")</x:f>
        <x:v>LABORABLE</x:v>
      </x:c>
      <x:c r="I1117" t="str">
        <x:f>TEXT(G1117,"yyyy-mm")</x:f>
        <x:v>2028-01</x:v>
      </x:c>
    </x:row>
    <x:row r="1118" ht="19" customHeight="1">
      <x:c r="A1118" s="2" t="n">
        <x:v>46774</x:v>
      </x:c>
      <x:c r="B1118" t="str">
        <x:f>CHOOSE(WEEKDAY(A1118,2),"Lunes","Martes","Miércoles","Jueves","Viernes","Sábado","Domingo")</x:f>
        <x:v>Sábado</x:v>
      </x:c>
      <x:c r="C1118" t="str">
        <x:f>IF(COUNTIF(FERIADOS!$A$2:$A$250,A1118)&gt;0,"SÍ","NO")</x:f>
        <x:v>NO</x:v>
      </x:c>
      <x:c r="D1118" t="str">
        <x:f>IF(AND(WEEKDAY(A1118,2)&lt;=5,C1118="NO"),"SÍ","NO")</x:f>
        <x:v>NO</x:v>
      </x:c>
      <x:c r="E1118" s="2" t="n">
        <x:f>WORKDAY.INTL(A1118-1,1,1,FERIADOS!$A$2:$A$250)</x:f>
        <x:v>46776</x:v>
      </x:c>
      <x:c r="F1118" t="str">
        <x:f>IF(E1118&gt;=WORKDAY.INTL(EOMONTH(E1118,0)+1,-2,1,FERIADOS!$A$2:$A$250),"SÍ","NO")</x:f>
        <x:v>NO</x:v>
      </x:c>
      <x:c r="G1118" s="10" t="n">
        <x:f>IF(F1118="SÍ",EOMONTH(E1118,0)+1,DATE(YEAR(E1118),MONTH(E1118),1))</x:f>
        <x:v>46753</x:v>
      </x:c>
      <x:c r="H1118" t="str">
        <x:f>IF(D1118="NO",IF(C1118="SÍ","FERIADO","FIN DE SEMANA"),"LABORABLE")&amp;IF(F1118="SÍ"," + CIERRE","")</x:f>
        <x:v>FIN DE SEMANA</x:v>
      </x:c>
      <x:c r="I1118" t="str">
        <x:f>TEXT(G1118,"yyyy-mm")</x:f>
        <x:v>2028-01</x:v>
      </x:c>
    </x:row>
    <x:row r="1119" ht="19" customHeight="1">
      <x:c r="A1119" s="2" t="n">
        <x:v>46775</x:v>
      </x:c>
      <x:c r="B1119" t="str">
        <x:f>CHOOSE(WEEKDAY(A1119,2),"Lunes","Martes","Miércoles","Jueves","Viernes","Sábado","Domingo")</x:f>
        <x:v>Domingo</x:v>
      </x:c>
      <x:c r="C1119" t="str">
        <x:f>IF(COUNTIF(FERIADOS!$A$2:$A$250,A1119)&gt;0,"SÍ","NO")</x:f>
        <x:v>NO</x:v>
      </x:c>
      <x:c r="D1119" t="str">
        <x:f>IF(AND(WEEKDAY(A1119,2)&lt;=5,C1119="NO"),"SÍ","NO")</x:f>
        <x:v>NO</x:v>
      </x:c>
      <x:c r="E1119" s="2" t="n">
        <x:f>WORKDAY.INTL(A1119-1,1,1,FERIADOS!$A$2:$A$250)</x:f>
        <x:v>46776</x:v>
      </x:c>
      <x:c r="F1119" t="str">
        <x:f>IF(E1119&gt;=WORKDAY.INTL(EOMONTH(E1119,0)+1,-2,1,FERIADOS!$A$2:$A$250),"SÍ","NO")</x:f>
        <x:v>NO</x:v>
      </x:c>
      <x:c r="G1119" s="10" t="n">
        <x:f>IF(F1119="SÍ",EOMONTH(E1119,0)+1,DATE(YEAR(E1119),MONTH(E1119),1))</x:f>
        <x:v>46753</x:v>
      </x:c>
      <x:c r="H1119" t="str">
        <x:f>IF(D1119="NO",IF(C1119="SÍ","FERIADO","FIN DE SEMANA"),"LABORABLE")&amp;IF(F1119="SÍ"," + CIERRE","")</x:f>
        <x:v>FIN DE SEMANA</x:v>
      </x:c>
      <x:c r="I1119" t="str">
        <x:f>TEXT(G1119,"yyyy-mm")</x:f>
        <x:v>2028-01</x:v>
      </x:c>
    </x:row>
    <x:row r="1120" ht="19" customHeight="1">
      <x:c r="A1120" s="2" t="n">
        <x:v>46776</x:v>
      </x:c>
      <x:c r="B1120" t="str">
        <x:f>CHOOSE(WEEKDAY(A1120,2),"Lunes","Martes","Miércoles","Jueves","Viernes","Sábado","Domingo")</x:f>
        <x:v>Lunes</x:v>
      </x:c>
      <x:c r="C1120" t="str">
        <x:f>IF(COUNTIF(FERIADOS!$A$2:$A$250,A1120)&gt;0,"SÍ","NO")</x:f>
        <x:v>NO</x:v>
      </x:c>
      <x:c r="D1120" t="str">
        <x:f>IF(AND(WEEKDAY(A1120,2)&lt;=5,C1120="NO"),"SÍ","NO")</x:f>
        <x:v>SÍ</x:v>
      </x:c>
      <x:c r="E1120" s="2" t="n">
        <x:f>WORKDAY.INTL(A1120-1,1,1,FERIADOS!$A$2:$A$250)</x:f>
        <x:v>46776</x:v>
      </x:c>
      <x:c r="F1120" t="str">
        <x:f>IF(E1120&gt;=WORKDAY.INTL(EOMONTH(E1120,0)+1,-2,1,FERIADOS!$A$2:$A$250),"SÍ","NO")</x:f>
        <x:v>NO</x:v>
      </x:c>
      <x:c r="G1120" s="10" t="n">
        <x:f>IF(F1120="SÍ",EOMONTH(E1120,0)+1,DATE(YEAR(E1120),MONTH(E1120),1))</x:f>
        <x:v>46753</x:v>
      </x:c>
      <x:c r="H1120" t="str">
        <x:f>IF(D1120="NO",IF(C1120="SÍ","FERIADO","FIN DE SEMANA"),"LABORABLE")&amp;IF(F1120="SÍ"," + CIERRE","")</x:f>
        <x:v>LABORABLE</x:v>
      </x:c>
      <x:c r="I1120" t="str">
        <x:f>TEXT(G1120,"yyyy-mm")</x:f>
        <x:v>2028-01</x:v>
      </x:c>
    </x:row>
    <x:row r="1121" ht="19" customHeight="1">
      <x:c r="A1121" s="2" t="n">
        <x:v>46777</x:v>
      </x:c>
      <x:c r="B1121" t="str">
        <x:f>CHOOSE(WEEKDAY(A1121,2),"Lunes","Martes","Miércoles","Jueves","Viernes","Sábado","Domingo")</x:f>
        <x:v>Martes</x:v>
      </x:c>
      <x:c r="C1121" t="str">
        <x:f>IF(COUNTIF(FERIADOS!$A$2:$A$250,A1121)&gt;0,"SÍ","NO")</x:f>
        <x:v>NO</x:v>
      </x:c>
      <x:c r="D1121" t="str">
        <x:f>IF(AND(WEEKDAY(A1121,2)&lt;=5,C1121="NO"),"SÍ","NO")</x:f>
        <x:v>SÍ</x:v>
      </x:c>
      <x:c r="E1121" s="2" t="n">
        <x:f>WORKDAY.INTL(A1121-1,1,1,FERIADOS!$A$2:$A$250)</x:f>
        <x:v>46777</x:v>
      </x:c>
      <x:c r="F1121" t="str">
        <x:f>IF(E1121&gt;=WORKDAY.INTL(EOMONTH(E1121,0)+1,-2,1,FERIADOS!$A$2:$A$250),"SÍ","NO")</x:f>
        <x:v>NO</x:v>
      </x:c>
      <x:c r="G1121" s="10" t="n">
        <x:f>IF(F1121="SÍ",EOMONTH(E1121,0)+1,DATE(YEAR(E1121),MONTH(E1121),1))</x:f>
        <x:v>46753</x:v>
      </x:c>
      <x:c r="H1121" t="str">
        <x:f>IF(D1121="NO",IF(C1121="SÍ","FERIADO","FIN DE SEMANA"),"LABORABLE")&amp;IF(F1121="SÍ"," + CIERRE","")</x:f>
        <x:v>LABORABLE</x:v>
      </x:c>
      <x:c r="I1121" t="str">
        <x:f>TEXT(G1121,"yyyy-mm")</x:f>
        <x:v>2028-01</x:v>
      </x:c>
    </x:row>
    <x:row r="1122" ht="19" customHeight="1">
      <x:c r="A1122" s="2" t="n">
        <x:v>46778</x:v>
      </x:c>
      <x:c r="B1122" t="str">
        <x:f>CHOOSE(WEEKDAY(A1122,2),"Lunes","Martes","Miércoles","Jueves","Viernes","Sábado","Domingo")</x:f>
        <x:v>Miércoles</x:v>
      </x:c>
      <x:c r="C1122" t="str">
        <x:f>IF(COUNTIF(FERIADOS!$A$2:$A$250,A1122)&gt;0,"SÍ","NO")</x:f>
        <x:v>NO</x:v>
      </x:c>
      <x:c r="D1122" t="str">
        <x:f>IF(AND(WEEKDAY(A1122,2)&lt;=5,C1122="NO"),"SÍ","NO")</x:f>
        <x:v>SÍ</x:v>
      </x:c>
      <x:c r="E1122" s="2" t="n">
        <x:f>WORKDAY.INTL(A1122-1,1,1,FERIADOS!$A$2:$A$250)</x:f>
        <x:v>46778</x:v>
      </x:c>
      <x:c r="F1122" t="str">
        <x:f>IF(E1122&gt;=WORKDAY.INTL(EOMONTH(E1122,0)+1,-2,1,FERIADOS!$A$2:$A$250),"SÍ","NO")</x:f>
        <x:v>NO</x:v>
      </x:c>
      <x:c r="G1122" s="10" t="n">
        <x:f>IF(F1122="SÍ",EOMONTH(E1122,0)+1,DATE(YEAR(E1122),MONTH(E1122),1))</x:f>
        <x:v>46753</x:v>
      </x:c>
      <x:c r="H1122" t="str">
        <x:f>IF(D1122="NO",IF(C1122="SÍ","FERIADO","FIN DE SEMANA"),"LABORABLE")&amp;IF(F1122="SÍ"," + CIERRE","")</x:f>
        <x:v>LABORABLE</x:v>
      </x:c>
      <x:c r="I1122" t="str">
        <x:f>TEXT(G1122,"yyyy-mm")</x:f>
        <x:v>2028-01</x:v>
      </x:c>
    </x:row>
    <x:row r="1123" ht="19" customHeight="1">
      <x:c r="A1123" s="2" t="n">
        <x:v>46779</x:v>
      </x:c>
      <x:c r="B1123" t="str">
        <x:f>CHOOSE(WEEKDAY(A1123,2),"Lunes","Martes","Miércoles","Jueves","Viernes","Sábado","Domingo")</x:f>
        <x:v>Jueves</x:v>
      </x:c>
      <x:c r="C1123" t="str">
        <x:f>IF(COUNTIF(FERIADOS!$A$2:$A$250,A1123)&gt;0,"SÍ","NO")</x:f>
        <x:v>NO</x:v>
      </x:c>
      <x:c r="D1123" t="str">
        <x:f>IF(AND(WEEKDAY(A1123,2)&lt;=5,C1123="NO"),"SÍ","NO")</x:f>
        <x:v>SÍ</x:v>
      </x:c>
      <x:c r="E1123" s="2" t="n">
        <x:f>WORKDAY.INTL(A1123-1,1,1,FERIADOS!$A$2:$A$250)</x:f>
        <x:v>46779</x:v>
      </x:c>
      <x:c r="F1123" t="str">
        <x:f>IF(E1123&gt;=WORKDAY.INTL(EOMONTH(E1123,0)+1,-2,1,FERIADOS!$A$2:$A$250),"SÍ","NO")</x:f>
        <x:v>NO</x:v>
      </x:c>
      <x:c r="G1123" s="10" t="n">
        <x:f>IF(F1123="SÍ",EOMONTH(E1123,0)+1,DATE(YEAR(E1123),MONTH(E1123),1))</x:f>
        <x:v>46753</x:v>
      </x:c>
      <x:c r="H1123" t="str">
        <x:f>IF(D1123="NO",IF(C1123="SÍ","FERIADO","FIN DE SEMANA"),"LABORABLE")&amp;IF(F1123="SÍ"," + CIERRE","")</x:f>
        <x:v>LABORABLE</x:v>
      </x:c>
      <x:c r="I1123" t="str">
        <x:f>TEXT(G1123,"yyyy-mm")</x:f>
        <x:v>2028-01</x:v>
      </x:c>
    </x:row>
    <x:row r="1124" ht="19" customHeight="1">
      <x:c r="A1124" s="2" t="n">
        <x:v>46780</x:v>
      </x:c>
      <x:c r="B1124" t="str">
        <x:f>CHOOSE(WEEKDAY(A1124,2),"Lunes","Martes","Miércoles","Jueves","Viernes","Sábado","Domingo")</x:f>
        <x:v>Viernes</x:v>
      </x:c>
      <x:c r="C1124" t="str">
        <x:f>IF(COUNTIF(FERIADOS!$A$2:$A$250,A1124)&gt;0,"SÍ","NO")</x:f>
        <x:v>NO</x:v>
      </x:c>
      <x:c r="D1124" t="str">
        <x:f>IF(AND(WEEKDAY(A1124,2)&lt;=5,C1124="NO"),"SÍ","NO")</x:f>
        <x:v>SÍ</x:v>
      </x:c>
      <x:c r="E1124" s="2" t="n">
        <x:f>WORKDAY.INTL(A1124-1,1,1,FERIADOS!$A$2:$A$250)</x:f>
        <x:v>46780</x:v>
      </x:c>
      <x:c r="F1124" t="str">
        <x:f>IF(E1124&gt;=WORKDAY.INTL(EOMONTH(E1124,0)+1,-2,1,FERIADOS!$A$2:$A$250),"SÍ","NO")</x:f>
        <x:v>SÍ</x:v>
      </x:c>
      <x:c r="G1124" s="10" t="n">
        <x:f>IF(F1124="SÍ",EOMONTH(E1124,0)+1,DATE(YEAR(E1124),MONTH(E1124),1))</x:f>
        <x:v>46784</x:v>
      </x:c>
      <x:c r="H1124" t="str">
        <x:f>IF(D1124="NO",IF(C1124="SÍ","FERIADO","FIN DE SEMANA"),"LABORABLE")&amp;IF(F1124="SÍ"," + CIERRE","")</x:f>
        <x:v>LABORABLE + CIERRE</x:v>
      </x:c>
      <x:c r="I1124" t="str">
        <x:f>TEXT(G1124,"yyyy-mm")</x:f>
        <x:v>2028-02</x:v>
      </x:c>
    </x:row>
    <x:row r="1125" ht="19" customHeight="1">
      <x:c r="A1125" s="2" t="n">
        <x:v>46781</x:v>
      </x:c>
      <x:c r="B1125" t="str">
        <x:f>CHOOSE(WEEKDAY(A1125,2),"Lunes","Martes","Miércoles","Jueves","Viernes","Sábado","Domingo")</x:f>
        <x:v>Sábado</x:v>
      </x:c>
      <x:c r="C1125" t="str">
        <x:f>IF(COUNTIF(FERIADOS!$A$2:$A$250,A1125)&gt;0,"SÍ","NO")</x:f>
        <x:v>NO</x:v>
      </x:c>
      <x:c r="D1125" t="str">
        <x:f>IF(AND(WEEKDAY(A1125,2)&lt;=5,C1125="NO"),"SÍ","NO")</x:f>
        <x:v>NO</x:v>
      </x:c>
      <x:c r="E1125" s="2" t="n">
        <x:f>WORKDAY.INTL(A1125-1,1,1,FERIADOS!$A$2:$A$250)</x:f>
        <x:v>46783</x:v>
      </x:c>
      <x:c r="F1125" t="str">
        <x:f>IF(E1125&gt;=WORKDAY.INTL(EOMONTH(E1125,0)+1,-2,1,FERIADOS!$A$2:$A$250),"SÍ","NO")</x:f>
        <x:v>SÍ</x:v>
      </x:c>
      <x:c r="G1125" s="10" t="n">
        <x:f>IF(F1125="SÍ",EOMONTH(E1125,0)+1,DATE(YEAR(E1125),MONTH(E1125),1))</x:f>
        <x:v>46784</x:v>
      </x:c>
      <x:c r="H1125" t="str">
        <x:f>IF(D1125="NO",IF(C1125="SÍ","FERIADO","FIN DE SEMANA"),"LABORABLE")&amp;IF(F1125="SÍ"," + CIERRE","")</x:f>
        <x:v>FIN DE SEMANA + CIERRE</x:v>
      </x:c>
      <x:c r="I1125" t="str">
        <x:f>TEXT(G1125,"yyyy-mm")</x:f>
        <x:v>2028-02</x:v>
      </x:c>
    </x:row>
    <x:row r="1126" ht="19" customHeight="1">
      <x:c r="A1126" s="2" t="n">
        <x:v>46782</x:v>
      </x:c>
      <x:c r="B1126" t="str">
        <x:f>CHOOSE(WEEKDAY(A1126,2),"Lunes","Martes","Miércoles","Jueves","Viernes","Sábado","Domingo")</x:f>
        <x:v>Domingo</x:v>
      </x:c>
      <x:c r="C1126" t="str">
        <x:f>IF(COUNTIF(FERIADOS!$A$2:$A$250,A1126)&gt;0,"SÍ","NO")</x:f>
        <x:v>NO</x:v>
      </x:c>
      <x:c r="D1126" t="str">
        <x:f>IF(AND(WEEKDAY(A1126,2)&lt;=5,C1126="NO"),"SÍ","NO")</x:f>
        <x:v>NO</x:v>
      </x:c>
      <x:c r="E1126" s="2" t="n">
        <x:f>WORKDAY.INTL(A1126-1,1,1,FERIADOS!$A$2:$A$250)</x:f>
        <x:v>46783</x:v>
      </x:c>
      <x:c r="F1126" t="str">
        <x:f>IF(E1126&gt;=WORKDAY.INTL(EOMONTH(E1126,0)+1,-2,1,FERIADOS!$A$2:$A$250),"SÍ","NO")</x:f>
        <x:v>SÍ</x:v>
      </x:c>
      <x:c r="G1126" s="10" t="n">
        <x:f>IF(F1126="SÍ",EOMONTH(E1126,0)+1,DATE(YEAR(E1126),MONTH(E1126),1))</x:f>
        <x:v>46784</x:v>
      </x:c>
      <x:c r="H1126" t="str">
        <x:f>IF(D1126="NO",IF(C1126="SÍ","FERIADO","FIN DE SEMANA"),"LABORABLE")&amp;IF(F1126="SÍ"," + CIERRE","")</x:f>
        <x:v>FIN DE SEMANA + CIERRE</x:v>
      </x:c>
      <x:c r="I1126" t="str">
        <x:f>TEXT(G1126,"yyyy-mm")</x:f>
        <x:v>2028-02</x:v>
      </x:c>
    </x:row>
    <x:row r="1127" ht="19" customHeight="1">
      <x:c r="A1127" s="2" t="n">
        <x:v>46783</x:v>
      </x:c>
      <x:c r="B1127" t="str">
        <x:f>CHOOSE(WEEKDAY(A1127,2),"Lunes","Martes","Miércoles","Jueves","Viernes","Sábado","Domingo")</x:f>
        <x:v>Lunes</x:v>
      </x:c>
      <x:c r="C1127" t="str">
        <x:f>IF(COUNTIF(FERIADOS!$A$2:$A$250,A1127)&gt;0,"SÍ","NO")</x:f>
        <x:v>NO</x:v>
      </x:c>
      <x:c r="D1127" t="str">
        <x:f>IF(AND(WEEKDAY(A1127,2)&lt;=5,C1127="NO"),"SÍ","NO")</x:f>
        <x:v>SÍ</x:v>
      </x:c>
      <x:c r="E1127" s="2" t="n">
        <x:f>WORKDAY.INTL(A1127-1,1,1,FERIADOS!$A$2:$A$250)</x:f>
        <x:v>46783</x:v>
      </x:c>
      <x:c r="F1127" t="str">
        <x:f>IF(E1127&gt;=WORKDAY.INTL(EOMONTH(E1127,0)+1,-2,1,FERIADOS!$A$2:$A$250),"SÍ","NO")</x:f>
        <x:v>SÍ</x:v>
      </x:c>
      <x:c r="G1127" s="10" t="n">
        <x:f>IF(F1127="SÍ",EOMONTH(E1127,0)+1,DATE(YEAR(E1127),MONTH(E1127),1))</x:f>
        <x:v>46784</x:v>
      </x:c>
      <x:c r="H1127" t="str">
        <x:f>IF(D1127="NO",IF(C1127="SÍ","FERIADO","FIN DE SEMANA"),"LABORABLE")&amp;IF(F1127="SÍ"," + CIERRE","")</x:f>
        <x:v>LABORABLE + CIERRE</x:v>
      </x:c>
      <x:c r="I1127" t="str">
        <x:f>TEXT(G1127,"yyyy-mm")</x:f>
        <x:v>2028-02</x:v>
      </x:c>
    </x:row>
    <x:row r="1128" ht="19" customHeight="1">
      <x:c r="A1128" s="2" t="n">
        <x:v>46784</x:v>
      </x:c>
      <x:c r="B1128" t="str">
        <x:f>CHOOSE(WEEKDAY(A1128,2),"Lunes","Martes","Miércoles","Jueves","Viernes","Sábado","Domingo")</x:f>
        <x:v>Martes</x:v>
      </x:c>
      <x:c r="C1128" t="str">
        <x:f>IF(COUNTIF(FERIADOS!$A$2:$A$250,A1128)&gt;0,"SÍ","NO")</x:f>
        <x:v>NO</x:v>
      </x:c>
      <x:c r="D1128" t="str">
        <x:f>IF(AND(WEEKDAY(A1128,2)&lt;=5,C1128="NO"),"SÍ","NO")</x:f>
        <x:v>SÍ</x:v>
      </x:c>
      <x:c r="E1128" s="2" t="n">
        <x:f>WORKDAY.INTL(A1128-1,1,1,FERIADOS!$A$2:$A$250)</x:f>
        <x:v>46784</x:v>
      </x:c>
      <x:c r="F1128" t="str">
        <x:f>IF(E1128&gt;=WORKDAY.INTL(EOMONTH(E1128,0)+1,-2,1,FERIADOS!$A$2:$A$250),"SÍ","NO")</x:f>
        <x:v>NO</x:v>
      </x:c>
      <x:c r="G1128" s="10" t="n">
        <x:f>IF(F1128="SÍ",EOMONTH(E1128,0)+1,DATE(YEAR(E1128),MONTH(E1128),1))</x:f>
        <x:v>46784</x:v>
      </x:c>
      <x:c r="H1128" t="str">
        <x:f>IF(D1128="NO",IF(C1128="SÍ","FERIADO","FIN DE SEMANA"),"LABORABLE")&amp;IF(F1128="SÍ"," + CIERRE","")</x:f>
        <x:v>LABORABLE</x:v>
      </x:c>
      <x:c r="I1128" t="str">
        <x:f>TEXT(G1128,"yyyy-mm")</x:f>
        <x:v>2028-02</x:v>
      </x:c>
    </x:row>
    <x:row r="1129" ht="19" customHeight="1">
      <x:c r="A1129" s="2" t="n">
        <x:v>46785</x:v>
      </x:c>
      <x:c r="B1129" t="str">
        <x:f>CHOOSE(WEEKDAY(A1129,2),"Lunes","Martes","Miércoles","Jueves","Viernes","Sábado","Domingo")</x:f>
        <x:v>Miércoles</x:v>
      </x:c>
      <x:c r="C1129" t="str">
        <x:f>IF(COUNTIF(FERIADOS!$A$2:$A$250,A1129)&gt;0,"SÍ","NO")</x:f>
        <x:v>NO</x:v>
      </x:c>
      <x:c r="D1129" t="str">
        <x:f>IF(AND(WEEKDAY(A1129,2)&lt;=5,C1129="NO"),"SÍ","NO")</x:f>
        <x:v>SÍ</x:v>
      </x:c>
      <x:c r="E1129" s="2" t="n">
        <x:f>WORKDAY.INTL(A1129-1,1,1,FERIADOS!$A$2:$A$250)</x:f>
        <x:v>46785</x:v>
      </x:c>
      <x:c r="F1129" t="str">
        <x:f>IF(E1129&gt;=WORKDAY.INTL(EOMONTH(E1129,0)+1,-2,1,FERIADOS!$A$2:$A$250),"SÍ","NO")</x:f>
        <x:v>NO</x:v>
      </x:c>
      <x:c r="G1129" s="10" t="n">
        <x:f>IF(F1129="SÍ",EOMONTH(E1129,0)+1,DATE(YEAR(E1129),MONTH(E1129),1))</x:f>
        <x:v>46784</x:v>
      </x:c>
      <x:c r="H1129" t="str">
        <x:f>IF(D1129="NO",IF(C1129="SÍ","FERIADO","FIN DE SEMANA"),"LABORABLE")&amp;IF(F1129="SÍ"," + CIERRE","")</x:f>
        <x:v>LABORABLE</x:v>
      </x:c>
      <x:c r="I1129" t="str">
        <x:f>TEXT(G1129,"yyyy-mm")</x:f>
        <x:v>2028-02</x:v>
      </x:c>
    </x:row>
    <x:row r="1130" ht="19" customHeight="1">
      <x:c r="A1130" s="2" t="n">
        <x:v>46786</x:v>
      </x:c>
      <x:c r="B1130" t="str">
        <x:f>CHOOSE(WEEKDAY(A1130,2),"Lunes","Martes","Miércoles","Jueves","Viernes","Sábado","Domingo")</x:f>
        <x:v>Jueves</x:v>
      </x:c>
      <x:c r="C1130" t="str">
        <x:f>IF(COUNTIF(FERIADOS!$A$2:$A$250,A1130)&gt;0,"SÍ","NO")</x:f>
        <x:v>NO</x:v>
      </x:c>
      <x:c r="D1130" t="str">
        <x:f>IF(AND(WEEKDAY(A1130,2)&lt;=5,C1130="NO"),"SÍ","NO")</x:f>
        <x:v>SÍ</x:v>
      </x:c>
      <x:c r="E1130" s="2" t="n">
        <x:f>WORKDAY.INTL(A1130-1,1,1,FERIADOS!$A$2:$A$250)</x:f>
        <x:v>46786</x:v>
      </x:c>
      <x:c r="F1130" t="str">
        <x:f>IF(E1130&gt;=WORKDAY.INTL(EOMONTH(E1130,0)+1,-2,1,FERIADOS!$A$2:$A$250),"SÍ","NO")</x:f>
        <x:v>NO</x:v>
      </x:c>
      <x:c r="G1130" s="10" t="n">
        <x:f>IF(F1130="SÍ",EOMONTH(E1130,0)+1,DATE(YEAR(E1130),MONTH(E1130),1))</x:f>
        <x:v>46784</x:v>
      </x:c>
      <x:c r="H1130" t="str">
        <x:f>IF(D1130="NO",IF(C1130="SÍ","FERIADO","FIN DE SEMANA"),"LABORABLE")&amp;IF(F1130="SÍ"," + CIERRE","")</x:f>
        <x:v>LABORABLE</x:v>
      </x:c>
      <x:c r="I1130" t="str">
        <x:f>TEXT(G1130,"yyyy-mm")</x:f>
        <x:v>2028-02</x:v>
      </x:c>
    </x:row>
    <x:row r="1131" ht="19" customHeight="1">
      <x:c r="A1131" s="2" t="n">
        <x:v>46787</x:v>
      </x:c>
      <x:c r="B1131" t="str">
        <x:f>CHOOSE(WEEKDAY(A1131,2),"Lunes","Martes","Miércoles","Jueves","Viernes","Sábado","Domingo")</x:f>
        <x:v>Viernes</x:v>
      </x:c>
      <x:c r="C1131" t="str">
        <x:f>IF(COUNTIF(FERIADOS!$A$2:$A$250,A1131)&gt;0,"SÍ","NO")</x:f>
        <x:v>NO</x:v>
      </x:c>
      <x:c r="D1131" t="str">
        <x:f>IF(AND(WEEKDAY(A1131,2)&lt;=5,C1131="NO"),"SÍ","NO")</x:f>
        <x:v>SÍ</x:v>
      </x:c>
      <x:c r="E1131" s="2" t="n">
        <x:f>WORKDAY.INTL(A1131-1,1,1,FERIADOS!$A$2:$A$250)</x:f>
        <x:v>46787</x:v>
      </x:c>
      <x:c r="F1131" t="str">
        <x:f>IF(E1131&gt;=WORKDAY.INTL(EOMONTH(E1131,0)+1,-2,1,FERIADOS!$A$2:$A$250),"SÍ","NO")</x:f>
        <x:v>NO</x:v>
      </x:c>
      <x:c r="G1131" s="10" t="n">
        <x:f>IF(F1131="SÍ",EOMONTH(E1131,0)+1,DATE(YEAR(E1131),MONTH(E1131),1))</x:f>
        <x:v>46784</x:v>
      </x:c>
      <x:c r="H1131" t="str">
        <x:f>IF(D1131="NO",IF(C1131="SÍ","FERIADO","FIN DE SEMANA"),"LABORABLE")&amp;IF(F1131="SÍ"," + CIERRE","")</x:f>
        <x:v>LABORABLE</x:v>
      </x:c>
      <x:c r="I1131" t="str">
        <x:f>TEXT(G1131,"yyyy-mm")</x:f>
        <x:v>2028-02</x:v>
      </x:c>
    </x:row>
    <x:row r="1132" ht="19" customHeight="1">
      <x:c r="A1132" s="2" t="n">
        <x:v>46788</x:v>
      </x:c>
      <x:c r="B1132" t="str">
        <x:f>CHOOSE(WEEKDAY(A1132,2),"Lunes","Martes","Miércoles","Jueves","Viernes","Sábado","Domingo")</x:f>
        <x:v>Sábado</x:v>
      </x:c>
      <x:c r="C1132" t="str">
        <x:f>IF(COUNTIF(FERIADOS!$A$2:$A$250,A1132)&gt;0,"SÍ","NO")</x:f>
        <x:v>NO</x:v>
      </x:c>
      <x:c r="D1132" t="str">
        <x:f>IF(AND(WEEKDAY(A1132,2)&lt;=5,C1132="NO"),"SÍ","NO")</x:f>
        <x:v>NO</x:v>
      </x:c>
      <x:c r="E1132" s="2" t="n">
        <x:f>WORKDAY.INTL(A1132-1,1,1,FERIADOS!$A$2:$A$250)</x:f>
        <x:v>46790</x:v>
      </x:c>
      <x:c r="F1132" t="str">
        <x:f>IF(E1132&gt;=WORKDAY.INTL(EOMONTH(E1132,0)+1,-2,1,FERIADOS!$A$2:$A$250),"SÍ","NO")</x:f>
        <x:v>NO</x:v>
      </x:c>
      <x:c r="G1132" s="10" t="n">
        <x:f>IF(F1132="SÍ",EOMONTH(E1132,0)+1,DATE(YEAR(E1132),MONTH(E1132),1))</x:f>
        <x:v>46784</x:v>
      </x:c>
      <x:c r="H1132" t="str">
        <x:f>IF(D1132="NO",IF(C1132="SÍ","FERIADO","FIN DE SEMANA"),"LABORABLE")&amp;IF(F1132="SÍ"," + CIERRE","")</x:f>
        <x:v>FIN DE SEMANA</x:v>
      </x:c>
      <x:c r="I1132" t="str">
        <x:f>TEXT(G1132,"yyyy-mm")</x:f>
        <x:v>2028-02</x:v>
      </x:c>
    </x:row>
    <x:row r="1133" ht="19" customHeight="1">
      <x:c r="A1133" s="2" t="n">
        <x:v>46789</x:v>
      </x:c>
      <x:c r="B1133" t="str">
        <x:f>CHOOSE(WEEKDAY(A1133,2),"Lunes","Martes","Miércoles","Jueves","Viernes","Sábado","Domingo")</x:f>
        <x:v>Domingo</x:v>
      </x:c>
      <x:c r="C1133" t="str">
        <x:f>IF(COUNTIF(FERIADOS!$A$2:$A$250,A1133)&gt;0,"SÍ","NO")</x:f>
        <x:v>NO</x:v>
      </x:c>
      <x:c r="D1133" t="str">
        <x:f>IF(AND(WEEKDAY(A1133,2)&lt;=5,C1133="NO"),"SÍ","NO")</x:f>
        <x:v>NO</x:v>
      </x:c>
      <x:c r="E1133" s="2" t="n">
        <x:f>WORKDAY.INTL(A1133-1,1,1,FERIADOS!$A$2:$A$250)</x:f>
        <x:v>46790</x:v>
      </x:c>
      <x:c r="F1133" t="str">
        <x:f>IF(E1133&gt;=WORKDAY.INTL(EOMONTH(E1133,0)+1,-2,1,FERIADOS!$A$2:$A$250),"SÍ","NO")</x:f>
        <x:v>NO</x:v>
      </x:c>
      <x:c r="G1133" s="10" t="n">
        <x:f>IF(F1133="SÍ",EOMONTH(E1133,0)+1,DATE(YEAR(E1133),MONTH(E1133),1))</x:f>
        <x:v>46784</x:v>
      </x:c>
      <x:c r="H1133" t="str">
        <x:f>IF(D1133="NO",IF(C1133="SÍ","FERIADO","FIN DE SEMANA"),"LABORABLE")&amp;IF(F1133="SÍ"," + CIERRE","")</x:f>
        <x:v>FIN DE SEMANA</x:v>
      </x:c>
      <x:c r="I1133" t="str">
        <x:f>TEXT(G1133,"yyyy-mm")</x:f>
        <x:v>2028-02</x:v>
      </x:c>
    </x:row>
    <x:row r="1134" ht="19" customHeight="1">
      <x:c r="A1134" s="2" t="n">
        <x:v>46790</x:v>
      </x:c>
      <x:c r="B1134" t="str">
        <x:f>CHOOSE(WEEKDAY(A1134,2),"Lunes","Martes","Miércoles","Jueves","Viernes","Sábado","Domingo")</x:f>
        <x:v>Lunes</x:v>
      </x:c>
      <x:c r="C1134" t="str">
        <x:f>IF(COUNTIF(FERIADOS!$A$2:$A$250,A1134)&gt;0,"SÍ","NO")</x:f>
        <x:v>NO</x:v>
      </x:c>
      <x:c r="D1134" t="str">
        <x:f>IF(AND(WEEKDAY(A1134,2)&lt;=5,C1134="NO"),"SÍ","NO")</x:f>
        <x:v>SÍ</x:v>
      </x:c>
      <x:c r="E1134" s="2" t="n">
        <x:f>WORKDAY.INTL(A1134-1,1,1,FERIADOS!$A$2:$A$250)</x:f>
        <x:v>46790</x:v>
      </x:c>
      <x:c r="F1134" t="str">
        <x:f>IF(E1134&gt;=WORKDAY.INTL(EOMONTH(E1134,0)+1,-2,1,FERIADOS!$A$2:$A$250),"SÍ","NO")</x:f>
        <x:v>NO</x:v>
      </x:c>
      <x:c r="G1134" s="10" t="n">
        <x:f>IF(F1134="SÍ",EOMONTH(E1134,0)+1,DATE(YEAR(E1134),MONTH(E1134),1))</x:f>
        <x:v>46784</x:v>
      </x:c>
      <x:c r="H1134" t="str">
        <x:f>IF(D1134="NO",IF(C1134="SÍ","FERIADO","FIN DE SEMANA"),"LABORABLE")&amp;IF(F1134="SÍ"," + CIERRE","")</x:f>
        <x:v>LABORABLE</x:v>
      </x:c>
      <x:c r="I1134" t="str">
        <x:f>TEXT(G1134,"yyyy-mm")</x:f>
        <x:v>2028-02</x:v>
      </x:c>
    </x:row>
    <x:row r="1135" ht="19" customHeight="1">
      <x:c r="A1135" s="2" t="n">
        <x:v>46791</x:v>
      </x:c>
      <x:c r="B1135" t="str">
        <x:f>CHOOSE(WEEKDAY(A1135,2),"Lunes","Martes","Miércoles","Jueves","Viernes","Sábado","Domingo")</x:f>
        <x:v>Martes</x:v>
      </x:c>
      <x:c r="C1135" t="str">
        <x:f>IF(COUNTIF(FERIADOS!$A$2:$A$250,A1135)&gt;0,"SÍ","NO")</x:f>
        <x:v>NO</x:v>
      </x:c>
      <x:c r="D1135" t="str">
        <x:f>IF(AND(WEEKDAY(A1135,2)&lt;=5,C1135="NO"),"SÍ","NO")</x:f>
        <x:v>SÍ</x:v>
      </x:c>
      <x:c r="E1135" s="2" t="n">
        <x:f>WORKDAY.INTL(A1135-1,1,1,FERIADOS!$A$2:$A$250)</x:f>
        <x:v>46791</x:v>
      </x:c>
      <x:c r="F1135" t="str">
        <x:f>IF(E1135&gt;=WORKDAY.INTL(EOMONTH(E1135,0)+1,-2,1,FERIADOS!$A$2:$A$250),"SÍ","NO")</x:f>
        <x:v>NO</x:v>
      </x:c>
      <x:c r="G1135" s="10" t="n">
        <x:f>IF(F1135="SÍ",EOMONTH(E1135,0)+1,DATE(YEAR(E1135),MONTH(E1135),1))</x:f>
        <x:v>46784</x:v>
      </x:c>
      <x:c r="H1135" t="str">
        <x:f>IF(D1135="NO",IF(C1135="SÍ","FERIADO","FIN DE SEMANA"),"LABORABLE")&amp;IF(F1135="SÍ"," + CIERRE","")</x:f>
        <x:v>LABORABLE</x:v>
      </x:c>
      <x:c r="I1135" t="str">
        <x:f>TEXT(G1135,"yyyy-mm")</x:f>
        <x:v>2028-02</x:v>
      </x:c>
    </x:row>
    <x:row r="1136" ht="19" customHeight="1">
      <x:c r="A1136" s="2" t="n">
        <x:v>46792</x:v>
      </x:c>
      <x:c r="B1136" t="str">
        <x:f>CHOOSE(WEEKDAY(A1136,2),"Lunes","Martes","Miércoles","Jueves","Viernes","Sábado","Domingo")</x:f>
        <x:v>Miércoles</x:v>
      </x:c>
      <x:c r="C1136" t="str">
        <x:f>IF(COUNTIF(FERIADOS!$A$2:$A$250,A1136)&gt;0,"SÍ","NO")</x:f>
        <x:v>NO</x:v>
      </x:c>
      <x:c r="D1136" t="str">
        <x:f>IF(AND(WEEKDAY(A1136,2)&lt;=5,C1136="NO"),"SÍ","NO")</x:f>
        <x:v>SÍ</x:v>
      </x:c>
      <x:c r="E1136" s="2" t="n">
        <x:f>WORKDAY.INTL(A1136-1,1,1,FERIADOS!$A$2:$A$250)</x:f>
        <x:v>46792</x:v>
      </x:c>
      <x:c r="F1136" t="str">
        <x:f>IF(E1136&gt;=WORKDAY.INTL(EOMONTH(E1136,0)+1,-2,1,FERIADOS!$A$2:$A$250),"SÍ","NO")</x:f>
        <x:v>NO</x:v>
      </x:c>
      <x:c r="G1136" s="10" t="n">
        <x:f>IF(F1136="SÍ",EOMONTH(E1136,0)+1,DATE(YEAR(E1136),MONTH(E1136),1))</x:f>
        <x:v>46784</x:v>
      </x:c>
      <x:c r="H1136" t="str">
        <x:f>IF(D1136="NO",IF(C1136="SÍ","FERIADO","FIN DE SEMANA"),"LABORABLE")&amp;IF(F1136="SÍ"," + CIERRE","")</x:f>
        <x:v>LABORABLE</x:v>
      </x:c>
      <x:c r="I1136" t="str">
        <x:f>TEXT(G1136,"yyyy-mm")</x:f>
        <x:v>2028-02</x:v>
      </x:c>
    </x:row>
    <x:row r="1137" ht="19" customHeight="1">
      <x:c r="A1137" s="2" t="n">
        <x:v>46793</x:v>
      </x:c>
      <x:c r="B1137" t="str">
        <x:f>CHOOSE(WEEKDAY(A1137,2),"Lunes","Martes","Miércoles","Jueves","Viernes","Sábado","Domingo")</x:f>
        <x:v>Jueves</x:v>
      </x:c>
      <x:c r="C1137" t="str">
        <x:f>IF(COUNTIF(FERIADOS!$A$2:$A$250,A1137)&gt;0,"SÍ","NO")</x:f>
        <x:v>NO</x:v>
      </x:c>
      <x:c r="D1137" t="str">
        <x:f>IF(AND(WEEKDAY(A1137,2)&lt;=5,C1137="NO"),"SÍ","NO")</x:f>
        <x:v>SÍ</x:v>
      </x:c>
      <x:c r="E1137" s="2" t="n">
        <x:f>WORKDAY.INTL(A1137-1,1,1,FERIADOS!$A$2:$A$250)</x:f>
        <x:v>46793</x:v>
      </x:c>
      <x:c r="F1137" t="str">
        <x:f>IF(E1137&gt;=WORKDAY.INTL(EOMONTH(E1137,0)+1,-2,1,FERIADOS!$A$2:$A$250),"SÍ","NO")</x:f>
        <x:v>NO</x:v>
      </x:c>
      <x:c r="G1137" s="10" t="n">
        <x:f>IF(F1137="SÍ",EOMONTH(E1137,0)+1,DATE(YEAR(E1137),MONTH(E1137),1))</x:f>
        <x:v>46784</x:v>
      </x:c>
      <x:c r="H1137" t="str">
        <x:f>IF(D1137="NO",IF(C1137="SÍ","FERIADO","FIN DE SEMANA"),"LABORABLE")&amp;IF(F1137="SÍ"," + CIERRE","")</x:f>
        <x:v>LABORABLE</x:v>
      </x:c>
      <x:c r="I1137" t="str">
        <x:f>TEXT(G1137,"yyyy-mm")</x:f>
        <x:v>2028-02</x:v>
      </x:c>
    </x:row>
    <x:row r="1138" ht="19" customHeight="1">
      <x:c r="A1138" s="2" t="n">
        <x:v>46794</x:v>
      </x:c>
      <x:c r="B1138" t="str">
        <x:f>CHOOSE(WEEKDAY(A1138,2),"Lunes","Martes","Miércoles","Jueves","Viernes","Sábado","Domingo")</x:f>
        <x:v>Viernes</x:v>
      </x:c>
      <x:c r="C1138" t="str">
        <x:f>IF(COUNTIF(FERIADOS!$A$2:$A$250,A1138)&gt;0,"SÍ","NO")</x:f>
        <x:v>NO</x:v>
      </x:c>
      <x:c r="D1138" t="str">
        <x:f>IF(AND(WEEKDAY(A1138,2)&lt;=5,C1138="NO"),"SÍ","NO")</x:f>
        <x:v>SÍ</x:v>
      </x:c>
      <x:c r="E1138" s="2" t="n">
        <x:f>WORKDAY.INTL(A1138-1,1,1,FERIADOS!$A$2:$A$250)</x:f>
        <x:v>46794</x:v>
      </x:c>
      <x:c r="F1138" t="str">
        <x:f>IF(E1138&gt;=WORKDAY.INTL(EOMONTH(E1138,0)+1,-2,1,FERIADOS!$A$2:$A$250),"SÍ","NO")</x:f>
        <x:v>NO</x:v>
      </x:c>
      <x:c r="G1138" s="10" t="n">
        <x:f>IF(F1138="SÍ",EOMONTH(E1138,0)+1,DATE(YEAR(E1138),MONTH(E1138),1))</x:f>
        <x:v>46784</x:v>
      </x:c>
      <x:c r="H1138" t="str">
        <x:f>IF(D1138="NO",IF(C1138="SÍ","FERIADO","FIN DE SEMANA"),"LABORABLE")&amp;IF(F1138="SÍ"," + CIERRE","")</x:f>
        <x:v>LABORABLE</x:v>
      </x:c>
      <x:c r="I1138" t="str">
        <x:f>TEXT(G1138,"yyyy-mm")</x:f>
        <x:v>2028-02</x:v>
      </x:c>
    </x:row>
    <x:row r="1139" ht="19" customHeight="1">
      <x:c r="A1139" s="2" t="n">
        <x:v>46795</x:v>
      </x:c>
      <x:c r="B1139" t="str">
        <x:f>CHOOSE(WEEKDAY(A1139,2),"Lunes","Martes","Miércoles","Jueves","Viernes","Sábado","Domingo")</x:f>
        <x:v>Sábado</x:v>
      </x:c>
      <x:c r="C1139" t="str">
        <x:f>IF(COUNTIF(FERIADOS!$A$2:$A$250,A1139)&gt;0,"SÍ","NO")</x:f>
        <x:v>NO</x:v>
      </x:c>
      <x:c r="D1139" t="str">
        <x:f>IF(AND(WEEKDAY(A1139,2)&lt;=5,C1139="NO"),"SÍ","NO")</x:f>
        <x:v>NO</x:v>
      </x:c>
      <x:c r="E1139" s="2" t="n">
        <x:f>WORKDAY.INTL(A1139-1,1,1,FERIADOS!$A$2:$A$250)</x:f>
        <x:v>46797</x:v>
      </x:c>
      <x:c r="F1139" t="str">
        <x:f>IF(E1139&gt;=WORKDAY.INTL(EOMONTH(E1139,0)+1,-2,1,FERIADOS!$A$2:$A$250),"SÍ","NO")</x:f>
        <x:v>NO</x:v>
      </x:c>
      <x:c r="G1139" s="10" t="n">
        <x:f>IF(F1139="SÍ",EOMONTH(E1139,0)+1,DATE(YEAR(E1139),MONTH(E1139),1))</x:f>
        <x:v>46784</x:v>
      </x:c>
      <x:c r="H1139" t="str">
        <x:f>IF(D1139="NO",IF(C1139="SÍ","FERIADO","FIN DE SEMANA"),"LABORABLE")&amp;IF(F1139="SÍ"," + CIERRE","")</x:f>
        <x:v>FIN DE SEMANA</x:v>
      </x:c>
      <x:c r="I1139" t="str">
        <x:f>TEXT(G1139,"yyyy-mm")</x:f>
        <x:v>2028-02</x:v>
      </x:c>
    </x:row>
    <x:row r="1140" ht="19" customHeight="1">
      <x:c r="A1140" s="2" t="n">
        <x:v>46796</x:v>
      </x:c>
      <x:c r="B1140" t="str">
        <x:f>CHOOSE(WEEKDAY(A1140,2),"Lunes","Martes","Miércoles","Jueves","Viernes","Sábado","Domingo")</x:f>
        <x:v>Domingo</x:v>
      </x:c>
      <x:c r="C1140" t="str">
        <x:f>IF(COUNTIF(FERIADOS!$A$2:$A$250,A1140)&gt;0,"SÍ","NO")</x:f>
        <x:v>NO</x:v>
      </x:c>
      <x:c r="D1140" t="str">
        <x:f>IF(AND(WEEKDAY(A1140,2)&lt;=5,C1140="NO"),"SÍ","NO")</x:f>
        <x:v>NO</x:v>
      </x:c>
      <x:c r="E1140" s="2" t="n">
        <x:f>WORKDAY.INTL(A1140-1,1,1,FERIADOS!$A$2:$A$250)</x:f>
        <x:v>46797</x:v>
      </x:c>
      <x:c r="F1140" t="str">
        <x:f>IF(E1140&gt;=WORKDAY.INTL(EOMONTH(E1140,0)+1,-2,1,FERIADOS!$A$2:$A$250),"SÍ","NO")</x:f>
        <x:v>NO</x:v>
      </x:c>
      <x:c r="G1140" s="10" t="n">
        <x:f>IF(F1140="SÍ",EOMONTH(E1140,0)+1,DATE(YEAR(E1140),MONTH(E1140),1))</x:f>
        <x:v>46784</x:v>
      </x:c>
      <x:c r="H1140" t="str">
        <x:f>IF(D1140="NO",IF(C1140="SÍ","FERIADO","FIN DE SEMANA"),"LABORABLE")&amp;IF(F1140="SÍ"," + CIERRE","")</x:f>
        <x:v>FIN DE SEMANA</x:v>
      </x:c>
      <x:c r="I1140" t="str">
        <x:f>TEXT(G1140,"yyyy-mm")</x:f>
        <x:v>2028-02</x:v>
      </x:c>
    </x:row>
    <x:row r="1141" ht="19" customHeight="1">
      <x:c r="A1141" s="2" t="n">
        <x:v>46797</x:v>
      </x:c>
      <x:c r="B1141" t="str">
        <x:f>CHOOSE(WEEKDAY(A1141,2),"Lunes","Martes","Miércoles","Jueves","Viernes","Sábado","Domingo")</x:f>
        <x:v>Lunes</x:v>
      </x:c>
      <x:c r="C1141" t="str">
        <x:f>IF(COUNTIF(FERIADOS!$A$2:$A$250,A1141)&gt;0,"SÍ","NO")</x:f>
        <x:v>NO</x:v>
      </x:c>
      <x:c r="D1141" t="str">
        <x:f>IF(AND(WEEKDAY(A1141,2)&lt;=5,C1141="NO"),"SÍ","NO")</x:f>
        <x:v>SÍ</x:v>
      </x:c>
      <x:c r="E1141" s="2" t="n">
        <x:f>WORKDAY.INTL(A1141-1,1,1,FERIADOS!$A$2:$A$250)</x:f>
        <x:v>46797</x:v>
      </x:c>
      <x:c r="F1141" t="str">
        <x:f>IF(E1141&gt;=WORKDAY.INTL(EOMONTH(E1141,0)+1,-2,1,FERIADOS!$A$2:$A$250),"SÍ","NO")</x:f>
        <x:v>NO</x:v>
      </x:c>
      <x:c r="G1141" s="10" t="n">
        <x:f>IF(F1141="SÍ",EOMONTH(E1141,0)+1,DATE(YEAR(E1141),MONTH(E1141),1))</x:f>
        <x:v>46784</x:v>
      </x:c>
      <x:c r="H1141" t="str">
        <x:f>IF(D1141="NO",IF(C1141="SÍ","FERIADO","FIN DE SEMANA"),"LABORABLE")&amp;IF(F1141="SÍ"," + CIERRE","")</x:f>
        <x:v>LABORABLE</x:v>
      </x:c>
      <x:c r="I1141" t="str">
        <x:f>TEXT(G1141,"yyyy-mm")</x:f>
        <x:v>2028-02</x:v>
      </x:c>
    </x:row>
    <x:row r="1142" ht="19" customHeight="1">
      <x:c r="A1142" s="2" t="n">
        <x:v>46798</x:v>
      </x:c>
      <x:c r="B1142" t="str">
        <x:f>CHOOSE(WEEKDAY(A1142,2),"Lunes","Martes","Miércoles","Jueves","Viernes","Sábado","Domingo")</x:f>
        <x:v>Martes</x:v>
      </x:c>
      <x:c r="C1142" t="str">
        <x:f>IF(COUNTIF(FERIADOS!$A$2:$A$250,A1142)&gt;0,"SÍ","NO")</x:f>
        <x:v>NO</x:v>
      </x:c>
      <x:c r="D1142" t="str">
        <x:f>IF(AND(WEEKDAY(A1142,2)&lt;=5,C1142="NO"),"SÍ","NO")</x:f>
        <x:v>SÍ</x:v>
      </x:c>
      <x:c r="E1142" s="2" t="n">
        <x:f>WORKDAY.INTL(A1142-1,1,1,FERIADOS!$A$2:$A$250)</x:f>
        <x:v>46798</x:v>
      </x:c>
      <x:c r="F1142" t="str">
        <x:f>IF(E1142&gt;=WORKDAY.INTL(EOMONTH(E1142,0)+1,-2,1,FERIADOS!$A$2:$A$250),"SÍ","NO")</x:f>
        <x:v>NO</x:v>
      </x:c>
      <x:c r="G1142" s="10" t="n">
        <x:f>IF(F1142="SÍ",EOMONTH(E1142,0)+1,DATE(YEAR(E1142),MONTH(E1142),1))</x:f>
        <x:v>46784</x:v>
      </x:c>
      <x:c r="H1142" t="str">
        <x:f>IF(D1142="NO",IF(C1142="SÍ","FERIADO","FIN DE SEMANA"),"LABORABLE")&amp;IF(F1142="SÍ"," + CIERRE","")</x:f>
        <x:v>LABORABLE</x:v>
      </x:c>
      <x:c r="I1142" t="str">
        <x:f>TEXT(G1142,"yyyy-mm")</x:f>
        <x:v>2028-02</x:v>
      </x:c>
    </x:row>
    <x:row r="1143" ht="19" customHeight="1">
      <x:c r="A1143" s="2" t="n">
        <x:v>46799</x:v>
      </x:c>
      <x:c r="B1143" t="str">
        <x:f>CHOOSE(WEEKDAY(A1143,2),"Lunes","Martes","Miércoles","Jueves","Viernes","Sábado","Domingo")</x:f>
        <x:v>Miércoles</x:v>
      </x:c>
      <x:c r="C1143" t="str">
        <x:f>IF(COUNTIF(FERIADOS!$A$2:$A$250,A1143)&gt;0,"SÍ","NO")</x:f>
        <x:v>NO</x:v>
      </x:c>
      <x:c r="D1143" t="str">
        <x:f>IF(AND(WEEKDAY(A1143,2)&lt;=5,C1143="NO"),"SÍ","NO")</x:f>
        <x:v>SÍ</x:v>
      </x:c>
      <x:c r="E1143" s="2" t="n">
        <x:f>WORKDAY.INTL(A1143-1,1,1,FERIADOS!$A$2:$A$250)</x:f>
        <x:v>46799</x:v>
      </x:c>
      <x:c r="F1143" t="str">
        <x:f>IF(E1143&gt;=WORKDAY.INTL(EOMONTH(E1143,0)+1,-2,1,FERIADOS!$A$2:$A$250),"SÍ","NO")</x:f>
        <x:v>NO</x:v>
      </x:c>
      <x:c r="G1143" s="10" t="n">
        <x:f>IF(F1143="SÍ",EOMONTH(E1143,0)+1,DATE(YEAR(E1143),MONTH(E1143),1))</x:f>
        <x:v>46784</x:v>
      </x:c>
      <x:c r="H1143" t="str">
        <x:f>IF(D1143="NO",IF(C1143="SÍ","FERIADO","FIN DE SEMANA"),"LABORABLE")&amp;IF(F1143="SÍ"," + CIERRE","")</x:f>
        <x:v>LABORABLE</x:v>
      </x:c>
      <x:c r="I1143" t="str">
        <x:f>TEXT(G1143,"yyyy-mm")</x:f>
        <x:v>2028-02</x:v>
      </x:c>
    </x:row>
    <x:row r="1144" ht="19" customHeight="1">
      <x:c r="A1144" s="2" t="n">
        <x:v>46800</x:v>
      </x:c>
      <x:c r="B1144" t="str">
        <x:f>CHOOSE(WEEKDAY(A1144,2),"Lunes","Martes","Miércoles","Jueves","Viernes","Sábado","Domingo")</x:f>
        <x:v>Jueves</x:v>
      </x:c>
      <x:c r="C1144" t="str">
        <x:f>IF(COUNTIF(FERIADOS!$A$2:$A$250,A1144)&gt;0,"SÍ","NO")</x:f>
        <x:v>NO</x:v>
      </x:c>
      <x:c r="D1144" t="str">
        <x:f>IF(AND(WEEKDAY(A1144,2)&lt;=5,C1144="NO"),"SÍ","NO")</x:f>
        <x:v>SÍ</x:v>
      </x:c>
      <x:c r="E1144" s="2" t="n">
        <x:f>WORKDAY.INTL(A1144-1,1,1,FERIADOS!$A$2:$A$250)</x:f>
        <x:v>46800</x:v>
      </x:c>
      <x:c r="F1144" t="str">
        <x:f>IF(E1144&gt;=WORKDAY.INTL(EOMONTH(E1144,0)+1,-2,1,FERIADOS!$A$2:$A$250),"SÍ","NO")</x:f>
        <x:v>NO</x:v>
      </x:c>
      <x:c r="G1144" s="10" t="n">
        <x:f>IF(F1144="SÍ",EOMONTH(E1144,0)+1,DATE(YEAR(E1144),MONTH(E1144),1))</x:f>
        <x:v>46784</x:v>
      </x:c>
      <x:c r="H1144" t="str">
        <x:f>IF(D1144="NO",IF(C1144="SÍ","FERIADO","FIN DE SEMANA"),"LABORABLE")&amp;IF(F1144="SÍ"," + CIERRE","")</x:f>
        <x:v>LABORABLE</x:v>
      </x:c>
      <x:c r="I1144" t="str">
        <x:f>TEXT(G1144,"yyyy-mm")</x:f>
        <x:v>2028-02</x:v>
      </x:c>
    </x:row>
    <x:row r="1145" ht="19" customHeight="1">
      <x:c r="A1145" s="2" t="n">
        <x:v>46801</x:v>
      </x:c>
      <x:c r="B1145" t="str">
        <x:f>CHOOSE(WEEKDAY(A1145,2),"Lunes","Martes","Miércoles","Jueves","Viernes","Sábado","Domingo")</x:f>
        <x:v>Viernes</x:v>
      </x:c>
      <x:c r="C1145" t="str">
        <x:f>IF(COUNTIF(FERIADOS!$A$2:$A$250,A1145)&gt;0,"SÍ","NO")</x:f>
        <x:v>NO</x:v>
      </x:c>
      <x:c r="D1145" t="str">
        <x:f>IF(AND(WEEKDAY(A1145,2)&lt;=5,C1145="NO"),"SÍ","NO")</x:f>
        <x:v>SÍ</x:v>
      </x:c>
      <x:c r="E1145" s="2" t="n">
        <x:f>WORKDAY.INTL(A1145-1,1,1,FERIADOS!$A$2:$A$250)</x:f>
        <x:v>46801</x:v>
      </x:c>
      <x:c r="F1145" t="str">
        <x:f>IF(E1145&gt;=WORKDAY.INTL(EOMONTH(E1145,0)+1,-2,1,FERIADOS!$A$2:$A$250),"SÍ","NO")</x:f>
        <x:v>NO</x:v>
      </x:c>
      <x:c r="G1145" s="10" t="n">
        <x:f>IF(F1145="SÍ",EOMONTH(E1145,0)+1,DATE(YEAR(E1145),MONTH(E1145),1))</x:f>
        <x:v>46784</x:v>
      </x:c>
      <x:c r="H1145" t="str">
        <x:f>IF(D1145="NO",IF(C1145="SÍ","FERIADO","FIN DE SEMANA"),"LABORABLE")&amp;IF(F1145="SÍ"," + CIERRE","")</x:f>
        <x:v>LABORABLE</x:v>
      </x:c>
      <x:c r="I1145" t="str">
        <x:f>TEXT(G1145,"yyyy-mm")</x:f>
        <x:v>2028-02</x:v>
      </x:c>
    </x:row>
    <x:row r="1146" ht="19" customHeight="1">
      <x:c r="A1146" s="2" t="n">
        <x:v>46802</x:v>
      </x:c>
      <x:c r="B1146" t="str">
        <x:f>CHOOSE(WEEKDAY(A1146,2),"Lunes","Martes","Miércoles","Jueves","Viernes","Sábado","Domingo")</x:f>
        <x:v>Sábado</x:v>
      </x:c>
      <x:c r="C1146" t="str">
        <x:f>IF(COUNTIF(FERIADOS!$A$2:$A$250,A1146)&gt;0,"SÍ","NO")</x:f>
        <x:v>NO</x:v>
      </x:c>
      <x:c r="D1146" t="str">
        <x:f>IF(AND(WEEKDAY(A1146,2)&lt;=5,C1146="NO"),"SÍ","NO")</x:f>
        <x:v>NO</x:v>
      </x:c>
      <x:c r="E1146" s="2" t="n">
        <x:f>WORKDAY.INTL(A1146-1,1,1,FERIADOS!$A$2:$A$250)</x:f>
        <x:v>46804</x:v>
      </x:c>
      <x:c r="F1146" t="str">
        <x:f>IF(E1146&gt;=WORKDAY.INTL(EOMONTH(E1146,0)+1,-2,1,FERIADOS!$A$2:$A$250),"SÍ","NO")</x:f>
        <x:v>NO</x:v>
      </x:c>
      <x:c r="G1146" s="10" t="n">
        <x:f>IF(F1146="SÍ",EOMONTH(E1146,0)+1,DATE(YEAR(E1146),MONTH(E1146),1))</x:f>
        <x:v>46784</x:v>
      </x:c>
      <x:c r="H1146" t="str">
        <x:f>IF(D1146="NO",IF(C1146="SÍ","FERIADO","FIN DE SEMANA"),"LABORABLE")&amp;IF(F1146="SÍ"," + CIERRE","")</x:f>
        <x:v>FIN DE SEMANA</x:v>
      </x:c>
      <x:c r="I1146" t="str">
        <x:f>TEXT(G1146,"yyyy-mm")</x:f>
        <x:v>2028-02</x:v>
      </x:c>
    </x:row>
    <x:row r="1147" ht="19" customHeight="1">
      <x:c r="A1147" s="2" t="n">
        <x:v>46803</x:v>
      </x:c>
      <x:c r="B1147" t="str">
        <x:f>CHOOSE(WEEKDAY(A1147,2),"Lunes","Martes","Miércoles","Jueves","Viernes","Sábado","Domingo")</x:f>
        <x:v>Domingo</x:v>
      </x:c>
      <x:c r="C1147" t="str">
        <x:f>IF(COUNTIF(FERIADOS!$A$2:$A$250,A1147)&gt;0,"SÍ","NO")</x:f>
        <x:v>NO</x:v>
      </x:c>
      <x:c r="D1147" t="str">
        <x:f>IF(AND(WEEKDAY(A1147,2)&lt;=5,C1147="NO"),"SÍ","NO")</x:f>
        <x:v>NO</x:v>
      </x:c>
      <x:c r="E1147" s="2" t="n">
        <x:f>WORKDAY.INTL(A1147-1,1,1,FERIADOS!$A$2:$A$250)</x:f>
        <x:v>46804</x:v>
      </x:c>
      <x:c r="F1147" t="str">
        <x:f>IF(E1147&gt;=WORKDAY.INTL(EOMONTH(E1147,0)+1,-2,1,FERIADOS!$A$2:$A$250),"SÍ","NO")</x:f>
        <x:v>NO</x:v>
      </x:c>
      <x:c r="G1147" s="10" t="n">
        <x:f>IF(F1147="SÍ",EOMONTH(E1147,0)+1,DATE(YEAR(E1147),MONTH(E1147),1))</x:f>
        <x:v>46784</x:v>
      </x:c>
      <x:c r="H1147" t="str">
        <x:f>IF(D1147="NO",IF(C1147="SÍ","FERIADO","FIN DE SEMANA"),"LABORABLE")&amp;IF(F1147="SÍ"," + CIERRE","")</x:f>
        <x:v>FIN DE SEMANA</x:v>
      </x:c>
      <x:c r="I1147" t="str">
        <x:f>TEXT(G1147,"yyyy-mm")</x:f>
        <x:v>2028-02</x:v>
      </x:c>
    </x:row>
    <x:row r="1148" ht="19" customHeight="1">
      <x:c r="A1148" s="2" t="n">
        <x:v>46804</x:v>
      </x:c>
      <x:c r="B1148" t="str">
        <x:f>CHOOSE(WEEKDAY(A1148,2),"Lunes","Martes","Miércoles","Jueves","Viernes","Sábado","Domingo")</x:f>
        <x:v>Lunes</x:v>
      </x:c>
      <x:c r="C1148" t="str">
        <x:f>IF(COUNTIF(FERIADOS!$A$2:$A$250,A1148)&gt;0,"SÍ","NO")</x:f>
        <x:v>NO</x:v>
      </x:c>
      <x:c r="D1148" t="str">
        <x:f>IF(AND(WEEKDAY(A1148,2)&lt;=5,C1148="NO"),"SÍ","NO")</x:f>
        <x:v>SÍ</x:v>
      </x:c>
      <x:c r="E1148" s="2" t="n">
        <x:f>WORKDAY.INTL(A1148-1,1,1,FERIADOS!$A$2:$A$250)</x:f>
        <x:v>46804</x:v>
      </x:c>
      <x:c r="F1148" t="str">
        <x:f>IF(E1148&gt;=WORKDAY.INTL(EOMONTH(E1148,0)+1,-2,1,FERIADOS!$A$2:$A$250),"SÍ","NO")</x:f>
        <x:v>NO</x:v>
      </x:c>
      <x:c r="G1148" s="10" t="n">
        <x:f>IF(F1148="SÍ",EOMONTH(E1148,0)+1,DATE(YEAR(E1148),MONTH(E1148),1))</x:f>
        <x:v>46784</x:v>
      </x:c>
      <x:c r="H1148" t="str">
        <x:f>IF(D1148="NO",IF(C1148="SÍ","FERIADO","FIN DE SEMANA"),"LABORABLE")&amp;IF(F1148="SÍ"," + CIERRE","")</x:f>
        <x:v>LABORABLE</x:v>
      </x:c>
      <x:c r="I1148" t="str">
        <x:f>TEXT(G1148,"yyyy-mm")</x:f>
        <x:v>2028-02</x:v>
      </x:c>
    </x:row>
    <x:row r="1149" ht="19" customHeight="1">
      <x:c r="A1149" s="2" t="n">
        <x:v>46805</x:v>
      </x:c>
      <x:c r="B1149" t="str">
        <x:f>CHOOSE(WEEKDAY(A1149,2),"Lunes","Martes","Miércoles","Jueves","Viernes","Sábado","Domingo")</x:f>
        <x:v>Martes</x:v>
      </x:c>
      <x:c r="C1149" t="str">
        <x:f>IF(COUNTIF(FERIADOS!$A$2:$A$250,A1149)&gt;0,"SÍ","NO")</x:f>
        <x:v>NO</x:v>
      </x:c>
      <x:c r="D1149" t="str">
        <x:f>IF(AND(WEEKDAY(A1149,2)&lt;=5,C1149="NO"),"SÍ","NO")</x:f>
        <x:v>SÍ</x:v>
      </x:c>
      <x:c r="E1149" s="2" t="n">
        <x:f>WORKDAY.INTL(A1149-1,1,1,FERIADOS!$A$2:$A$250)</x:f>
        <x:v>46805</x:v>
      </x:c>
      <x:c r="F1149" t="str">
        <x:f>IF(E1149&gt;=WORKDAY.INTL(EOMONTH(E1149,0)+1,-2,1,FERIADOS!$A$2:$A$250),"SÍ","NO")</x:f>
        <x:v>NO</x:v>
      </x:c>
      <x:c r="G1149" s="10" t="n">
        <x:f>IF(F1149="SÍ",EOMONTH(E1149,0)+1,DATE(YEAR(E1149),MONTH(E1149),1))</x:f>
        <x:v>46784</x:v>
      </x:c>
      <x:c r="H1149" t="str">
        <x:f>IF(D1149="NO",IF(C1149="SÍ","FERIADO","FIN DE SEMANA"),"LABORABLE")&amp;IF(F1149="SÍ"," + CIERRE","")</x:f>
        <x:v>LABORABLE</x:v>
      </x:c>
      <x:c r="I1149" t="str">
        <x:f>TEXT(G1149,"yyyy-mm")</x:f>
        <x:v>2028-02</x:v>
      </x:c>
    </x:row>
    <x:row r="1150" ht="19" customHeight="1">
      <x:c r="A1150" s="2" t="n">
        <x:v>46806</x:v>
      </x:c>
      <x:c r="B1150" t="str">
        <x:f>CHOOSE(WEEKDAY(A1150,2),"Lunes","Martes","Miércoles","Jueves","Viernes","Sábado","Domingo")</x:f>
        <x:v>Miércoles</x:v>
      </x:c>
      <x:c r="C1150" t="str">
        <x:f>IF(COUNTIF(FERIADOS!$A$2:$A$250,A1150)&gt;0,"SÍ","NO")</x:f>
        <x:v>NO</x:v>
      </x:c>
      <x:c r="D1150" t="str">
        <x:f>IF(AND(WEEKDAY(A1150,2)&lt;=5,C1150="NO"),"SÍ","NO")</x:f>
        <x:v>SÍ</x:v>
      </x:c>
      <x:c r="E1150" s="2" t="n">
        <x:f>WORKDAY.INTL(A1150-1,1,1,FERIADOS!$A$2:$A$250)</x:f>
        <x:v>46806</x:v>
      </x:c>
      <x:c r="F1150" t="str">
        <x:f>IF(E1150&gt;=WORKDAY.INTL(EOMONTH(E1150,0)+1,-2,1,FERIADOS!$A$2:$A$250),"SÍ","NO")</x:f>
        <x:v>NO</x:v>
      </x:c>
      <x:c r="G1150" s="10" t="n">
        <x:f>IF(F1150="SÍ",EOMONTH(E1150,0)+1,DATE(YEAR(E1150),MONTH(E1150),1))</x:f>
        <x:v>46784</x:v>
      </x:c>
      <x:c r="H1150" t="str">
        <x:f>IF(D1150="NO",IF(C1150="SÍ","FERIADO","FIN DE SEMANA"),"LABORABLE")&amp;IF(F1150="SÍ"," + CIERRE","")</x:f>
        <x:v>LABORABLE</x:v>
      </x:c>
      <x:c r="I1150" t="str">
        <x:f>TEXT(G1150,"yyyy-mm")</x:f>
        <x:v>2028-02</x:v>
      </x:c>
    </x:row>
    <x:row r="1151" ht="19" customHeight="1">
      <x:c r="A1151" s="2" t="n">
        <x:v>46807</x:v>
      </x:c>
      <x:c r="B1151" t="str">
        <x:f>CHOOSE(WEEKDAY(A1151,2),"Lunes","Martes","Miércoles","Jueves","Viernes","Sábado","Domingo")</x:f>
        <x:v>Jueves</x:v>
      </x:c>
      <x:c r="C1151" t="str">
        <x:f>IF(COUNTIF(FERIADOS!$A$2:$A$250,A1151)&gt;0,"SÍ","NO")</x:f>
        <x:v>NO</x:v>
      </x:c>
      <x:c r="D1151" t="str">
        <x:f>IF(AND(WEEKDAY(A1151,2)&lt;=5,C1151="NO"),"SÍ","NO")</x:f>
        <x:v>SÍ</x:v>
      </x:c>
      <x:c r="E1151" s="2" t="n">
        <x:f>WORKDAY.INTL(A1151-1,1,1,FERIADOS!$A$2:$A$250)</x:f>
        <x:v>46807</x:v>
      </x:c>
      <x:c r="F1151" t="str">
        <x:f>IF(E1151&gt;=WORKDAY.INTL(EOMONTH(E1151,0)+1,-2,1,FERIADOS!$A$2:$A$250),"SÍ","NO")</x:f>
        <x:v>SÍ</x:v>
      </x:c>
      <x:c r="G1151" s="10" t="n">
        <x:f>IF(F1151="SÍ",EOMONTH(E1151,0)+1,DATE(YEAR(E1151),MONTH(E1151),1))</x:f>
        <x:v>46813</x:v>
      </x:c>
      <x:c r="H1151" t="str">
        <x:f>IF(D1151="NO",IF(C1151="SÍ","FERIADO","FIN DE SEMANA"),"LABORABLE")&amp;IF(F1151="SÍ"," + CIERRE","")</x:f>
        <x:v>LABORABLE + CIERRE</x:v>
      </x:c>
      <x:c r="I1151" t="str">
        <x:f>TEXT(G1151,"yyyy-mm")</x:f>
        <x:v>2028-03</x:v>
      </x:c>
    </x:row>
    <x:row r="1152" ht="19" customHeight="1">
      <x:c r="A1152" s="2" t="n">
        <x:v>46808</x:v>
      </x:c>
      <x:c r="B1152" t="str">
        <x:f>CHOOSE(WEEKDAY(A1152,2),"Lunes","Martes","Miércoles","Jueves","Viernes","Sábado","Domingo")</x:f>
        <x:v>Viernes</x:v>
      </x:c>
      <x:c r="C1152" t="str">
        <x:f>IF(COUNTIF(FERIADOS!$A$2:$A$250,A1152)&gt;0,"SÍ","NO")</x:f>
        <x:v>NO</x:v>
      </x:c>
      <x:c r="D1152" t="str">
        <x:f>IF(AND(WEEKDAY(A1152,2)&lt;=5,C1152="NO"),"SÍ","NO")</x:f>
        <x:v>SÍ</x:v>
      </x:c>
      <x:c r="E1152" s="2" t="n">
        <x:f>WORKDAY.INTL(A1152-1,1,1,FERIADOS!$A$2:$A$250)</x:f>
        <x:v>46808</x:v>
      </x:c>
      <x:c r="F1152" t="str">
        <x:f>IF(E1152&gt;=WORKDAY.INTL(EOMONTH(E1152,0)+1,-2,1,FERIADOS!$A$2:$A$250),"SÍ","NO")</x:f>
        <x:v>SÍ</x:v>
      </x:c>
      <x:c r="G1152" s="10" t="n">
        <x:f>IF(F1152="SÍ",EOMONTH(E1152,0)+1,DATE(YEAR(E1152),MONTH(E1152),1))</x:f>
        <x:v>46813</x:v>
      </x:c>
      <x:c r="H1152" t="str">
        <x:f>IF(D1152="NO",IF(C1152="SÍ","FERIADO","FIN DE SEMANA"),"LABORABLE")&amp;IF(F1152="SÍ"," + CIERRE","")</x:f>
        <x:v>LABORABLE + CIERRE</x:v>
      </x:c>
      <x:c r="I1152" t="str">
        <x:f>TEXT(G1152,"yyyy-mm")</x:f>
        <x:v>2028-03</x:v>
      </x:c>
    </x:row>
    <x:row r="1153" ht="19" customHeight="1">
      <x:c r="A1153" s="2" t="n">
        <x:v>46809</x:v>
      </x:c>
      <x:c r="B1153" t="str">
        <x:f>CHOOSE(WEEKDAY(A1153,2),"Lunes","Martes","Miércoles","Jueves","Viernes","Sábado","Domingo")</x:f>
        <x:v>Sábado</x:v>
      </x:c>
      <x:c r="C1153" t="str">
        <x:f>IF(COUNTIF(FERIADOS!$A$2:$A$250,A1153)&gt;0,"SÍ","NO")</x:f>
        <x:v>NO</x:v>
      </x:c>
      <x:c r="D1153" t="str">
        <x:f>IF(AND(WEEKDAY(A1153,2)&lt;=5,C1153="NO"),"SÍ","NO")</x:f>
        <x:v>NO</x:v>
      </x:c>
      <x:c r="E1153" s="2" t="n">
        <x:f>WORKDAY.INTL(A1153-1,1,1,FERIADOS!$A$2:$A$250)</x:f>
        <x:v>46813</x:v>
      </x:c>
      <x:c r="F1153" t="str">
        <x:f>IF(E1153&gt;=WORKDAY.INTL(EOMONTH(E1153,0)+1,-2,1,FERIADOS!$A$2:$A$250),"SÍ","NO")</x:f>
        <x:v>NO</x:v>
      </x:c>
      <x:c r="G1153" s="10" t="n">
        <x:f>IF(F1153="SÍ",EOMONTH(E1153,0)+1,DATE(YEAR(E1153),MONTH(E1153),1))</x:f>
        <x:v>46813</x:v>
      </x:c>
      <x:c r="H1153" t="str">
        <x:f>IF(D1153="NO",IF(C1153="SÍ","FERIADO","FIN DE SEMANA"),"LABORABLE")&amp;IF(F1153="SÍ"," + CIERRE","")</x:f>
        <x:v>FIN DE SEMANA</x:v>
      </x:c>
      <x:c r="I1153" t="str">
        <x:f>TEXT(G1153,"yyyy-mm")</x:f>
        <x:v>2028-03</x:v>
      </x:c>
    </x:row>
    <x:row r="1154" ht="19" customHeight="1">
      <x:c r="A1154" s="2" t="n">
        <x:v>46810</x:v>
      </x:c>
      <x:c r="B1154" t="str">
        <x:f>CHOOSE(WEEKDAY(A1154,2),"Lunes","Martes","Miércoles","Jueves","Viernes","Sábado","Domingo")</x:f>
        <x:v>Domingo</x:v>
      </x:c>
      <x:c r="C1154" t="str">
        <x:f>IF(COUNTIF(FERIADOS!$A$2:$A$250,A1154)&gt;0,"SÍ","NO")</x:f>
        <x:v>NO</x:v>
      </x:c>
      <x:c r="D1154" t="str">
        <x:f>IF(AND(WEEKDAY(A1154,2)&lt;=5,C1154="NO"),"SÍ","NO")</x:f>
        <x:v>NO</x:v>
      </x:c>
      <x:c r="E1154" s="2" t="n">
        <x:f>WORKDAY.INTL(A1154-1,1,1,FERIADOS!$A$2:$A$250)</x:f>
        <x:v>46813</x:v>
      </x:c>
      <x:c r="F1154" t="str">
        <x:f>IF(E1154&gt;=WORKDAY.INTL(EOMONTH(E1154,0)+1,-2,1,FERIADOS!$A$2:$A$250),"SÍ","NO")</x:f>
        <x:v>NO</x:v>
      </x:c>
      <x:c r="G1154" s="10" t="n">
        <x:f>IF(F1154="SÍ",EOMONTH(E1154,0)+1,DATE(YEAR(E1154),MONTH(E1154),1))</x:f>
        <x:v>46813</x:v>
      </x:c>
      <x:c r="H1154" t="str">
        <x:f>IF(D1154="NO",IF(C1154="SÍ","FERIADO","FIN DE SEMANA"),"LABORABLE")&amp;IF(F1154="SÍ"," + CIERRE","")</x:f>
        <x:v>FIN DE SEMANA</x:v>
      </x:c>
      <x:c r="I1154" t="str">
        <x:f>TEXT(G1154,"yyyy-mm")</x:f>
        <x:v>2028-03</x:v>
      </x:c>
    </x:row>
    <x:row r="1155" ht="19" customHeight="1">
      <x:c r="A1155" s="2" t="n">
        <x:v>46811</x:v>
      </x:c>
      <x:c r="B1155" t="str">
        <x:f>CHOOSE(WEEKDAY(A1155,2),"Lunes","Martes","Miércoles","Jueves","Viernes","Sábado","Domingo")</x:f>
        <x:v>Lunes</x:v>
      </x:c>
      <x:c r="C1155" t="str">
        <x:f>IF(COUNTIF(FERIADOS!$A$2:$A$250,A1155)&gt;0,"SÍ","NO")</x:f>
        <x:v>SÍ</x:v>
      </x:c>
      <x:c r="D1155" t="str">
        <x:f>IF(AND(WEEKDAY(A1155,2)&lt;=5,C1155="NO"),"SÍ","NO")</x:f>
        <x:v>NO</x:v>
      </x:c>
      <x:c r="E1155" s="2" t="n">
        <x:f>WORKDAY.INTL(A1155-1,1,1,FERIADOS!$A$2:$A$250)</x:f>
        <x:v>46813</x:v>
      </x:c>
      <x:c r="F1155" t="str">
        <x:f>IF(E1155&gt;=WORKDAY.INTL(EOMONTH(E1155,0)+1,-2,1,FERIADOS!$A$2:$A$250),"SÍ","NO")</x:f>
        <x:v>NO</x:v>
      </x:c>
      <x:c r="G1155" s="10" t="n">
        <x:f>IF(F1155="SÍ",EOMONTH(E1155,0)+1,DATE(YEAR(E1155),MONTH(E1155),1))</x:f>
        <x:v>46813</x:v>
      </x:c>
      <x:c r="H1155" t="str">
        <x:f>IF(D1155="NO",IF(C1155="SÍ","FERIADO","FIN DE SEMANA"),"LABORABLE")&amp;IF(F1155="SÍ"," + CIERRE","")</x:f>
        <x:v>FERIADO</x:v>
      </x:c>
      <x:c r="I1155" t="str">
        <x:f>TEXT(G1155,"yyyy-mm")</x:f>
        <x:v>2028-03</x:v>
      </x:c>
    </x:row>
    <x:row r="1156" ht="19" customHeight="1">
      <x:c r="A1156" s="2" t="n">
        <x:v>46812</x:v>
      </x:c>
      <x:c r="B1156" t="str">
        <x:f>CHOOSE(WEEKDAY(A1156,2),"Lunes","Martes","Miércoles","Jueves","Viernes","Sábado","Domingo")</x:f>
        <x:v>Martes</x:v>
      </x:c>
      <x:c r="C1156" t="str">
        <x:f>IF(COUNTIF(FERIADOS!$A$2:$A$250,A1156)&gt;0,"SÍ","NO")</x:f>
        <x:v>SÍ</x:v>
      </x:c>
      <x:c r="D1156" t="str">
        <x:f>IF(AND(WEEKDAY(A1156,2)&lt;=5,C1156="NO"),"SÍ","NO")</x:f>
        <x:v>NO</x:v>
      </x:c>
      <x:c r="E1156" s="2" t="n">
        <x:f>WORKDAY.INTL(A1156-1,1,1,FERIADOS!$A$2:$A$250)</x:f>
        <x:v>46813</x:v>
      </x:c>
      <x:c r="F1156" t="str">
        <x:f>IF(E1156&gt;=WORKDAY.INTL(EOMONTH(E1156,0)+1,-2,1,FERIADOS!$A$2:$A$250),"SÍ","NO")</x:f>
        <x:v>NO</x:v>
      </x:c>
      <x:c r="G1156" s="10" t="n">
        <x:f>IF(F1156="SÍ",EOMONTH(E1156,0)+1,DATE(YEAR(E1156),MONTH(E1156),1))</x:f>
        <x:v>46813</x:v>
      </x:c>
      <x:c r="H1156" t="str">
        <x:f>IF(D1156="NO",IF(C1156="SÍ","FERIADO","FIN DE SEMANA"),"LABORABLE")&amp;IF(F1156="SÍ"," + CIERRE","")</x:f>
        <x:v>FERIADO</x:v>
      </x:c>
      <x:c r="I1156" t="str">
        <x:f>TEXT(G1156,"yyyy-mm")</x:f>
        <x:v>2028-03</x:v>
      </x:c>
    </x:row>
    <x:row r="1157" ht="19" customHeight="1">
      <x:c r="A1157" s="2" t="n">
        <x:v>46813</x:v>
      </x:c>
      <x:c r="B1157" t="str">
        <x:f>CHOOSE(WEEKDAY(A1157,2),"Lunes","Martes","Miércoles","Jueves","Viernes","Sábado","Domingo")</x:f>
        <x:v>Miércoles</x:v>
      </x:c>
      <x:c r="C1157" t="str">
        <x:f>IF(COUNTIF(FERIADOS!$A$2:$A$250,A1157)&gt;0,"SÍ","NO")</x:f>
        <x:v>NO</x:v>
      </x:c>
      <x:c r="D1157" t="str">
        <x:f>IF(AND(WEEKDAY(A1157,2)&lt;=5,C1157="NO"),"SÍ","NO")</x:f>
        <x:v>SÍ</x:v>
      </x:c>
      <x:c r="E1157" s="2" t="n">
        <x:f>WORKDAY.INTL(A1157-1,1,1,FERIADOS!$A$2:$A$250)</x:f>
        <x:v>46813</x:v>
      </x:c>
      <x:c r="F1157" t="str">
        <x:f>IF(E1157&gt;=WORKDAY.INTL(EOMONTH(E1157,0)+1,-2,1,FERIADOS!$A$2:$A$250),"SÍ","NO")</x:f>
        <x:v>NO</x:v>
      </x:c>
      <x:c r="G1157" s="10" t="n">
        <x:f>IF(F1157="SÍ",EOMONTH(E1157,0)+1,DATE(YEAR(E1157),MONTH(E1157),1))</x:f>
        <x:v>46813</x:v>
      </x:c>
      <x:c r="H1157" t="str">
        <x:f>IF(D1157="NO",IF(C1157="SÍ","FERIADO","FIN DE SEMANA"),"LABORABLE")&amp;IF(F1157="SÍ"," + CIERRE","")</x:f>
        <x:v>LABORABLE</x:v>
      </x:c>
      <x:c r="I1157" t="str">
        <x:f>TEXT(G1157,"yyyy-mm")</x:f>
        <x:v>2028-03</x:v>
      </x:c>
    </x:row>
    <x:row r="1158" ht="19" customHeight="1">
      <x:c r="A1158" s="2" t="n">
        <x:v>46814</x:v>
      </x:c>
      <x:c r="B1158" t="str">
        <x:f>CHOOSE(WEEKDAY(A1158,2),"Lunes","Martes","Miércoles","Jueves","Viernes","Sábado","Domingo")</x:f>
        <x:v>Jueves</x:v>
      </x:c>
      <x:c r="C1158" t="str">
        <x:f>IF(COUNTIF(FERIADOS!$A$2:$A$250,A1158)&gt;0,"SÍ","NO")</x:f>
        <x:v>NO</x:v>
      </x:c>
      <x:c r="D1158" t="str">
        <x:f>IF(AND(WEEKDAY(A1158,2)&lt;=5,C1158="NO"),"SÍ","NO")</x:f>
        <x:v>SÍ</x:v>
      </x:c>
      <x:c r="E1158" s="2" t="n">
        <x:f>WORKDAY.INTL(A1158-1,1,1,FERIADOS!$A$2:$A$250)</x:f>
        <x:v>46814</x:v>
      </x:c>
      <x:c r="F1158" t="str">
        <x:f>IF(E1158&gt;=WORKDAY.INTL(EOMONTH(E1158,0)+1,-2,1,FERIADOS!$A$2:$A$250),"SÍ","NO")</x:f>
        <x:v>NO</x:v>
      </x:c>
      <x:c r="G1158" s="10" t="n">
        <x:f>IF(F1158="SÍ",EOMONTH(E1158,0)+1,DATE(YEAR(E1158),MONTH(E1158),1))</x:f>
        <x:v>46813</x:v>
      </x:c>
      <x:c r="H1158" t="str">
        <x:f>IF(D1158="NO",IF(C1158="SÍ","FERIADO","FIN DE SEMANA"),"LABORABLE")&amp;IF(F1158="SÍ"," + CIERRE","")</x:f>
        <x:v>LABORABLE</x:v>
      </x:c>
      <x:c r="I1158" t="str">
        <x:f>TEXT(G1158,"yyyy-mm")</x:f>
        <x:v>2028-03</x:v>
      </x:c>
    </x:row>
    <x:row r="1159" ht="19" customHeight="1">
      <x:c r="A1159" s="2" t="n">
        <x:v>46815</x:v>
      </x:c>
      <x:c r="B1159" t="str">
        <x:f>CHOOSE(WEEKDAY(A1159,2),"Lunes","Martes","Miércoles","Jueves","Viernes","Sábado","Domingo")</x:f>
        <x:v>Viernes</x:v>
      </x:c>
      <x:c r="C1159" t="str">
        <x:f>IF(COUNTIF(FERIADOS!$A$2:$A$250,A1159)&gt;0,"SÍ","NO")</x:f>
        <x:v>NO</x:v>
      </x:c>
      <x:c r="D1159" t="str">
        <x:f>IF(AND(WEEKDAY(A1159,2)&lt;=5,C1159="NO"),"SÍ","NO")</x:f>
        <x:v>SÍ</x:v>
      </x:c>
      <x:c r="E1159" s="2" t="n">
        <x:f>WORKDAY.INTL(A1159-1,1,1,FERIADOS!$A$2:$A$250)</x:f>
        <x:v>46815</x:v>
      </x:c>
      <x:c r="F1159" t="str">
        <x:f>IF(E1159&gt;=WORKDAY.INTL(EOMONTH(E1159,0)+1,-2,1,FERIADOS!$A$2:$A$250),"SÍ","NO")</x:f>
        <x:v>NO</x:v>
      </x:c>
      <x:c r="G1159" s="10" t="n">
        <x:f>IF(F1159="SÍ",EOMONTH(E1159,0)+1,DATE(YEAR(E1159),MONTH(E1159),1))</x:f>
        <x:v>46813</x:v>
      </x:c>
      <x:c r="H1159" t="str">
        <x:f>IF(D1159="NO",IF(C1159="SÍ","FERIADO","FIN DE SEMANA"),"LABORABLE")&amp;IF(F1159="SÍ"," + CIERRE","")</x:f>
        <x:v>LABORABLE</x:v>
      </x:c>
      <x:c r="I1159" t="str">
        <x:f>TEXT(G1159,"yyyy-mm")</x:f>
        <x:v>2028-03</x:v>
      </x:c>
    </x:row>
    <x:row r="1160" ht="19" customHeight="1">
      <x:c r="A1160" s="2" t="n">
        <x:v>46816</x:v>
      </x:c>
      <x:c r="B1160" t="str">
        <x:f>CHOOSE(WEEKDAY(A1160,2),"Lunes","Martes","Miércoles","Jueves","Viernes","Sábado","Domingo")</x:f>
        <x:v>Sábado</x:v>
      </x:c>
      <x:c r="C1160" t="str">
        <x:f>IF(COUNTIF(FERIADOS!$A$2:$A$250,A1160)&gt;0,"SÍ","NO")</x:f>
        <x:v>NO</x:v>
      </x:c>
      <x:c r="D1160" t="str">
        <x:f>IF(AND(WEEKDAY(A1160,2)&lt;=5,C1160="NO"),"SÍ","NO")</x:f>
        <x:v>NO</x:v>
      </x:c>
      <x:c r="E1160" s="2" t="n">
        <x:f>WORKDAY.INTL(A1160-1,1,1,FERIADOS!$A$2:$A$250)</x:f>
        <x:v>46818</x:v>
      </x:c>
      <x:c r="F1160" t="str">
        <x:f>IF(E1160&gt;=WORKDAY.INTL(EOMONTH(E1160,0)+1,-2,1,FERIADOS!$A$2:$A$250),"SÍ","NO")</x:f>
        <x:v>NO</x:v>
      </x:c>
      <x:c r="G1160" s="10" t="n">
        <x:f>IF(F1160="SÍ",EOMONTH(E1160,0)+1,DATE(YEAR(E1160),MONTH(E1160),1))</x:f>
        <x:v>46813</x:v>
      </x:c>
      <x:c r="H1160" t="str">
        <x:f>IF(D1160="NO",IF(C1160="SÍ","FERIADO","FIN DE SEMANA"),"LABORABLE")&amp;IF(F1160="SÍ"," + CIERRE","")</x:f>
        <x:v>FIN DE SEMANA</x:v>
      </x:c>
      <x:c r="I1160" t="str">
        <x:f>TEXT(G1160,"yyyy-mm")</x:f>
        <x:v>2028-03</x:v>
      </x:c>
    </x:row>
    <x:row r="1161" ht="19" customHeight="1">
      <x:c r="A1161" s="2" t="n">
        <x:v>46817</x:v>
      </x:c>
      <x:c r="B1161" t="str">
        <x:f>CHOOSE(WEEKDAY(A1161,2),"Lunes","Martes","Miércoles","Jueves","Viernes","Sábado","Domingo")</x:f>
        <x:v>Domingo</x:v>
      </x:c>
      <x:c r="C1161" t="str">
        <x:f>IF(COUNTIF(FERIADOS!$A$2:$A$250,A1161)&gt;0,"SÍ","NO")</x:f>
        <x:v>NO</x:v>
      </x:c>
      <x:c r="D1161" t="str">
        <x:f>IF(AND(WEEKDAY(A1161,2)&lt;=5,C1161="NO"),"SÍ","NO")</x:f>
        <x:v>NO</x:v>
      </x:c>
      <x:c r="E1161" s="2" t="n">
        <x:f>WORKDAY.INTL(A1161-1,1,1,FERIADOS!$A$2:$A$250)</x:f>
        <x:v>46818</x:v>
      </x:c>
      <x:c r="F1161" t="str">
        <x:f>IF(E1161&gt;=WORKDAY.INTL(EOMONTH(E1161,0)+1,-2,1,FERIADOS!$A$2:$A$250),"SÍ","NO")</x:f>
        <x:v>NO</x:v>
      </x:c>
      <x:c r="G1161" s="10" t="n">
        <x:f>IF(F1161="SÍ",EOMONTH(E1161,0)+1,DATE(YEAR(E1161),MONTH(E1161),1))</x:f>
        <x:v>46813</x:v>
      </x:c>
      <x:c r="H1161" t="str">
        <x:f>IF(D1161="NO",IF(C1161="SÍ","FERIADO","FIN DE SEMANA"),"LABORABLE")&amp;IF(F1161="SÍ"," + CIERRE","")</x:f>
        <x:v>FIN DE SEMANA</x:v>
      </x:c>
      <x:c r="I1161" t="str">
        <x:f>TEXT(G1161,"yyyy-mm")</x:f>
        <x:v>2028-03</x:v>
      </x:c>
    </x:row>
    <x:row r="1162" ht="19" customHeight="1">
      <x:c r="A1162" s="2" t="n">
        <x:v>46818</x:v>
      </x:c>
      <x:c r="B1162" t="str">
        <x:f>CHOOSE(WEEKDAY(A1162,2),"Lunes","Martes","Miércoles","Jueves","Viernes","Sábado","Domingo")</x:f>
        <x:v>Lunes</x:v>
      </x:c>
      <x:c r="C1162" t="str">
        <x:f>IF(COUNTIF(FERIADOS!$A$2:$A$250,A1162)&gt;0,"SÍ","NO")</x:f>
        <x:v>NO</x:v>
      </x:c>
      <x:c r="D1162" t="str">
        <x:f>IF(AND(WEEKDAY(A1162,2)&lt;=5,C1162="NO"),"SÍ","NO")</x:f>
        <x:v>SÍ</x:v>
      </x:c>
      <x:c r="E1162" s="2" t="n">
        <x:f>WORKDAY.INTL(A1162-1,1,1,FERIADOS!$A$2:$A$250)</x:f>
        <x:v>46818</x:v>
      </x:c>
      <x:c r="F1162" t="str">
        <x:f>IF(E1162&gt;=WORKDAY.INTL(EOMONTH(E1162,0)+1,-2,1,FERIADOS!$A$2:$A$250),"SÍ","NO")</x:f>
        <x:v>NO</x:v>
      </x:c>
      <x:c r="G1162" s="10" t="n">
        <x:f>IF(F1162="SÍ",EOMONTH(E1162,0)+1,DATE(YEAR(E1162),MONTH(E1162),1))</x:f>
        <x:v>46813</x:v>
      </x:c>
      <x:c r="H1162" t="str">
        <x:f>IF(D1162="NO",IF(C1162="SÍ","FERIADO","FIN DE SEMANA"),"LABORABLE")&amp;IF(F1162="SÍ"," + CIERRE","")</x:f>
        <x:v>LABORABLE</x:v>
      </x:c>
      <x:c r="I1162" t="str">
        <x:f>TEXT(G1162,"yyyy-mm")</x:f>
        <x:v>2028-03</x:v>
      </x:c>
    </x:row>
    <x:row r="1163" ht="19" customHeight="1">
      <x:c r="A1163" s="2" t="n">
        <x:v>46819</x:v>
      </x:c>
      <x:c r="B1163" t="str">
        <x:f>CHOOSE(WEEKDAY(A1163,2),"Lunes","Martes","Miércoles","Jueves","Viernes","Sábado","Domingo")</x:f>
        <x:v>Martes</x:v>
      </x:c>
      <x:c r="C1163" t="str">
        <x:f>IF(COUNTIF(FERIADOS!$A$2:$A$250,A1163)&gt;0,"SÍ","NO")</x:f>
        <x:v>NO</x:v>
      </x:c>
      <x:c r="D1163" t="str">
        <x:f>IF(AND(WEEKDAY(A1163,2)&lt;=5,C1163="NO"),"SÍ","NO")</x:f>
        <x:v>SÍ</x:v>
      </x:c>
      <x:c r="E1163" s="2" t="n">
        <x:f>WORKDAY.INTL(A1163-1,1,1,FERIADOS!$A$2:$A$250)</x:f>
        <x:v>46819</x:v>
      </x:c>
      <x:c r="F1163" t="str">
        <x:f>IF(E1163&gt;=WORKDAY.INTL(EOMONTH(E1163,0)+1,-2,1,FERIADOS!$A$2:$A$250),"SÍ","NO")</x:f>
        <x:v>NO</x:v>
      </x:c>
      <x:c r="G1163" s="10" t="n">
        <x:f>IF(F1163="SÍ",EOMONTH(E1163,0)+1,DATE(YEAR(E1163),MONTH(E1163),1))</x:f>
        <x:v>46813</x:v>
      </x:c>
      <x:c r="H1163" t="str">
        <x:f>IF(D1163="NO",IF(C1163="SÍ","FERIADO","FIN DE SEMANA"),"LABORABLE")&amp;IF(F1163="SÍ"," + CIERRE","")</x:f>
        <x:v>LABORABLE</x:v>
      </x:c>
      <x:c r="I1163" t="str">
        <x:f>TEXT(G1163,"yyyy-mm")</x:f>
        <x:v>2028-03</x:v>
      </x:c>
    </x:row>
    <x:row r="1164" ht="19" customHeight="1">
      <x:c r="A1164" s="2" t="n">
        <x:v>46820</x:v>
      </x:c>
      <x:c r="B1164" t="str">
        <x:f>CHOOSE(WEEKDAY(A1164,2),"Lunes","Martes","Miércoles","Jueves","Viernes","Sábado","Domingo")</x:f>
        <x:v>Miércoles</x:v>
      </x:c>
      <x:c r="C1164" t="str">
        <x:f>IF(COUNTIF(FERIADOS!$A$2:$A$250,A1164)&gt;0,"SÍ","NO")</x:f>
        <x:v>NO</x:v>
      </x:c>
      <x:c r="D1164" t="str">
        <x:f>IF(AND(WEEKDAY(A1164,2)&lt;=5,C1164="NO"),"SÍ","NO")</x:f>
        <x:v>SÍ</x:v>
      </x:c>
      <x:c r="E1164" s="2" t="n">
        <x:f>WORKDAY.INTL(A1164-1,1,1,FERIADOS!$A$2:$A$250)</x:f>
        <x:v>46820</x:v>
      </x:c>
      <x:c r="F1164" t="str">
        <x:f>IF(E1164&gt;=WORKDAY.INTL(EOMONTH(E1164,0)+1,-2,1,FERIADOS!$A$2:$A$250),"SÍ","NO")</x:f>
        <x:v>NO</x:v>
      </x:c>
      <x:c r="G1164" s="10" t="n">
        <x:f>IF(F1164="SÍ",EOMONTH(E1164,0)+1,DATE(YEAR(E1164),MONTH(E1164),1))</x:f>
        <x:v>46813</x:v>
      </x:c>
      <x:c r="H1164" t="str">
        <x:f>IF(D1164="NO",IF(C1164="SÍ","FERIADO","FIN DE SEMANA"),"LABORABLE")&amp;IF(F1164="SÍ"," + CIERRE","")</x:f>
        <x:v>LABORABLE</x:v>
      </x:c>
      <x:c r="I1164" t="str">
        <x:f>TEXT(G1164,"yyyy-mm")</x:f>
        <x:v>2028-03</x:v>
      </x:c>
    </x:row>
    <x:row r="1165" ht="19" customHeight="1">
      <x:c r="A1165" s="2" t="n">
        <x:v>46821</x:v>
      </x:c>
      <x:c r="B1165" t="str">
        <x:f>CHOOSE(WEEKDAY(A1165,2),"Lunes","Martes","Miércoles","Jueves","Viernes","Sábado","Domingo")</x:f>
        <x:v>Jueves</x:v>
      </x:c>
      <x:c r="C1165" t="str">
        <x:f>IF(COUNTIF(FERIADOS!$A$2:$A$250,A1165)&gt;0,"SÍ","NO")</x:f>
        <x:v>NO</x:v>
      </x:c>
      <x:c r="D1165" t="str">
        <x:f>IF(AND(WEEKDAY(A1165,2)&lt;=5,C1165="NO"),"SÍ","NO")</x:f>
        <x:v>SÍ</x:v>
      </x:c>
      <x:c r="E1165" s="2" t="n">
        <x:f>WORKDAY.INTL(A1165-1,1,1,FERIADOS!$A$2:$A$250)</x:f>
        <x:v>46821</x:v>
      </x:c>
      <x:c r="F1165" t="str">
        <x:f>IF(E1165&gt;=WORKDAY.INTL(EOMONTH(E1165,0)+1,-2,1,FERIADOS!$A$2:$A$250),"SÍ","NO")</x:f>
        <x:v>NO</x:v>
      </x:c>
      <x:c r="G1165" s="10" t="n">
        <x:f>IF(F1165="SÍ",EOMONTH(E1165,0)+1,DATE(YEAR(E1165),MONTH(E1165),1))</x:f>
        <x:v>46813</x:v>
      </x:c>
      <x:c r="H1165" t="str">
        <x:f>IF(D1165="NO",IF(C1165="SÍ","FERIADO","FIN DE SEMANA"),"LABORABLE")&amp;IF(F1165="SÍ"," + CIERRE","")</x:f>
        <x:v>LABORABLE</x:v>
      </x:c>
      <x:c r="I1165" t="str">
        <x:f>TEXT(G1165,"yyyy-mm")</x:f>
        <x:v>2028-03</x:v>
      </x:c>
    </x:row>
    <x:row r="1166" ht="19" customHeight="1">
      <x:c r="A1166" s="2" t="n">
        <x:v>46822</x:v>
      </x:c>
      <x:c r="B1166" t="str">
        <x:f>CHOOSE(WEEKDAY(A1166,2),"Lunes","Martes","Miércoles","Jueves","Viernes","Sábado","Domingo")</x:f>
        <x:v>Viernes</x:v>
      </x:c>
      <x:c r="C1166" t="str">
        <x:f>IF(COUNTIF(FERIADOS!$A$2:$A$250,A1166)&gt;0,"SÍ","NO")</x:f>
        <x:v>NO</x:v>
      </x:c>
      <x:c r="D1166" t="str">
        <x:f>IF(AND(WEEKDAY(A1166,2)&lt;=5,C1166="NO"),"SÍ","NO")</x:f>
        <x:v>SÍ</x:v>
      </x:c>
      <x:c r="E1166" s="2" t="n">
        <x:f>WORKDAY.INTL(A1166-1,1,1,FERIADOS!$A$2:$A$250)</x:f>
        <x:v>46822</x:v>
      </x:c>
      <x:c r="F1166" t="str">
        <x:f>IF(E1166&gt;=WORKDAY.INTL(EOMONTH(E1166,0)+1,-2,1,FERIADOS!$A$2:$A$250),"SÍ","NO")</x:f>
        <x:v>NO</x:v>
      </x:c>
      <x:c r="G1166" s="10" t="n">
        <x:f>IF(F1166="SÍ",EOMONTH(E1166,0)+1,DATE(YEAR(E1166),MONTH(E1166),1))</x:f>
        <x:v>46813</x:v>
      </x:c>
      <x:c r="H1166" t="str">
        <x:f>IF(D1166="NO",IF(C1166="SÍ","FERIADO","FIN DE SEMANA"),"LABORABLE")&amp;IF(F1166="SÍ"," + CIERRE","")</x:f>
        <x:v>LABORABLE</x:v>
      </x:c>
      <x:c r="I1166" t="str">
        <x:f>TEXT(G1166,"yyyy-mm")</x:f>
        <x:v>2028-03</x:v>
      </x:c>
    </x:row>
    <x:row r="1167" ht="19" customHeight="1">
      <x:c r="A1167" s="2" t="n">
        <x:v>46823</x:v>
      </x:c>
      <x:c r="B1167" t="str">
        <x:f>CHOOSE(WEEKDAY(A1167,2),"Lunes","Martes","Miércoles","Jueves","Viernes","Sábado","Domingo")</x:f>
        <x:v>Sábado</x:v>
      </x:c>
      <x:c r="C1167" t="str">
        <x:f>IF(COUNTIF(FERIADOS!$A$2:$A$250,A1167)&gt;0,"SÍ","NO")</x:f>
        <x:v>NO</x:v>
      </x:c>
      <x:c r="D1167" t="str">
        <x:f>IF(AND(WEEKDAY(A1167,2)&lt;=5,C1167="NO"),"SÍ","NO")</x:f>
        <x:v>NO</x:v>
      </x:c>
      <x:c r="E1167" s="2" t="n">
        <x:f>WORKDAY.INTL(A1167-1,1,1,FERIADOS!$A$2:$A$250)</x:f>
        <x:v>46825</x:v>
      </x:c>
      <x:c r="F1167" t="str">
        <x:f>IF(E1167&gt;=WORKDAY.INTL(EOMONTH(E1167,0)+1,-2,1,FERIADOS!$A$2:$A$250),"SÍ","NO")</x:f>
        <x:v>NO</x:v>
      </x:c>
      <x:c r="G1167" s="10" t="n">
        <x:f>IF(F1167="SÍ",EOMONTH(E1167,0)+1,DATE(YEAR(E1167),MONTH(E1167),1))</x:f>
        <x:v>46813</x:v>
      </x:c>
      <x:c r="H1167" t="str">
        <x:f>IF(D1167="NO",IF(C1167="SÍ","FERIADO","FIN DE SEMANA"),"LABORABLE")&amp;IF(F1167="SÍ"," + CIERRE","")</x:f>
        <x:v>FIN DE SEMANA</x:v>
      </x:c>
      <x:c r="I1167" t="str">
        <x:f>TEXT(G1167,"yyyy-mm")</x:f>
        <x:v>2028-03</x:v>
      </x:c>
    </x:row>
    <x:row r="1168" ht="19" customHeight="1">
      <x:c r="A1168" s="2" t="n">
        <x:v>46824</x:v>
      </x:c>
      <x:c r="B1168" t="str">
        <x:f>CHOOSE(WEEKDAY(A1168,2),"Lunes","Martes","Miércoles","Jueves","Viernes","Sábado","Domingo")</x:f>
        <x:v>Domingo</x:v>
      </x:c>
      <x:c r="C1168" t="str">
        <x:f>IF(COUNTIF(FERIADOS!$A$2:$A$250,A1168)&gt;0,"SÍ","NO")</x:f>
        <x:v>NO</x:v>
      </x:c>
      <x:c r="D1168" t="str">
        <x:f>IF(AND(WEEKDAY(A1168,2)&lt;=5,C1168="NO"),"SÍ","NO")</x:f>
        <x:v>NO</x:v>
      </x:c>
      <x:c r="E1168" s="2" t="n">
        <x:f>WORKDAY.INTL(A1168-1,1,1,FERIADOS!$A$2:$A$250)</x:f>
        <x:v>46825</x:v>
      </x:c>
      <x:c r="F1168" t="str">
        <x:f>IF(E1168&gt;=WORKDAY.INTL(EOMONTH(E1168,0)+1,-2,1,FERIADOS!$A$2:$A$250),"SÍ","NO")</x:f>
        <x:v>NO</x:v>
      </x:c>
      <x:c r="G1168" s="10" t="n">
        <x:f>IF(F1168="SÍ",EOMONTH(E1168,0)+1,DATE(YEAR(E1168),MONTH(E1168),1))</x:f>
        <x:v>46813</x:v>
      </x:c>
      <x:c r="H1168" t="str">
        <x:f>IF(D1168="NO",IF(C1168="SÍ","FERIADO","FIN DE SEMANA"),"LABORABLE")&amp;IF(F1168="SÍ"," + CIERRE","")</x:f>
        <x:v>FIN DE SEMANA</x:v>
      </x:c>
      <x:c r="I1168" t="str">
        <x:f>TEXT(G1168,"yyyy-mm")</x:f>
        <x:v>2028-03</x:v>
      </x:c>
    </x:row>
    <x:row r="1169" ht="19" customHeight="1">
      <x:c r="A1169" s="2" t="n">
        <x:v>46825</x:v>
      </x:c>
      <x:c r="B1169" t="str">
        <x:f>CHOOSE(WEEKDAY(A1169,2),"Lunes","Martes","Miércoles","Jueves","Viernes","Sábado","Domingo")</x:f>
        <x:v>Lunes</x:v>
      </x:c>
      <x:c r="C1169" t="str">
        <x:f>IF(COUNTIF(FERIADOS!$A$2:$A$250,A1169)&gt;0,"SÍ","NO")</x:f>
        <x:v>NO</x:v>
      </x:c>
      <x:c r="D1169" t="str">
        <x:f>IF(AND(WEEKDAY(A1169,2)&lt;=5,C1169="NO"),"SÍ","NO")</x:f>
        <x:v>SÍ</x:v>
      </x:c>
      <x:c r="E1169" s="2" t="n">
        <x:f>WORKDAY.INTL(A1169-1,1,1,FERIADOS!$A$2:$A$250)</x:f>
        <x:v>46825</x:v>
      </x:c>
      <x:c r="F1169" t="str">
        <x:f>IF(E1169&gt;=WORKDAY.INTL(EOMONTH(E1169,0)+1,-2,1,FERIADOS!$A$2:$A$250),"SÍ","NO")</x:f>
        <x:v>NO</x:v>
      </x:c>
      <x:c r="G1169" s="10" t="n">
        <x:f>IF(F1169="SÍ",EOMONTH(E1169,0)+1,DATE(YEAR(E1169),MONTH(E1169),1))</x:f>
        <x:v>46813</x:v>
      </x:c>
      <x:c r="H1169" t="str">
        <x:f>IF(D1169="NO",IF(C1169="SÍ","FERIADO","FIN DE SEMANA"),"LABORABLE")&amp;IF(F1169="SÍ"," + CIERRE","")</x:f>
        <x:v>LABORABLE</x:v>
      </x:c>
      <x:c r="I1169" t="str">
        <x:f>TEXT(G1169,"yyyy-mm")</x:f>
        <x:v>2028-03</x:v>
      </x:c>
    </x:row>
    <x:row r="1170" ht="19" customHeight="1">
      <x:c r="A1170" s="2" t="n">
        <x:v>46826</x:v>
      </x:c>
      <x:c r="B1170" t="str">
        <x:f>CHOOSE(WEEKDAY(A1170,2),"Lunes","Martes","Miércoles","Jueves","Viernes","Sábado","Domingo")</x:f>
        <x:v>Martes</x:v>
      </x:c>
      <x:c r="C1170" t="str">
        <x:f>IF(COUNTIF(FERIADOS!$A$2:$A$250,A1170)&gt;0,"SÍ","NO")</x:f>
        <x:v>NO</x:v>
      </x:c>
      <x:c r="D1170" t="str">
        <x:f>IF(AND(WEEKDAY(A1170,2)&lt;=5,C1170="NO"),"SÍ","NO")</x:f>
        <x:v>SÍ</x:v>
      </x:c>
      <x:c r="E1170" s="2" t="n">
        <x:f>WORKDAY.INTL(A1170-1,1,1,FERIADOS!$A$2:$A$250)</x:f>
        <x:v>46826</x:v>
      </x:c>
      <x:c r="F1170" t="str">
        <x:f>IF(E1170&gt;=WORKDAY.INTL(EOMONTH(E1170,0)+1,-2,1,FERIADOS!$A$2:$A$250),"SÍ","NO")</x:f>
        <x:v>NO</x:v>
      </x:c>
      <x:c r="G1170" s="10" t="n">
        <x:f>IF(F1170="SÍ",EOMONTH(E1170,0)+1,DATE(YEAR(E1170),MONTH(E1170),1))</x:f>
        <x:v>46813</x:v>
      </x:c>
      <x:c r="H1170" t="str">
        <x:f>IF(D1170="NO",IF(C1170="SÍ","FERIADO","FIN DE SEMANA"),"LABORABLE")&amp;IF(F1170="SÍ"," + CIERRE","")</x:f>
        <x:v>LABORABLE</x:v>
      </x:c>
      <x:c r="I1170" t="str">
        <x:f>TEXT(G1170,"yyyy-mm")</x:f>
        <x:v>2028-03</x:v>
      </x:c>
    </x:row>
    <x:row r="1171" ht="19" customHeight="1">
      <x:c r="A1171" s="2" t="n">
        <x:v>46827</x:v>
      </x:c>
      <x:c r="B1171" t="str">
        <x:f>CHOOSE(WEEKDAY(A1171,2),"Lunes","Martes","Miércoles","Jueves","Viernes","Sábado","Domingo")</x:f>
        <x:v>Miércoles</x:v>
      </x:c>
      <x:c r="C1171" t="str">
        <x:f>IF(COUNTIF(FERIADOS!$A$2:$A$250,A1171)&gt;0,"SÍ","NO")</x:f>
        <x:v>NO</x:v>
      </x:c>
      <x:c r="D1171" t="str">
        <x:f>IF(AND(WEEKDAY(A1171,2)&lt;=5,C1171="NO"),"SÍ","NO")</x:f>
        <x:v>SÍ</x:v>
      </x:c>
      <x:c r="E1171" s="2" t="n">
        <x:f>WORKDAY.INTL(A1171-1,1,1,FERIADOS!$A$2:$A$250)</x:f>
        <x:v>46827</x:v>
      </x:c>
      <x:c r="F1171" t="str">
        <x:f>IF(E1171&gt;=WORKDAY.INTL(EOMONTH(E1171,0)+1,-2,1,FERIADOS!$A$2:$A$250),"SÍ","NO")</x:f>
        <x:v>NO</x:v>
      </x:c>
      <x:c r="G1171" s="10" t="n">
        <x:f>IF(F1171="SÍ",EOMONTH(E1171,0)+1,DATE(YEAR(E1171),MONTH(E1171),1))</x:f>
        <x:v>46813</x:v>
      </x:c>
      <x:c r="H1171" t="str">
        <x:f>IF(D1171="NO",IF(C1171="SÍ","FERIADO","FIN DE SEMANA"),"LABORABLE")&amp;IF(F1171="SÍ"," + CIERRE","")</x:f>
        <x:v>LABORABLE</x:v>
      </x:c>
      <x:c r="I1171" t="str">
        <x:f>TEXT(G1171,"yyyy-mm")</x:f>
        <x:v>2028-03</x:v>
      </x:c>
    </x:row>
    <x:row r="1172" ht="19" customHeight="1">
      <x:c r="A1172" s="2" t="n">
        <x:v>46828</x:v>
      </x:c>
      <x:c r="B1172" t="str">
        <x:f>CHOOSE(WEEKDAY(A1172,2),"Lunes","Martes","Miércoles","Jueves","Viernes","Sábado","Domingo")</x:f>
        <x:v>Jueves</x:v>
      </x:c>
      <x:c r="C1172" t="str">
        <x:f>IF(COUNTIF(FERIADOS!$A$2:$A$250,A1172)&gt;0,"SÍ","NO")</x:f>
        <x:v>NO</x:v>
      </x:c>
      <x:c r="D1172" t="str">
        <x:f>IF(AND(WEEKDAY(A1172,2)&lt;=5,C1172="NO"),"SÍ","NO")</x:f>
        <x:v>SÍ</x:v>
      </x:c>
      <x:c r="E1172" s="2" t="n">
        <x:f>WORKDAY.INTL(A1172-1,1,1,FERIADOS!$A$2:$A$250)</x:f>
        <x:v>46828</x:v>
      </x:c>
      <x:c r="F1172" t="str">
        <x:f>IF(E1172&gt;=WORKDAY.INTL(EOMONTH(E1172,0)+1,-2,1,FERIADOS!$A$2:$A$250),"SÍ","NO")</x:f>
        <x:v>NO</x:v>
      </x:c>
      <x:c r="G1172" s="10" t="n">
        <x:f>IF(F1172="SÍ",EOMONTH(E1172,0)+1,DATE(YEAR(E1172),MONTH(E1172),1))</x:f>
        <x:v>46813</x:v>
      </x:c>
      <x:c r="H1172" t="str">
        <x:f>IF(D1172="NO",IF(C1172="SÍ","FERIADO","FIN DE SEMANA"),"LABORABLE")&amp;IF(F1172="SÍ"," + CIERRE","")</x:f>
        <x:v>LABORABLE</x:v>
      </x:c>
      <x:c r="I1172" t="str">
        <x:f>TEXT(G1172,"yyyy-mm")</x:f>
        <x:v>2028-03</x:v>
      </x:c>
    </x:row>
    <x:row r="1173" ht="19" customHeight="1">
      <x:c r="A1173" s="2" t="n">
        <x:v>46829</x:v>
      </x:c>
      <x:c r="B1173" t="str">
        <x:f>CHOOSE(WEEKDAY(A1173,2),"Lunes","Martes","Miércoles","Jueves","Viernes","Sábado","Domingo")</x:f>
        <x:v>Viernes</x:v>
      </x:c>
      <x:c r="C1173" t="str">
        <x:f>IF(COUNTIF(FERIADOS!$A$2:$A$250,A1173)&gt;0,"SÍ","NO")</x:f>
        <x:v>NO</x:v>
      </x:c>
      <x:c r="D1173" t="str">
        <x:f>IF(AND(WEEKDAY(A1173,2)&lt;=5,C1173="NO"),"SÍ","NO")</x:f>
        <x:v>SÍ</x:v>
      </x:c>
      <x:c r="E1173" s="2" t="n">
        <x:f>WORKDAY.INTL(A1173-1,1,1,FERIADOS!$A$2:$A$250)</x:f>
        <x:v>46829</x:v>
      </x:c>
      <x:c r="F1173" t="str">
        <x:f>IF(E1173&gt;=WORKDAY.INTL(EOMONTH(E1173,0)+1,-2,1,FERIADOS!$A$2:$A$250),"SÍ","NO")</x:f>
        <x:v>NO</x:v>
      </x:c>
      <x:c r="G1173" s="10" t="n">
        <x:f>IF(F1173="SÍ",EOMONTH(E1173,0)+1,DATE(YEAR(E1173),MONTH(E1173),1))</x:f>
        <x:v>46813</x:v>
      </x:c>
      <x:c r="H1173" t="str">
        <x:f>IF(D1173="NO",IF(C1173="SÍ","FERIADO","FIN DE SEMANA"),"LABORABLE")&amp;IF(F1173="SÍ"," + CIERRE","")</x:f>
        <x:v>LABORABLE</x:v>
      </x:c>
      <x:c r="I1173" t="str">
        <x:f>TEXT(G1173,"yyyy-mm")</x:f>
        <x:v>2028-03</x:v>
      </x:c>
    </x:row>
    <x:row r="1174" ht="19" customHeight="1">
      <x:c r="A1174" s="2" t="n">
        <x:v>46830</x:v>
      </x:c>
      <x:c r="B1174" t="str">
        <x:f>CHOOSE(WEEKDAY(A1174,2),"Lunes","Martes","Miércoles","Jueves","Viernes","Sábado","Domingo")</x:f>
        <x:v>Sábado</x:v>
      </x:c>
      <x:c r="C1174" t="str">
        <x:f>IF(COUNTIF(FERIADOS!$A$2:$A$250,A1174)&gt;0,"SÍ","NO")</x:f>
        <x:v>NO</x:v>
      </x:c>
      <x:c r="D1174" t="str">
        <x:f>IF(AND(WEEKDAY(A1174,2)&lt;=5,C1174="NO"),"SÍ","NO")</x:f>
        <x:v>NO</x:v>
      </x:c>
      <x:c r="E1174" s="2" t="n">
        <x:f>WORKDAY.INTL(A1174-1,1,1,FERIADOS!$A$2:$A$250)</x:f>
        <x:v>46832</x:v>
      </x:c>
      <x:c r="F1174" t="str">
        <x:f>IF(E1174&gt;=WORKDAY.INTL(EOMONTH(E1174,0)+1,-2,1,FERIADOS!$A$2:$A$250),"SÍ","NO")</x:f>
        <x:v>NO</x:v>
      </x:c>
      <x:c r="G1174" s="10" t="n">
        <x:f>IF(F1174="SÍ",EOMONTH(E1174,0)+1,DATE(YEAR(E1174),MONTH(E1174),1))</x:f>
        <x:v>46813</x:v>
      </x:c>
      <x:c r="H1174" t="str">
        <x:f>IF(D1174="NO",IF(C1174="SÍ","FERIADO","FIN DE SEMANA"),"LABORABLE")&amp;IF(F1174="SÍ"," + CIERRE","")</x:f>
        <x:v>FIN DE SEMANA</x:v>
      </x:c>
      <x:c r="I1174" t="str">
        <x:f>TEXT(G1174,"yyyy-mm")</x:f>
        <x:v>2028-03</x:v>
      </x:c>
    </x:row>
    <x:row r="1175" ht="19" customHeight="1">
      <x:c r="A1175" s="2" t="n">
        <x:v>46831</x:v>
      </x:c>
      <x:c r="B1175" t="str">
        <x:f>CHOOSE(WEEKDAY(A1175,2),"Lunes","Martes","Miércoles","Jueves","Viernes","Sábado","Domingo")</x:f>
        <x:v>Domingo</x:v>
      </x:c>
      <x:c r="C1175" t="str">
        <x:f>IF(COUNTIF(FERIADOS!$A$2:$A$250,A1175)&gt;0,"SÍ","NO")</x:f>
        <x:v>NO</x:v>
      </x:c>
      <x:c r="D1175" t="str">
        <x:f>IF(AND(WEEKDAY(A1175,2)&lt;=5,C1175="NO"),"SÍ","NO")</x:f>
        <x:v>NO</x:v>
      </x:c>
      <x:c r="E1175" s="2" t="n">
        <x:f>WORKDAY.INTL(A1175-1,1,1,FERIADOS!$A$2:$A$250)</x:f>
        <x:v>46832</x:v>
      </x:c>
      <x:c r="F1175" t="str">
        <x:f>IF(E1175&gt;=WORKDAY.INTL(EOMONTH(E1175,0)+1,-2,1,FERIADOS!$A$2:$A$250),"SÍ","NO")</x:f>
        <x:v>NO</x:v>
      </x:c>
      <x:c r="G1175" s="10" t="n">
        <x:f>IF(F1175="SÍ",EOMONTH(E1175,0)+1,DATE(YEAR(E1175),MONTH(E1175),1))</x:f>
        <x:v>46813</x:v>
      </x:c>
      <x:c r="H1175" t="str">
        <x:f>IF(D1175="NO",IF(C1175="SÍ","FERIADO","FIN DE SEMANA"),"LABORABLE")&amp;IF(F1175="SÍ"," + CIERRE","")</x:f>
        <x:v>FIN DE SEMANA</x:v>
      </x:c>
      <x:c r="I1175" t="str">
        <x:f>TEXT(G1175,"yyyy-mm")</x:f>
        <x:v>2028-03</x:v>
      </x:c>
    </x:row>
    <x:row r="1176" ht="19" customHeight="1">
      <x:c r="A1176" s="2" t="n">
        <x:v>46832</x:v>
      </x:c>
      <x:c r="B1176" t="str">
        <x:f>CHOOSE(WEEKDAY(A1176,2),"Lunes","Martes","Miércoles","Jueves","Viernes","Sábado","Domingo")</x:f>
        <x:v>Lunes</x:v>
      </x:c>
      <x:c r="C1176" t="str">
        <x:f>IF(COUNTIF(FERIADOS!$A$2:$A$250,A1176)&gt;0,"SÍ","NO")</x:f>
        <x:v>NO</x:v>
      </x:c>
      <x:c r="D1176" t="str">
        <x:f>IF(AND(WEEKDAY(A1176,2)&lt;=5,C1176="NO"),"SÍ","NO")</x:f>
        <x:v>SÍ</x:v>
      </x:c>
      <x:c r="E1176" s="2" t="n">
        <x:f>WORKDAY.INTL(A1176-1,1,1,FERIADOS!$A$2:$A$250)</x:f>
        <x:v>46832</x:v>
      </x:c>
      <x:c r="F1176" t="str">
        <x:f>IF(E1176&gt;=WORKDAY.INTL(EOMONTH(E1176,0)+1,-2,1,FERIADOS!$A$2:$A$250),"SÍ","NO")</x:f>
        <x:v>NO</x:v>
      </x:c>
      <x:c r="G1176" s="10" t="n">
        <x:f>IF(F1176="SÍ",EOMONTH(E1176,0)+1,DATE(YEAR(E1176),MONTH(E1176),1))</x:f>
        <x:v>46813</x:v>
      </x:c>
      <x:c r="H1176" t="str">
        <x:f>IF(D1176="NO",IF(C1176="SÍ","FERIADO","FIN DE SEMANA"),"LABORABLE")&amp;IF(F1176="SÍ"," + CIERRE","")</x:f>
        <x:v>LABORABLE</x:v>
      </x:c>
      <x:c r="I1176" t="str">
        <x:f>TEXT(G1176,"yyyy-mm")</x:f>
        <x:v>2028-03</x:v>
      </x:c>
    </x:row>
    <x:row r="1177" ht="19" customHeight="1">
      <x:c r="A1177" s="2" t="n">
        <x:v>46833</x:v>
      </x:c>
      <x:c r="B1177" t="str">
        <x:f>CHOOSE(WEEKDAY(A1177,2),"Lunes","Martes","Miércoles","Jueves","Viernes","Sábado","Domingo")</x:f>
        <x:v>Martes</x:v>
      </x:c>
      <x:c r="C1177" t="str">
        <x:f>IF(COUNTIF(FERIADOS!$A$2:$A$250,A1177)&gt;0,"SÍ","NO")</x:f>
        <x:v>NO</x:v>
      </x:c>
      <x:c r="D1177" t="str">
        <x:f>IF(AND(WEEKDAY(A1177,2)&lt;=5,C1177="NO"),"SÍ","NO")</x:f>
        <x:v>SÍ</x:v>
      </x:c>
      <x:c r="E1177" s="2" t="n">
        <x:f>WORKDAY.INTL(A1177-1,1,1,FERIADOS!$A$2:$A$250)</x:f>
        <x:v>46833</x:v>
      </x:c>
      <x:c r="F1177" t="str">
        <x:f>IF(E1177&gt;=WORKDAY.INTL(EOMONTH(E1177,0)+1,-2,1,FERIADOS!$A$2:$A$250),"SÍ","NO")</x:f>
        <x:v>NO</x:v>
      </x:c>
      <x:c r="G1177" s="10" t="n">
        <x:f>IF(F1177="SÍ",EOMONTH(E1177,0)+1,DATE(YEAR(E1177),MONTH(E1177),1))</x:f>
        <x:v>46813</x:v>
      </x:c>
      <x:c r="H1177" t="str">
        <x:f>IF(D1177="NO",IF(C1177="SÍ","FERIADO","FIN DE SEMANA"),"LABORABLE")&amp;IF(F1177="SÍ"," + CIERRE","")</x:f>
        <x:v>LABORABLE</x:v>
      </x:c>
      <x:c r="I1177" t="str">
        <x:f>TEXT(G1177,"yyyy-mm")</x:f>
        <x:v>2028-03</x:v>
      </x:c>
    </x:row>
    <x:row r="1178" ht="19" customHeight="1">
      <x:c r="A1178" s="2" t="n">
        <x:v>46834</x:v>
      </x:c>
      <x:c r="B1178" t="str">
        <x:f>CHOOSE(WEEKDAY(A1178,2),"Lunes","Martes","Miércoles","Jueves","Viernes","Sábado","Domingo")</x:f>
        <x:v>Miércoles</x:v>
      </x:c>
      <x:c r="C1178" t="str">
        <x:f>IF(COUNTIF(FERIADOS!$A$2:$A$250,A1178)&gt;0,"SÍ","NO")</x:f>
        <x:v>NO</x:v>
      </x:c>
      <x:c r="D1178" t="str">
        <x:f>IF(AND(WEEKDAY(A1178,2)&lt;=5,C1178="NO"),"SÍ","NO")</x:f>
        <x:v>SÍ</x:v>
      </x:c>
      <x:c r="E1178" s="2" t="n">
        <x:f>WORKDAY.INTL(A1178-1,1,1,FERIADOS!$A$2:$A$250)</x:f>
        <x:v>46834</x:v>
      </x:c>
      <x:c r="F1178" t="str">
        <x:f>IF(E1178&gt;=WORKDAY.INTL(EOMONTH(E1178,0)+1,-2,1,FERIADOS!$A$2:$A$250),"SÍ","NO")</x:f>
        <x:v>NO</x:v>
      </x:c>
      <x:c r="G1178" s="10" t="n">
        <x:f>IF(F1178="SÍ",EOMONTH(E1178,0)+1,DATE(YEAR(E1178),MONTH(E1178),1))</x:f>
        <x:v>46813</x:v>
      </x:c>
      <x:c r="H1178" t="str">
        <x:f>IF(D1178="NO",IF(C1178="SÍ","FERIADO","FIN DE SEMANA"),"LABORABLE")&amp;IF(F1178="SÍ"," + CIERRE","")</x:f>
        <x:v>LABORABLE</x:v>
      </x:c>
      <x:c r="I1178" t="str">
        <x:f>TEXT(G1178,"yyyy-mm")</x:f>
        <x:v>2028-03</x:v>
      </x:c>
    </x:row>
    <x:row r="1179" ht="19" customHeight="1">
      <x:c r="A1179" s="2" t="n">
        <x:v>46835</x:v>
      </x:c>
      <x:c r="B1179" t="str">
        <x:f>CHOOSE(WEEKDAY(A1179,2),"Lunes","Martes","Miércoles","Jueves","Viernes","Sábado","Domingo")</x:f>
        <x:v>Jueves</x:v>
      </x:c>
      <x:c r="C1179" t="str">
        <x:f>IF(COUNTIF(FERIADOS!$A$2:$A$250,A1179)&gt;0,"SÍ","NO")</x:f>
        <x:v>NO</x:v>
      </x:c>
      <x:c r="D1179" t="str">
        <x:f>IF(AND(WEEKDAY(A1179,2)&lt;=5,C1179="NO"),"SÍ","NO")</x:f>
        <x:v>SÍ</x:v>
      </x:c>
      <x:c r="E1179" s="2" t="n">
        <x:f>WORKDAY.INTL(A1179-1,1,1,FERIADOS!$A$2:$A$250)</x:f>
        <x:v>46835</x:v>
      </x:c>
      <x:c r="F1179" t="str">
        <x:f>IF(E1179&gt;=WORKDAY.INTL(EOMONTH(E1179,0)+1,-2,1,FERIADOS!$A$2:$A$250),"SÍ","NO")</x:f>
        <x:v>NO</x:v>
      </x:c>
      <x:c r="G1179" s="10" t="n">
        <x:f>IF(F1179="SÍ",EOMONTH(E1179,0)+1,DATE(YEAR(E1179),MONTH(E1179),1))</x:f>
        <x:v>46813</x:v>
      </x:c>
      <x:c r="H1179" t="str">
        <x:f>IF(D1179="NO",IF(C1179="SÍ","FERIADO","FIN DE SEMANA"),"LABORABLE")&amp;IF(F1179="SÍ"," + CIERRE","")</x:f>
        <x:v>LABORABLE</x:v>
      </x:c>
      <x:c r="I1179" t="str">
        <x:f>TEXT(G1179,"yyyy-mm")</x:f>
        <x:v>2028-03</x:v>
      </x:c>
    </x:row>
    <x:row r="1180" ht="19" customHeight="1">
      <x:c r="A1180" s="2" t="n">
        <x:v>46836</x:v>
      </x:c>
      <x:c r="B1180" t="str">
        <x:f>CHOOSE(WEEKDAY(A1180,2),"Lunes","Martes","Miércoles","Jueves","Viernes","Sábado","Domingo")</x:f>
        <x:v>Viernes</x:v>
      </x:c>
      <x:c r="C1180" t="str">
        <x:f>IF(COUNTIF(FERIADOS!$A$2:$A$250,A1180)&gt;0,"SÍ","NO")</x:f>
        <x:v>NO</x:v>
      </x:c>
      <x:c r="D1180" t="str">
        <x:f>IF(AND(WEEKDAY(A1180,2)&lt;=5,C1180="NO"),"SÍ","NO")</x:f>
        <x:v>SÍ</x:v>
      </x:c>
      <x:c r="E1180" s="2" t="n">
        <x:f>WORKDAY.INTL(A1180-1,1,1,FERIADOS!$A$2:$A$250)</x:f>
        <x:v>46836</x:v>
      </x:c>
      <x:c r="F1180" t="str">
        <x:f>IF(E1180&gt;=WORKDAY.INTL(EOMONTH(E1180,0)+1,-2,1,FERIADOS!$A$2:$A$250),"SÍ","NO")</x:f>
        <x:v>NO</x:v>
      </x:c>
      <x:c r="G1180" s="10" t="n">
        <x:f>IF(F1180="SÍ",EOMONTH(E1180,0)+1,DATE(YEAR(E1180),MONTH(E1180),1))</x:f>
        <x:v>46813</x:v>
      </x:c>
      <x:c r="H1180" t="str">
        <x:f>IF(D1180="NO",IF(C1180="SÍ","FERIADO","FIN DE SEMANA"),"LABORABLE")&amp;IF(F1180="SÍ"," + CIERRE","")</x:f>
        <x:v>LABORABLE</x:v>
      </x:c>
      <x:c r="I1180" t="str">
        <x:f>TEXT(G1180,"yyyy-mm")</x:f>
        <x:v>2028-03</x:v>
      </x:c>
    </x:row>
    <x:row r="1181" ht="19" customHeight="1">
      <x:c r="A1181" s="2" t="n">
        <x:v>46837</x:v>
      </x:c>
      <x:c r="B1181" t="str">
        <x:f>CHOOSE(WEEKDAY(A1181,2),"Lunes","Martes","Miércoles","Jueves","Viernes","Sábado","Domingo")</x:f>
        <x:v>Sábado</x:v>
      </x:c>
      <x:c r="C1181" t="str">
        <x:f>IF(COUNTIF(FERIADOS!$A$2:$A$250,A1181)&gt;0,"SÍ","NO")</x:f>
        <x:v>NO</x:v>
      </x:c>
      <x:c r="D1181" t="str">
        <x:f>IF(AND(WEEKDAY(A1181,2)&lt;=5,C1181="NO"),"SÍ","NO")</x:f>
        <x:v>NO</x:v>
      </x:c>
      <x:c r="E1181" s="2" t="n">
        <x:f>WORKDAY.INTL(A1181-1,1,1,FERIADOS!$A$2:$A$250)</x:f>
        <x:v>46839</x:v>
      </x:c>
      <x:c r="F1181" t="str">
        <x:f>IF(E1181&gt;=WORKDAY.INTL(EOMONTH(E1181,0)+1,-2,1,FERIADOS!$A$2:$A$250),"SÍ","NO")</x:f>
        <x:v>NO</x:v>
      </x:c>
      <x:c r="G1181" s="10" t="n">
        <x:f>IF(F1181="SÍ",EOMONTH(E1181,0)+1,DATE(YEAR(E1181),MONTH(E1181),1))</x:f>
        <x:v>46813</x:v>
      </x:c>
      <x:c r="H1181" t="str">
        <x:f>IF(D1181="NO",IF(C1181="SÍ","FERIADO","FIN DE SEMANA"),"LABORABLE")&amp;IF(F1181="SÍ"," + CIERRE","")</x:f>
        <x:v>FIN DE SEMANA</x:v>
      </x:c>
      <x:c r="I1181" t="str">
        <x:f>TEXT(G1181,"yyyy-mm")</x:f>
        <x:v>2028-03</x:v>
      </x:c>
    </x:row>
    <x:row r="1182" ht="19" customHeight="1">
      <x:c r="A1182" s="2" t="n">
        <x:v>46838</x:v>
      </x:c>
      <x:c r="B1182" t="str">
        <x:f>CHOOSE(WEEKDAY(A1182,2),"Lunes","Martes","Miércoles","Jueves","Viernes","Sábado","Domingo")</x:f>
        <x:v>Domingo</x:v>
      </x:c>
      <x:c r="C1182" t="str">
        <x:f>IF(COUNTIF(FERIADOS!$A$2:$A$250,A1182)&gt;0,"SÍ","NO")</x:f>
        <x:v>NO</x:v>
      </x:c>
      <x:c r="D1182" t="str">
        <x:f>IF(AND(WEEKDAY(A1182,2)&lt;=5,C1182="NO"),"SÍ","NO")</x:f>
        <x:v>NO</x:v>
      </x:c>
      <x:c r="E1182" s="2" t="n">
        <x:f>WORKDAY.INTL(A1182-1,1,1,FERIADOS!$A$2:$A$250)</x:f>
        <x:v>46839</x:v>
      </x:c>
      <x:c r="F1182" t="str">
        <x:f>IF(E1182&gt;=WORKDAY.INTL(EOMONTH(E1182,0)+1,-2,1,FERIADOS!$A$2:$A$250),"SÍ","NO")</x:f>
        <x:v>NO</x:v>
      </x:c>
      <x:c r="G1182" s="10" t="n">
        <x:f>IF(F1182="SÍ",EOMONTH(E1182,0)+1,DATE(YEAR(E1182),MONTH(E1182),1))</x:f>
        <x:v>46813</x:v>
      </x:c>
      <x:c r="H1182" t="str">
        <x:f>IF(D1182="NO",IF(C1182="SÍ","FERIADO","FIN DE SEMANA"),"LABORABLE")&amp;IF(F1182="SÍ"," + CIERRE","")</x:f>
        <x:v>FIN DE SEMANA</x:v>
      </x:c>
      <x:c r="I1182" t="str">
        <x:f>TEXT(G1182,"yyyy-mm")</x:f>
        <x:v>2028-03</x:v>
      </x:c>
    </x:row>
    <x:row r="1183" ht="19" customHeight="1">
      <x:c r="A1183" s="2" t="n">
        <x:v>46839</x:v>
      </x:c>
      <x:c r="B1183" t="str">
        <x:f>CHOOSE(WEEKDAY(A1183,2),"Lunes","Martes","Miércoles","Jueves","Viernes","Sábado","Domingo")</x:f>
        <x:v>Lunes</x:v>
      </x:c>
      <x:c r="C1183" t="str">
        <x:f>IF(COUNTIF(FERIADOS!$A$2:$A$250,A1183)&gt;0,"SÍ","NO")</x:f>
        <x:v>NO</x:v>
      </x:c>
      <x:c r="D1183" t="str">
        <x:f>IF(AND(WEEKDAY(A1183,2)&lt;=5,C1183="NO"),"SÍ","NO")</x:f>
        <x:v>SÍ</x:v>
      </x:c>
      <x:c r="E1183" s="2" t="n">
        <x:f>WORKDAY.INTL(A1183-1,1,1,FERIADOS!$A$2:$A$250)</x:f>
        <x:v>46839</x:v>
      </x:c>
      <x:c r="F1183" t="str">
        <x:f>IF(E1183&gt;=WORKDAY.INTL(EOMONTH(E1183,0)+1,-2,1,FERIADOS!$A$2:$A$250),"SÍ","NO")</x:f>
        <x:v>NO</x:v>
      </x:c>
      <x:c r="G1183" s="10" t="n">
        <x:f>IF(F1183="SÍ",EOMONTH(E1183,0)+1,DATE(YEAR(E1183),MONTH(E1183),1))</x:f>
        <x:v>46813</x:v>
      </x:c>
      <x:c r="H1183" t="str">
        <x:f>IF(D1183="NO",IF(C1183="SÍ","FERIADO","FIN DE SEMANA"),"LABORABLE")&amp;IF(F1183="SÍ"," + CIERRE","")</x:f>
        <x:v>LABORABLE</x:v>
      </x:c>
      <x:c r="I1183" t="str">
        <x:f>TEXT(G1183,"yyyy-mm")</x:f>
        <x:v>2028-03</x:v>
      </x:c>
    </x:row>
    <x:row r="1184" ht="19" customHeight="1">
      <x:c r="A1184" s="2" t="n">
        <x:v>46840</x:v>
      </x:c>
      <x:c r="B1184" t="str">
        <x:f>CHOOSE(WEEKDAY(A1184,2),"Lunes","Martes","Miércoles","Jueves","Viernes","Sábado","Domingo")</x:f>
        <x:v>Martes</x:v>
      </x:c>
      <x:c r="C1184" t="str">
        <x:f>IF(COUNTIF(FERIADOS!$A$2:$A$250,A1184)&gt;0,"SÍ","NO")</x:f>
        <x:v>NO</x:v>
      </x:c>
      <x:c r="D1184" t="str">
        <x:f>IF(AND(WEEKDAY(A1184,2)&lt;=5,C1184="NO"),"SÍ","NO")</x:f>
        <x:v>SÍ</x:v>
      </x:c>
      <x:c r="E1184" s="2" t="n">
        <x:f>WORKDAY.INTL(A1184-1,1,1,FERIADOS!$A$2:$A$250)</x:f>
        <x:v>46840</x:v>
      </x:c>
      <x:c r="F1184" t="str">
        <x:f>IF(E1184&gt;=WORKDAY.INTL(EOMONTH(E1184,0)+1,-2,1,FERIADOS!$A$2:$A$250),"SÍ","NO")</x:f>
        <x:v>NO</x:v>
      </x:c>
      <x:c r="G1184" s="10" t="n">
        <x:f>IF(F1184="SÍ",EOMONTH(E1184,0)+1,DATE(YEAR(E1184),MONTH(E1184),1))</x:f>
        <x:v>46813</x:v>
      </x:c>
      <x:c r="H1184" t="str">
        <x:f>IF(D1184="NO",IF(C1184="SÍ","FERIADO","FIN DE SEMANA"),"LABORABLE")&amp;IF(F1184="SÍ"," + CIERRE","")</x:f>
        <x:v>LABORABLE</x:v>
      </x:c>
      <x:c r="I1184" t="str">
        <x:f>TEXT(G1184,"yyyy-mm")</x:f>
        <x:v>2028-03</x:v>
      </x:c>
    </x:row>
    <x:row r="1185" ht="19" customHeight="1">
      <x:c r="A1185" s="2" t="n">
        <x:v>46841</x:v>
      </x:c>
      <x:c r="B1185" t="str">
        <x:f>CHOOSE(WEEKDAY(A1185,2),"Lunes","Martes","Miércoles","Jueves","Viernes","Sábado","Domingo")</x:f>
        <x:v>Miércoles</x:v>
      </x:c>
      <x:c r="C1185" t="str">
        <x:f>IF(COUNTIF(FERIADOS!$A$2:$A$250,A1185)&gt;0,"SÍ","NO")</x:f>
        <x:v>NO</x:v>
      </x:c>
      <x:c r="D1185" t="str">
        <x:f>IF(AND(WEEKDAY(A1185,2)&lt;=5,C1185="NO"),"SÍ","NO")</x:f>
        <x:v>SÍ</x:v>
      </x:c>
      <x:c r="E1185" s="2" t="n">
        <x:f>WORKDAY.INTL(A1185-1,1,1,FERIADOS!$A$2:$A$250)</x:f>
        <x:v>46841</x:v>
      </x:c>
      <x:c r="F1185" t="str">
        <x:f>IF(E1185&gt;=WORKDAY.INTL(EOMONTH(E1185,0)+1,-2,1,FERIADOS!$A$2:$A$250),"SÍ","NO")</x:f>
        <x:v>NO</x:v>
      </x:c>
      <x:c r="G1185" s="10" t="n">
        <x:f>IF(F1185="SÍ",EOMONTH(E1185,0)+1,DATE(YEAR(E1185),MONTH(E1185),1))</x:f>
        <x:v>46813</x:v>
      </x:c>
      <x:c r="H1185" t="str">
        <x:f>IF(D1185="NO",IF(C1185="SÍ","FERIADO","FIN DE SEMANA"),"LABORABLE")&amp;IF(F1185="SÍ"," + CIERRE","")</x:f>
        <x:v>LABORABLE</x:v>
      </x:c>
      <x:c r="I1185" t="str">
        <x:f>TEXT(G1185,"yyyy-mm")</x:f>
        <x:v>2028-03</x:v>
      </x:c>
    </x:row>
    <x:row r="1186" ht="19" customHeight="1">
      <x:c r="A1186" s="2" t="n">
        <x:v>46842</x:v>
      </x:c>
      <x:c r="B1186" t="str">
        <x:f>CHOOSE(WEEKDAY(A1186,2),"Lunes","Martes","Miércoles","Jueves","Viernes","Sábado","Domingo")</x:f>
        <x:v>Jueves</x:v>
      </x:c>
      <x:c r="C1186" t="str">
        <x:f>IF(COUNTIF(FERIADOS!$A$2:$A$250,A1186)&gt;0,"SÍ","NO")</x:f>
        <x:v>NO</x:v>
      </x:c>
      <x:c r="D1186" t="str">
        <x:f>IF(AND(WEEKDAY(A1186,2)&lt;=5,C1186="NO"),"SÍ","NO")</x:f>
        <x:v>SÍ</x:v>
      </x:c>
      <x:c r="E1186" s="2" t="n">
        <x:f>WORKDAY.INTL(A1186-1,1,1,FERIADOS!$A$2:$A$250)</x:f>
        <x:v>46842</x:v>
      </x:c>
      <x:c r="F1186" t="str">
        <x:f>IF(E1186&gt;=WORKDAY.INTL(EOMONTH(E1186,0)+1,-2,1,FERIADOS!$A$2:$A$250),"SÍ","NO")</x:f>
        <x:v>SÍ</x:v>
      </x:c>
      <x:c r="G1186" s="10" t="n">
        <x:f>IF(F1186="SÍ",EOMONTH(E1186,0)+1,DATE(YEAR(E1186),MONTH(E1186),1))</x:f>
        <x:v>46844</x:v>
      </x:c>
      <x:c r="H1186" t="str">
        <x:f>IF(D1186="NO",IF(C1186="SÍ","FERIADO","FIN DE SEMANA"),"LABORABLE")&amp;IF(F1186="SÍ"," + CIERRE","")</x:f>
        <x:v>LABORABLE + CIERRE</x:v>
      </x:c>
      <x:c r="I1186" t="str">
        <x:f>TEXT(G1186,"yyyy-mm")</x:f>
        <x:v>2028-04</x:v>
      </x:c>
    </x:row>
    <x:row r="1187" ht="19" customHeight="1">
      <x:c r="A1187" s="2" t="n">
        <x:v>46843</x:v>
      </x:c>
      <x:c r="B1187" t="str">
        <x:f>CHOOSE(WEEKDAY(A1187,2),"Lunes","Martes","Miércoles","Jueves","Viernes","Sábado","Domingo")</x:f>
        <x:v>Viernes</x:v>
      </x:c>
      <x:c r="C1187" t="str">
        <x:f>IF(COUNTIF(FERIADOS!$A$2:$A$250,A1187)&gt;0,"SÍ","NO")</x:f>
        <x:v>NO</x:v>
      </x:c>
      <x:c r="D1187" t="str">
        <x:f>IF(AND(WEEKDAY(A1187,2)&lt;=5,C1187="NO"),"SÍ","NO")</x:f>
        <x:v>SÍ</x:v>
      </x:c>
      <x:c r="E1187" s="2" t="n">
        <x:f>WORKDAY.INTL(A1187-1,1,1,FERIADOS!$A$2:$A$250)</x:f>
        <x:v>46843</x:v>
      </x:c>
      <x:c r="F1187" t="str">
        <x:f>IF(E1187&gt;=WORKDAY.INTL(EOMONTH(E1187,0)+1,-2,1,FERIADOS!$A$2:$A$250),"SÍ","NO")</x:f>
        <x:v>SÍ</x:v>
      </x:c>
      <x:c r="G1187" s="10" t="n">
        <x:f>IF(F1187="SÍ",EOMONTH(E1187,0)+1,DATE(YEAR(E1187),MONTH(E1187),1))</x:f>
        <x:v>46844</x:v>
      </x:c>
      <x:c r="H1187" t="str">
        <x:f>IF(D1187="NO",IF(C1187="SÍ","FERIADO","FIN DE SEMANA"),"LABORABLE")&amp;IF(F1187="SÍ"," + CIERRE","")</x:f>
        <x:v>LABORABLE + CIERRE</x:v>
      </x:c>
      <x:c r="I1187" t="str">
        <x:f>TEXT(G1187,"yyyy-mm")</x:f>
        <x:v>2028-04</x:v>
      </x:c>
    </x:row>
    <x:row r="1188" ht="19" customHeight="1">
      <x:c r="A1188" s="2" t="n">
        <x:v>46844</x:v>
      </x:c>
      <x:c r="B1188" t="str">
        <x:f>CHOOSE(WEEKDAY(A1188,2),"Lunes","Martes","Miércoles","Jueves","Viernes","Sábado","Domingo")</x:f>
        <x:v>Sábado</x:v>
      </x:c>
      <x:c r="C1188" t="str">
        <x:f>IF(COUNTIF(FERIADOS!$A$2:$A$250,A1188)&gt;0,"SÍ","NO")</x:f>
        <x:v>NO</x:v>
      </x:c>
      <x:c r="D1188" t="str">
        <x:f>IF(AND(WEEKDAY(A1188,2)&lt;=5,C1188="NO"),"SÍ","NO")</x:f>
        <x:v>NO</x:v>
      </x:c>
      <x:c r="E1188" s="2" t="n">
        <x:f>WORKDAY.INTL(A1188-1,1,1,FERIADOS!$A$2:$A$250)</x:f>
        <x:v>46846</x:v>
      </x:c>
      <x:c r="F1188" t="str">
        <x:f>IF(E1188&gt;=WORKDAY.INTL(EOMONTH(E1188,0)+1,-2,1,FERIADOS!$A$2:$A$250),"SÍ","NO")</x:f>
        <x:v>NO</x:v>
      </x:c>
      <x:c r="G1188" s="10" t="n">
        <x:f>IF(F1188="SÍ",EOMONTH(E1188,0)+1,DATE(YEAR(E1188),MONTH(E1188),1))</x:f>
        <x:v>46844</x:v>
      </x:c>
      <x:c r="H1188" t="str">
        <x:f>IF(D1188="NO",IF(C1188="SÍ","FERIADO","FIN DE SEMANA"),"LABORABLE")&amp;IF(F1188="SÍ"," + CIERRE","")</x:f>
        <x:v>FIN DE SEMANA</x:v>
      </x:c>
      <x:c r="I1188" t="str">
        <x:f>TEXT(G1188,"yyyy-mm")</x:f>
        <x:v>2028-04</x:v>
      </x:c>
    </x:row>
    <x:row r="1189" ht="19" customHeight="1">
      <x:c r="A1189" s="2" t="n">
        <x:v>46845</x:v>
      </x:c>
      <x:c r="B1189" t="str">
        <x:f>CHOOSE(WEEKDAY(A1189,2),"Lunes","Martes","Miércoles","Jueves","Viernes","Sábado","Domingo")</x:f>
        <x:v>Domingo</x:v>
      </x:c>
      <x:c r="C1189" t="str">
        <x:f>IF(COUNTIF(FERIADOS!$A$2:$A$250,A1189)&gt;0,"SÍ","NO")</x:f>
        <x:v>NO</x:v>
      </x:c>
      <x:c r="D1189" t="str">
        <x:f>IF(AND(WEEKDAY(A1189,2)&lt;=5,C1189="NO"),"SÍ","NO")</x:f>
        <x:v>NO</x:v>
      </x:c>
      <x:c r="E1189" s="2" t="n">
        <x:f>WORKDAY.INTL(A1189-1,1,1,FERIADOS!$A$2:$A$250)</x:f>
        <x:v>46846</x:v>
      </x:c>
      <x:c r="F1189" t="str">
        <x:f>IF(E1189&gt;=WORKDAY.INTL(EOMONTH(E1189,0)+1,-2,1,FERIADOS!$A$2:$A$250),"SÍ","NO")</x:f>
        <x:v>NO</x:v>
      </x:c>
      <x:c r="G1189" s="10" t="n">
        <x:f>IF(F1189="SÍ",EOMONTH(E1189,0)+1,DATE(YEAR(E1189),MONTH(E1189),1))</x:f>
        <x:v>46844</x:v>
      </x:c>
      <x:c r="H1189" t="str">
        <x:f>IF(D1189="NO",IF(C1189="SÍ","FERIADO","FIN DE SEMANA"),"LABORABLE")&amp;IF(F1189="SÍ"," + CIERRE","")</x:f>
        <x:v>FIN DE SEMANA</x:v>
      </x:c>
      <x:c r="I1189" t="str">
        <x:f>TEXT(G1189,"yyyy-mm")</x:f>
        <x:v>2028-04</x:v>
      </x:c>
    </x:row>
    <x:row r="1190" ht="19" customHeight="1">
      <x:c r="A1190" s="2" t="n">
        <x:v>46846</x:v>
      </x:c>
      <x:c r="B1190" t="str">
        <x:f>CHOOSE(WEEKDAY(A1190,2),"Lunes","Martes","Miércoles","Jueves","Viernes","Sábado","Domingo")</x:f>
        <x:v>Lunes</x:v>
      </x:c>
      <x:c r="C1190" t="str">
        <x:f>IF(COUNTIF(FERIADOS!$A$2:$A$250,A1190)&gt;0,"SÍ","NO")</x:f>
        <x:v>NO</x:v>
      </x:c>
      <x:c r="D1190" t="str">
        <x:f>IF(AND(WEEKDAY(A1190,2)&lt;=5,C1190="NO"),"SÍ","NO")</x:f>
        <x:v>SÍ</x:v>
      </x:c>
      <x:c r="E1190" s="2" t="n">
        <x:f>WORKDAY.INTL(A1190-1,1,1,FERIADOS!$A$2:$A$250)</x:f>
        <x:v>46846</x:v>
      </x:c>
      <x:c r="F1190" t="str">
        <x:f>IF(E1190&gt;=WORKDAY.INTL(EOMONTH(E1190,0)+1,-2,1,FERIADOS!$A$2:$A$250),"SÍ","NO")</x:f>
        <x:v>NO</x:v>
      </x:c>
      <x:c r="G1190" s="10" t="n">
        <x:f>IF(F1190="SÍ",EOMONTH(E1190,0)+1,DATE(YEAR(E1190),MONTH(E1190),1))</x:f>
        <x:v>46844</x:v>
      </x:c>
      <x:c r="H1190" t="str">
        <x:f>IF(D1190="NO",IF(C1190="SÍ","FERIADO","FIN DE SEMANA"),"LABORABLE")&amp;IF(F1190="SÍ"," + CIERRE","")</x:f>
        <x:v>LABORABLE</x:v>
      </x:c>
      <x:c r="I1190" t="str">
        <x:f>TEXT(G1190,"yyyy-mm")</x:f>
        <x:v>2028-04</x:v>
      </x:c>
    </x:row>
    <x:row r="1191" ht="19" customHeight="1">
      <x:c r="A1191" s="2" t="n">
        <x:v>46847</x:v>
      </x:c>
      <x:c r="B1191" t="str">
        <x:f>CHOOSE(WEEKDAY(A1191,2),"Lunes","Martes","Miércoles","Jueves","Viernes","Sábado","Domingo")</x:f>
        <x:v>Martes</x:v>
      </x:c>
      <x:c r="C1191" t="str">
        <x:f>IF(COUNTIF(FERIADOS!$A$2:$A$250,A1191)&gt;0,"SÍ","NO")</x:f>
        <x:v>NO</x:v>
      </x:c>
      <x:c r="D1191" t="str">
        <x:f>IF(AND(WEEKDAY(A1191,2)&lt;=5,C1191="NO"),"SÍ","NO")</x:f>
        <x:v>SÍ</x:v>
      </x:c>
      <x:c r="E1191" s="2" t="n">
        <x:f>WORKDAY.INTL(A1191-1,1,1,FERIADOS!$A$2:$A$250)</x:f>
        <x:v>46847</x:v>
      </x:c>
      <x:c r="F1191" t="str">
        <x:f>IF(E1191&gt;=WORKDAY.INTL(EOMONTH(E1191,0)+1,-2,1,FERIADOS!$A$2:$A$250),"SÍ","NO")</x:f>
        <x:v>NO</x:v>
      </x:c>
      <x:c r="G1191" s="10" t="n">
        <x:f>IF(F1191="SÍ",EOMONTH(E1191,0)+1,DATE(YEAR(E1191),MONTH(E1191),1))</x:f>
        <x:v>46844</x:v>
      </x:c>
      <x:c r="H1191" t="str">
        <x:f>IF(D1191="NO",IF(C1191="SÍ","FERIADO","FIN DE SEMANA"),"LABORABLE")&amp;IF(F1191="SÍ"," + CIERRE","")</x:f>
        <x:v>LABORABLE</x:v>
      </x:c>
      <x:c r="I1191" t="str">
        <x:f>TEXT(G1191,"yyyy-mm")</x:f>
        <x:v>2028-04</x:v>
      </x:c>
    </x:row>
    <x:row r="1192" ht="19" customHeight="1">
      <x:c r="A1192" s="2" t="n">
        <x:v>46848</x:v>
      </x:c>
      <x:c r="B1192" t="str">
        <x:f>CHOOSE(WEEKDAY(A1192,2),"Lunes","Martes","Miércoles","Jueves","Viernes","Sábado","Domingo")</x:f>
        <x:v>Miércoles</x:v>
      </x:c>
      <x:c r="C1192" t="str">
        <x:f>IF(COUNTIF(FERIADOS!$A$2:$A$250,A1192)&gt;0,"SÍ","NO")</x:f>
        <x:v>NO</x:v>
      </x:c>
      <x:c r="D1192" t="str">
        <x:f>IF(AND(WEEKDAY(A1192,2)&lt;=5,C1192="NO"),"SÍ","NO")</x:f>
        <x:v>SÍ</x:v>
      </x:c>
      <x:c r="E1192" s="2" t="n">
        <x:f>WORKDAY.INTL(A1192-1,1,1,FERIADOS!$A$2:$A$250)</x:f>
        <x:v>46848</x:v>
      </x:c>
      <x:c r="F1192" t="str">
        <x:f>IF(E1192&gt;=WORKDAY.INTL(EOMONTH(E1192,0)+1,-2,1,FERIADOS!$A$2:$A$250),"SÍ","NO")</x:f>
        <x:v>NO</x:v>
      </x:c>
      <x:c r="G1192" s="10" t="n">
        <x:f>IF(F1192="SÍ",EOMONTH(E1192,0)+1,DATE(YEAR(E1192),MONTH(E1192),1))</x:f>
        <x:v>46844</x:v>
      </x:c>
      <x:c r="H1192" t="str">
        <x:f>IF(D1192="NO",IF(C1192="SÍ","FERIADO","FIN DE SEMANA"),"LABORABLE")&amp;IF(F1192="SÍ"," + CIERRE","")</x:f>
        <x:v>LABORABLE</x:v>
      </x:c>
      <x:c r="I1192" t="str">
        <x:f>TEXT(G1192,"yyyy-mm")</x:f>
        <x:v>2028-04</x:v>
      </x:c>
    </x:row>
    <x:row r="1193" ht="19" customHeight="1">
      <x:c r="A1193" s="2" t="n">
        <x:v>46849</x:v>
      </x:c>
      <x:c r="B1193" t="str">
        <x:f>CHOOSE(WEEKDAY(A1193,2),"Lunes","Martes","Miércoles","Jueves","Viernes","Sábado","Domingo")</x:f>
        <x:v>Jueves</x:v>
      </x:c>
      <x:c r="C1193" t="str">
        <x:f>IF(COUNTIF(FERIADOS!$A$2:$A$250,A1193)&gt;0,"SÍ","NO")</x:f>
        <x:v>NO</x:v>
      </x:c>
      <x:c r="D1193" t="str">
        <x:f>IF(AND(WEEKDAY(A1193,2)&lt;=5,C1193="NO"),"SÍ","NO")</x:f>
        <x:v>SÍ</x:v>
      </x:c>
      <x:c r="E1193" s="2" t="n">
        <x:f>WORKDAY.INTL(A1193-1,1,1,FERIADOS!$A$2:$A$250)</x:f>
        <x:v>46849</x:v>
      </x:c>
      <x:c r="F1193" t="str">
        <x:f>IF(E1193&gt;=WORKDAY.INTL(EOMONTH(E1193,0)+1,-2,1,FERIADOS!$A$2:$A$250),"SÍ","NO")</x:f>
        <x:v>NO</x:v>
      </x:c>
      <x:c r="G1193" s="10" t="n">
        <x:f>IF(F1193="SÍ",EOMONTH(E1193,0)+1,DATE(YEAR(E1193),MONTH(E1193),1))</x:f>
        <x:v>46844</x:v>
      </x:c>
      <x:c r="H1193" t="str">
        <x:f>IF(D1193="NO",IF(C1193="SÍ","FERIADO","FIN DE SEMANA"),"LABORABLE")&amp;IF(F1193="SÍ"," + CIERRE","")</x:f>
        <x:v>LABORABLE</x:v>
      </x:c>
      <x:c r="I1193" t="str">
        <x:f>TEXT(G1193,"yyyy-mm")</x:f>
        <x:v>2028-04</x:v>
      </x:c>
    </x:row>
    <x:row r="1194" ht="19" customHeight="1">
      <x:c r="A1194" s="2" t="n">
        <x:v>46850</x:v>
      </x:c>
      <x:c r="B1194" t="str">
        <x:f>CHOOSE(WEEKDAY(A1194,2),"Lunes","Martes","Miércoles","Jueves","Viernes","Sábado","Domingo")</x:f>
        <x:v>Viernes</x:v>
      </x:c>
      <x:c r="C1194" t="str">
        <x:f>IF(COUNTIF(FERIADOS!$A$2:$A$250,A1194)&gt;0,"SÍ","NO")</x:f>
        <x:v>NO</x:v>
      </x:c>
      <x:c r="D1194" t="str">
        <x:f>IF(AND(WEEKDAY(A1194,2)&lt;=5,C1194="NO"),"SÍ","NO")</x:f>
        <x:v>SÍ</x:v>
      </x:c>
      <x:c r="E1194" s="2" t="n">
        <x:f>WORKDAY.INTL(A1194-1,1,1,FERIADOS!$A$2:$A$250)</x:f>
        <x:v>46850</x:v>
      </x:c>
      <x:c r="F1194" t="str">
        <x:f>IF(E1194&gt;=WORKDAY.INTL(EOMONTH(E1194,0)+1,-2,1,FERIADOS!$A$2:$A$250),"SÍ","NO")</x:f>
        <x:v>NO</x:v>
      </x:c>
      <x:c r="G1194" s="10" t="n">
        <x:f>IF(F1194="SÍ",EOMONTH(E1194,0)+1,DATE(YEAR(E1194),MONTH(E1194),1))</x:f>
        <x:v>46844</x:v>
      </x:c>
      <x:c r="H1194" t="str">
        <x:f>IF(D1194="NO",IF(C1194="SÍ","FERIADO","FIN DE SEMANA"),"LABORABLE")&amp;IF(F1194="SÍ"," + CIERRE","")</x:f>
        <x:v>LABORABLE</x:v>
      </x:c>
      <x:c r="I1194" t="str">
        <x:f>TEXT(G1194,"yyyy-mm")</x:f>
        <x:v>2028-04</x:v>
      </x:c>
    </x:row>
    <x:row r="1195" ht="19" customHeight="1">
      <x:c r="A1195" s="2" t="n">
        <x:v>46851</x:v>
      </x:c>
      <x:c r="B1195" t="str">
        <x:f>CHOOSE(WEEKDAY(A1195,2),"Lunes","Martes","Miércoles","Jueves","Viernes","Sábado","Domingo")</x:f>
        <x:v>Sábado</x:v>
      </x:c>
      <x:c r="C1195" t="str">
        <x:f>IF(COUNTIF(FERIADOS!$A$2:$A$250,A1195)&gt;0,"SÍ","NO")</x:f>
        <x:v>NO</x:v>
      </x:c>
      <x:c r="D1195" t="str">
        <x:f>IF(AND(WEEKDAY(A1195,2)&lt;=5,C1195="NO"),"SÍ","NO")</x:f>
        <x:v>NO</x:v>
      </x:c>
      <x:c r="E1195" s="2" t="n">
        <x:f>WORKDAY.INTL(A1195-1,1,1,FERIADOS!$A$2:$A$250)</x:f>
        <x:v>46853</x:v>
      </x:c>
      <x:c r="F1195" t="str">
        <x:f>IF(E1195&gt;=WORKDAY.INTL(EOMONTH(E1195,0)+1,-2,1,FERIADOS!$A$2:$A$250),"SÍ","NO")</x:f>
        <x:v>NO</x:v>
      </x:c>
      <x:c r="G1195" s="10" t="n">
        <x:f>IF(F1195="SÍ",EOMONTH(E1195,0)+1,DATE(YEAR(E1195),MONTH(E1195),1))</x:f>
        <x:v>46844</x:v>
      </x:c>
      <x:c r="H1195" t="str">
        <x:f>IF(D1195="NO",IF(C1195="SÍ","FERIADO","FIN DE SEMANA"),"LABORABLE")&amp;IF(F1195="SÍ"," + CIERRE","")</x:f>
        <x:v>FIN DE SEMANA</x:v>
      </x:c>
      <x:c r="I1195" t="str">
        <x:f>TEXT(G1195,"yyyy-mm")</x:f>
        <x:v>2028-04</x:v>
      </x:c>
    </x:row>
    <x:row r="1196" ht="19" customHeight="1">
      <x:c r="A1196" s="2" t="n">
        <x:v>46852</x:v>
      </x:c>
      <x:c r="B1196" t="str">
        <x:f>CHOOSE(WEEKDAY(A1196,2),"Lunes","Martes","Miércoles","Jueves","Viernes","Sábado","Domingo")</x:f>
        <x:v>Domingo</x:v>
      </x:c>
      <x:c r="C1196" t="str">
        <x:f>IF(COUNTIF(FERIADOS!$A$2:$A$250,A1196)&gt;0,"SÍ","NO")</x:f>
        <x:v>NO</x:v>
      </x:c>
      <x:c r="D1196" t="str">
        <x:f>IF(AND(WEEKDAY(A1196,2)&lt;=5,C1196="NO"),"SÍ","NO")</x:f>
        <x:v>NO</x:v>
      </x:c>
      <x:c r="E1196" s="2" t="n">
        <x:f>WORKDAY.INTL(A1196-1,1,1,FERIADOS!$A$2:$A$250)</x:f>
        <x:v>46853</x:v>
      </x:c>
      <x:c r="F1196" t="str">
        <x:f>IF(E1196&gt;=WORKDAY.INTL(EOMONTH(E1196,0)+1,-2,1,FERIADOS!$A$2:$A$250),"SÍ","NO")</x:f>
        <x:v>NO</x:v>
      </x:c>
      <x:c r="G1196" s="10" t="n">
        <x:f>IF(F1196="SÍ",EOMONTH(E1196,0)+1,DATE(YEAR(E1196),MONTH(E1196),1))</x:f>
        <x:v>46844</x:v>
      </x:c>
      <x:c r="H1196" t="str">
        <x:f>IF(D1196="NO",IF(C1196="SÍ","FERIADO","FIN DE SEMANA"),"LABORABLE")&amp;IF(F1196="SÍ"," + CIERRE","")</x:f>
        <x:v>FIN DE SEMANA</x:v>
      </x:c>
      <x:c r="I1196" t="str">
        <x:f>TEXT(G1196,"yyyy-mm")</x:f>
        <x:v>2028-04</x:v>
      </x:c>
    </x:row>
    <x:row r="1197" ht="19" customHeight="1">
      <x:c r="A1197" s="2" t="n">
        <x:v>46853</x:v>
      </x:c>
      <x:c r="B1197" t="str">
        <x:f>CHOOSE(WEEKDAY(A1197,2),"Lunes","Martes","Miércoles","Jueves","Viernes","Sábado","Domingo")</x:f>
        <x:v>Lunes</x:v>
      </x:c>
      <x:c r="C1197" t="str">
        <x:f>IF(COUNTIF(FERIADOS!$A$2:$A$250,A1197)&gt;0,"SÍ","NO")</x:f>
        <x:v>NO</x:v>
      </x:c>
      <x:c r="D1197" t="str">
        <x:f>IF(AND(WEEKDAY(A1197,2)&lt;=5,C1197="NO"),"SÍ","NO")</x:f>
        <x:v>SÍ</x:v>
      </x:c>
      <x:c r="E1197" s="2" t="n">
        <x:f>WORKDAY.INTL(A1197-1,1,1,FERIADOS!$A$2:$A$250)</x:f>
        <x:v>46853</x:v>
      </x:c>
      <x:c r="F1197" t="str">
        <x:f>IF(E1197&gt;=WORKDAY.INTL(EOMONTH(E1197,0)+1,-2,1,FERIADOS!$A$2:$A$250),"SÍ","NO")</x:f>
        <x:v>NO</x:v>
      </x:c>
      <x:c r="G1197" s="10" t="n">
        <x:f>IF(F1197="SÍ",EOMONTH(E1197,0)+1,DATE(YEAR(E1197),MONTH(E1197),1))</x:f>
        <x:v>46844</x:v>
      </x:c>
      <x:c r="H1197" t="str">
        <x:f>IF(D1197="NO",IF(C1197="SÍ","FERIADO","FIN DE SEMANA"),"LABORABLE")&amp;IF(F1197="SÍ"," + CIERRE","")</x:f>
        <x:v>LABORABLE</x:v>
      </x:c>
      <x:c r="I1197" t="str">
        <x:f>TEXT(G1197,"yyyy-mm")</x:f>
        <x:v>2028-04</x:v>
      </x:c>
    </x:row>
    <x:row r="1198" ht="19" customHeight="1">
      <x:c r="A1198" s="2" t="n">
        <x:v>46854</x:v>
      </x:c>
      <x:c r="B1198" t="str">
        <x:f>CHOOSE(WEEKDAY(A1198,2),"Lunes","Martes","Miércoles","Jueves","Viernes","Sábado","Domingo")</x:f>
        <x:v>Martes</x:v>
      </x:c>
      <x:c r="C1198" t="str">
        <x:f>IF(COUNTIF(FERIADOS!$A$2:$A$250,A1198)&gt;0,"SÍ","NO")</x:f>
        <x:v>NO</x:v>
      </x:c>
      <x:c r="D1198" t="str">
        <x:f>IF(AND(WEEKDAY(A1198,2)&lt;=5,C1198="NO"),"SÍ","NO")</x:f>
        <x:v>SÍ</x:v>
      </x:c>
      <x:c r="E1198" s="2" t="n">
        <x:f>WORKDAY.INTL(A1198-1,1,1,FERIADOS!$A$2:$A$250)</x:f>
        <x:v>46854</x:v>
      </x:c>
      <x:c r="F1198" t="str">
        <x:f>IF(E1198&gt;=WORKDAY.INTL(EOMONTH(E1198,0)+1,-2,1,FERIADOS!$A$2:$A$250),"SÍ","NO")</x:f>
        <x:v>NO</x:v>
      </x:c>
      <x:c r="G1198" s="10" t="n">
        <x:f>IF(F1198="SÍ",EOMONTH(E1198,0)+1,DATE(YEAR(E1198),MONTH(E1198),1))</x:f>
        <x:v>46844</x:v>
      </x:c>
      <x:c r="H1198" t="str">
        <x:f>IF(D1198="NO",IF(C1198="SÍ","FERIADO","FIN DE SEMANA"),"LABORABLE")&amp;IF(F1198="SÍ"," + CIERRE","")</x:f>
        <x:v>LABORABLE</x:v>
      </x:c>
      <x:c r="I1198" t="str">
        <x:f>TEXT(G1198,"yyyy-mm")</x:f>
        <x:v>2028-04</x:v>
      </x:c>
    </x:row>
    <x:row r="1199" ht="19" customHeight="1">
      <x:c r="A1199" s="2" t="n">
        <x:v>46855</x:v>
      </x:c>
      <x:c r="B1199" t="str">
        <x:f>CHOOSE(WEEKDAY(A1199,2),"Lunes","Martes","Miércoles","Jueves","Viernes","Sábado","Domingo")</x:f>
        <x:v>Miércoles</x:v>
      </x:c>
      <x:c r="C1199" t="str">
        <x:f>IF(COUNTIF(FERIADOS!$A$2:$A$250,A1199)&gt;0,"SÍ","NO")</x:f>
        <x:v>NO</x:v>
      </x:c>
      <x:c r="D1199" t="str">
        <x:f>IF(AND(WEEKDAY(A1199,2)&lt;=5,C1199="NO"),"SÍ","NO")</x:f>
        <x:v>SÍ</x:v>
      </x:c>
      <x:c r="E1199" s="2" t="n">
        <x:f>WORKDAY.INTL(A1199-1,1,1,FERIADOS!$A$2:$A$250)</x:f>
        <x:v>46855</x:v>
      </x:c>
      <x:c r="F1199" t="str">
        <x:f>IF(E1199&gt;=WORKDAY.INTL(EOMONTH(E1199,0)+1,-2,1,FERIADOS!$A$2:$A$250),"SÍ","NO")</x:f>
        <x:v>NO</x:v>
      </x:c>
      <x:c r="G1199" s="10" t="n">
        <x:f>IF(F1199="SÍ",EOMONTH(E1199,0)+1,DATE(YEAR(E1199),MONTH(E1199),1))</x:f>
        <x:v>46844</x:v>
      </x:c>
      <x:c r="H1199" t="str">
        <x:f>IF(D1199="NO",IF(C1199="SÍ","FERIADO","FIN DE SEMANA"),"LABORABLE")&amp;IF(F1199="SÍ"," + CIERRE","")</x:f>
        <x:v>LABORABLE</x:v>
      </x:c>
      <x:c r="I1199" t="str">
        <x:f>TEXT(G1199,"yyyy-mm")</x:f>
        <x:v>2028-04</x:v>
      </x:c>
    </x:row>
    <x:row r="1200" ht="19" customHeight="1">
      <x:c r="A1200" s="2" t="n">
        <x:v>46856</x:v>
      </x:c>
      <x:c r="B1200" t="str">
        <x:f>CHOOSE(WEEKDAY(A1200,2),"Lunes","Martes","Miércoles","Jueves","Viernes","Sábado","Domingo")</x:f>
        <x:v>Jueves</x:v>
      </x:c>
      <x:c r="C1200" t="str">
        <x:f>IF(COUNTIF(FERIADOS!$A$2:$A$250,A1200)&gt;0,"SÍ","NO")</x:f>
        <x:v>NO</x:v>
      </x:c>
      <x:c r="D1200" t="str">
        <x:f>IF(AND(WEEKDAY(A1200,2)&lt;=5,C1200="NO"),"SÍ","NO")</x:f>
        <x:v>SÍ</x:v>
      </x:c>
      <x:c r="E1200" s="2" t="n">
        <x:f>WORKDAY.INTL(A1200-1,1,1,FERIADOS!$A$2:$A$250)</x:f>
        <x:v>46856</x:v>
      </x:c>
      <x:c r="F1200" t="str">
        <x:f>IF(E1200&gt;=WORKDAY.INTL(EOMONTH(E1200,0)+1,-2,1,FERIADOS!$A$2:$A$250),"SÍ","NO")</x:f>
        <x:v>NO</x:v>
      </x:c>
      <x:c r="G1200" s="10" t="n">
        <x:f>IF(F1200="SÍ",EOMONTH(E1200,0)+1,DATE(YEAR(E1200),MONTH(E1200),1))</x:f>
        <x:v>46844</x:v>
      </x:c>
      <x:c r="H1200" t="str">
        <x:f>IF(D1200="NO",IF(C1200="SÍ","FERIADO","FIN DE SEMANA"),"LABORABLE")&amp;IF(F1200="SÍ"," + CIERRE","")</x:f>
        <x:v>LABORABLE</x:v>
      </x:c>
      <x:c r="I1200" t="str">
        <x:f>TEXT(G1200,"yyyy-mm")</x:f>
        <x:v>2028-04</x:v>
      </x:c>
    </x:row>
    <x:row r="1201" ht="19" customHeight="1">
      <x:c r="A1201" s="2" t="n">
        <x:v>46857</x:v>
      </x:c>
      <x:c r="B1201" t="str">
        <x:f>CHOOSE(WEEKDAY(A1201,2),"Lunes","Martes","Miércoles","Jueves","Viernes","Sábado","Domingo")</x:f>
        <x:v>Viernes</x:v>
      </x:c>
      <x:c r="C1201" t="str">
        <x:f>IF(COUNTIF(FERIADOS!$A$2:$A$250,A1201)&gt;0,"SÍ","NO")</x:f>
        <x:v>SÍ</x:v>
      </x:c>
      <x:c r="D1201" t="str">
        <x:f>IF(AND(WEEKDAY(A1201,2)&lt;=5,C1201="NO"),"SÍ","NO")</x:f>
        <x:v>NO</x:v>
      </x:c>
      <x:c r="E1201" s="2" t="n">
        <x:f>WORKDAY.INTL(A1201-1,1,1,FERIADOS!$A$2:$A$250)</x:f>
        <x:v>46860</x:v>
      </x:c>
      <x:c r="F1201" t="str">
        <x:f>IF(E1201&gt;=WORKDAY.INTL(EOMONTH(E1201,0)+1,-2,1,FERIADOS!$A$2:$A$250),"SÍ","NO")</x:f>
        <x:v>NO</x:v>
      </x:c>
      <x:c r="G1201" s="10" t="n">
        <x:f>IF(F1201="SÍ",EOMONTH(E1201,0)+1,DATE(YEAR(E1201),MONTH(E1201),1))</x:f>
        <x:v>46844</x:v>
      </x:c>
      <x:c r="H1201" t="str">
        <x:f>IF(D1201="NO",IF(C1201="SÍ","FERIADO","FIN DE SEMANA"),"LABORABLE")&amp;IF(F1201="SÍ"," + CIERRE","")</x:f>
        <x:v>FERIADO</x:v>
      </x:c>
      <x:c r="I1201" t="str">
        <x:f>TEXT(G1201,"yyyy-mm")</x:f>
        <x:v>2028-04</x:v>
      </x:c>
    </x:row>
    <x:row r="1202" ht="19" customHeight="1">
      <x:c r="A1202" s="2" t="n">
        <x:v>46858</x:v>
      </x:c>
      <x:c r="B1202" t="str">
        <x:f>CHOOSE(WEEKDAY(A1202,2),"Lunes","Martes","Miércoles","Jueves","Viernes","Sábado","Domingo")</x:f>
        <x:v>Sábado</x:v>
      </x:c>
      <x:c r="C1202" t="str">
        <x:f>IF(COUNTIF(FERIADOS!$A$2:$A$250,A1202)&gt;0,"SÍ","NO")</x:f>
        <x:v>NO</x:v>
      </x:c>
      <x:c r="D1202" t="str">
        <x:f>IF(AND(WEEKDAY(A1202,2)&lt;=5,C1202="NO"),"SÍ","NO")</x:f>
        <x:v>NO</x:v>
      </x:c>
      <x:c r="E1202" s="2" t="n">
        <x:f>WORKDAY.INTL(A1202-1,1,1,FERIADOS!$A$2:$A$250)</x:f>
        <x:v>46860</x:v>
      </x:c>
      <x:c r="F1202" t="str">
        <x:f>IF(E1202&gt;=WORKDAY.INTL(EOMONTH(E1202,0)+1,-2,1,FERIADOS!$A$2:$A$250),"SÍ","NO")</x:f>
        <x:v>NO</x:v>
      </x:c>
      <x:c r="G1202" s="10" t="n">
        <x:f>IF(F1202="SÍ",EOMONTH(E1202,0)+1,DATE(YEAR(E1202),MONTH(E1202),1))</x:f>
        <x:v>46844</x:v>
      </x:c>
      <x:c r="H1202" t="str">
        <x:f>IF(D1202="NO",IF(C1202="SÍ","FERIADO","FIN DE SEMANA"),"LABORABLE")&amp;IF(F1202="SÍ"," + CIERRE","")</x:f>
        <x:v>FIN DE SEMANA</x:v>
      </x:c>
      <x:c r="I1202" t="str">
        <x:f>TEXT(G1202,"yyyy-mm")</x:f>
        <x:v>2028-04</x:v>
      </x:c>
    </x:row>
    <x:row r="1203" ht="19" customHeight="1">
      <x:c r="A1203" s="2" t="n">
        <x:v>46859</x:v>
      </x:c>
      <x:c r="B1203" t="str">
        <x:f>CHOOSE(WEEKDAY(A1203,2),"Lunes","Martes","Miércoles","Jueves","Viernes","Sábado","Domingo")</x:f>
        <x:v>Domingo</x:v>
      </x:c>
      <x:c r="C1203" t="str">
        <x:f>IF(COUNTIF(FERIADOS!$A$2:$A$250,A1203)&gt;0,"SÍ","NO")</x:f>
        <x:v>NO</x:v>
      </x:c>
      <x:c r="D1203" t="str">
        <x:f>IF(AND(WEEKDAY(A1203,2)&lt;=5,C1203="NO"),"SÍ","NO")</x:f>
        <x:v>NO</x:v>
      </x:c>
      <x:c r="E1203" s="2" t="n">
        <x:f>WORKDAY.INTL(A1203-1,1,1,FERIADOS!$A$2:$A$250)</x:f>
        <x:v>46860</x:v>
      </x:c>
      <x:c r="F1203" t="str">
        <x:f>IF(E1203&gt;=WORKDAY.INTL(EOMONTH(E1203,0)+1,-2,1,FERIADOS!$A$2:$A$250),"SÍ","NO")</x:f>
        <x:v>NO</x:v>
      </x:c>
      <x:c r="G1203" s="10" t="n">
        <x:f>IF(F1203="SÍ",EOMONTH(E1203,0)+1,DATE(YEAR(E1203),MONTH(E1203),1))</x:f>
        <x:v>46844</x:v>
      </x:c>
      <x:c r="H1203" t="str">
        <x:f>IF(D1203="NO",IF(C1203="SÍ","FERIADO","FIN DE SEMANA"),"LABORABLE")&amp;IF(F1203="SÍ"," + CIERRE","")</x:f>
        <x:v>FIN DE SEMANA</x:v>
      </x:c>
      <x:c r="I1203" t="str">
        <x:f>TEXT(G1203,"yyyy-mm")</x:f>
        <x:v>2028-04</x:v>
      </x:c>
    </x:row>
    <x:row r="1204" ht="19" customHeight="1">
      <x:c r="A1204" s="2" t="n">
        <x:v>46860</x:v>
      </x:c>
      <x:c r="B1204" t="str">
        <x:f>CHOOSE(WEEKDAY(A1204,2),"Lunes","Martes","Miércoles","Jueves","Viernes","Sábado","Domingo")</x:f>
        <x:v>Lunes</x:v>
      </x:c>
      <x:c r="C1204" t="str">
        <x:f>IF(COUNTIF(FERIADOS!$A$2:$A$250,A1204)&gt;0,"SÍ","NO")</x:f>
        <x:v>NO</x:v>
      </x:c>
      <x:c r="D1204" t="str">
        <x:f>IF(AND(WEEKDAY(A1204,2)&lt;=5,C1204="NO"),"SÍ","NO")</x:f>
        <x:v>SÍ</x:v>
      </x:c>
      <x:c r="E1204" s="2" t="n">
        <x:f>WORKDAY.INTL(A1204-1,1,1,FERIADOS!$A$2:$A$250)</x:f>
        <x:v>46860</x:v>
      </x:c>
      <x:c r="F1204" t="str">
        <x:f>IF(E1204&gt;=WORKDAY.INTL(EOMONTH(E1204,0)+1,-2,1,FERIADOS!$A$2:$A$250),"SÍ","NO")</x:f>
        <x:v>NO</x:v>
      </x:c>
      <x:c r="G1204" s="10" t="n">
        <x:f>IF(F1204="SÍ",EOMONTH(E1204,0)+1,DATE(YEAR(E1204),MONTH(E1204),1))</x:f>
        <x:v>46844</x:v>
      </x:c>
      <x:c r="H1204" t="str">
        <x:f>IF(D1204="NO",IF(C1204="SÍ","FERIADO","FIN DE SEMANA"),"LABORABLE")&amp;IF(F1204="SÍ"," + CIERRE","")</x:f>
        <x:v>LABORABLE</x:v>
      </x:c>
      <x:c r="I1204" t="str">
        <x:f>TEXT(G1204,"yyyy-mm")</x:f>
        <x:v>2028-04</x:v>
      </x:c>
    </x:row>
    <x:row r="1205" ht="19" customHeight="1">
      <x:c r="A1205" s="2" t="n">
        <x:v>46861</x:v>
      </x:c>
      <x:c r="B1205" t="str">
        <x:f>CHOOSE(WEEKDAY(A1205,2),"Lunes","Martes","Miércoles","Jueves","Viernes","Sábado","Domingo")</x:f>
        <x:v>Martes</x:v>
      </x:c>
      <x:c r="C1205" t="str">
        <x:f>IF(COUNTIF(FERIADOS!$A$2:$A$250,A1205)&gt;0,"SÍ","NO")</x:f>
        <x:v>NO</x:v>
      </x:c>
      <x:c r="D1205" t="str">
        <x:f>IF(AND(WEEKDAY(A1205,2)&lt;=5,C1205="NO"),"SÍ","NO")</x:f>
        <x:v>SÍ</x:v>
      </x:c>
      <x:c r="E1205" s="2" t="n">
        <x:f>WORKDAY.INTL(A1205-1,1,1,FERIADOS!$A$2:$A$250)</x:f>
        <x:v>46861</x:v>
      </x:c>
      <x:c r="F1205" t="str">
        <x:f>IF(E1205&gt;=WORKDAY.INTL(EOMONTH(E1205,0)+1,-2,1,FERIADOS!$A$2:$A$250),"SÍ","NO")</x:f>
        <x:v>NO</x:v>
      </x:c>
      <x:c r="G1205" s="10" t="n">
        <x:f>IF(F1205="SÍ",EOMONTH(E1205,0)+1,DATE(YEAR(E1205),MONTH(E1205),1))</x:f>
        <x:v>46844</x:v>
      </x:c>
      <x:c r="H1205" t="str">
        <x:f>IF(D1205="NO",IF(C1205="SÍ","FERIADO","FIN DE SEMANA"),"LABORABLE")&amp;IF(F1205="SÍ"," + CIERRE","")</x:f>
        <x:v>LABORABLE</x:v>
      </x:c>
      <x:c r="I1205" t="str">
        <x:f>TEXT(G1205,"yyyy-mm")</x:f>
        <x:v>2028-04</x:v>
      </x:c>
    </x:row>
    <x:row r="1206" ht="19" customHeight="1">
      <x:c r="A1206" s="2" t="n">
        <x:v>46862</x:v>
      </x:c>
      <x:c r="B1206" t="str">
        <x:f>CHOOSE(WEEKDAY(A1206,2),"Lunes","Martes","Miércoles","Jueves","Viernes","Sábado","Domingo")</x:f>
        <x:v>Miércoles</x:v>
      </x:c>
      <x:c r="C1206" t="str">
        <x:f>IF(COUNTIF(FERIADOS!$A$2:$A$250,A1206)&gt;0,"SÍ","NO")</x:f>
        <x:v>NO</x:v>
      </x:c>
      <x:c r="D1206" t="str">
        <x:f>IF(AND(WEEKDAY(A1206,2)&lt;=5,C1206="NO"),"SÍ","NO")</x:f>
        <x:v>SÍ</x:v>
      </x:c>
      <x:c r="E1206" s="2" t="n">
        <x:f>WORKDAY.INTL(A1206-1,1,1,FERIADOS!$A$2:$A$250)</x:f>
        <x:v>46862</x:v>
      </x:c>
      <x:c r="F1206" t="str">
        <x:f>IF(E1206&gt;=WORKDAY.INTL(EOMONTH(E1206,0)+1,-2,1,FERIADOS!$A$2:$A$250),"SÍ","NO")</x:f>
        <x:v>NO</x:v>
      </x:c>
      <x:c r="G1206" s="10" t="n">
        <x:f>IF(F1206="SÍ",EOMONTH(E1206,0)+1,DATE(YEAR(E1206),MONTH(E1206),1))</x:f>
        <x:v>46844</x:v>
      </x:c>
      <x:c r="H1206" t="str">
        <x:f>IF(D1206="NO",IF(C1206="SÍ","FERIADO","FIN DE SEMANA"),"LABORABLE")&amp;IF(F1206="SÍ"," + CIERRE","")</x:f>
        <x:v>LABORABLE</x:v>
      </x:c>
      <x:c r="I1206" t="str">
        <x:f>TEXT(G1206,"yyyy-mm")</x:f>
        <x:v>2028-04</x:v>
      </x:c>
    </x:row>
    <x:row r="1207" ht="19" customHeight="1">
      <x:c r="A1207" s="2" t="n">
        <x:v>46863</x:v>
      </x:c>
      <x:c r="B1207" t="str">
        <x:f>CHOOSE(WEEKDAY(A1207,2),"Lunes","Martes","Miércoles","Jueves","Viernes","Sábado","Domingo")</x:f>
        <x:v>Jueves</x:v>
      </x:c>
      <x:c r="C1207" t="str">
        <x:f>IF(COUNTIF(FERIADOS!$A$2:$A$250,A1207)&gt;0,"SÍ","NO")</x:f>
        <x:v>NO</x:v>
      </x:c>
      <x:c r="D1207" t="str">
        <x:f>IF(AND(WEEKDAY(A1207,2)&lt;=5,C1207="NO"),"SÍ","NO")</x:f>
        <x:v>SÍ</x:v>
      </x:c>
      <x:c r="E1207" s="2" t="n">
        <x:f>WORKDAY.INTL(A1207-1,1,1,FERIADOS!$A$2:$A$250)</x:f>
        <x:v>46863</x:v>
      </x:c>
      <x:c r="F1207" t="str">
        <x:f>IF(E1207&gt;=WORKDAY.INTL(EOMONTH(E1207,0)+1,-2,1,FERIADOS!$A$2:$A$250),"SÍ","NO")</x:f>
        <x:v>NO</x:v>
      </x:c>
      <x:c r="G1207" s="10" t="n">
        <x:f>IF(F1207="SÍ",EOMONTH(E1207,0)+1,DATE(YEAR(E1207),MONTH(E1207),1))</x:f>
        <x:v>46844</x:v>
      </x:c>
      <x:c r="H1207" t="str">
        <x:f>IF(D1207="NO",IF(C1207="SÍ","FERIADO","FIN DE SEMANA"),"LABORABLE")&amp;IF(F1207="SÍ"," + CIERRE","")</x:f>
        <x:v>LABORABLE</x:v>
      </x:c>
      <x:c r="I1207" t="str">
        <x:f>TEXT(G1207,"yyyy-mm")</x:f>
        <x:v>2028-04</x:v>
      </x:c>
    </x:row>
    <x:row r="1208" ht="19" customHeight="1">
      <x:c r="A1208" s="2" t="n">
        <x:v>46864</x:v>
      </x:c>
      <x:c r="B1208" t="str">
        <x:f>CHOOSE(WEEKDAY(A1208,2),"Lunes","Martes","Miércoles","Jueves","Viernes","Sábado","Domingo")</x:f>
        <x:v>Viernes</x:v>
      </x:c>
      <x:c r="C1208" t="str">
        <x:f>IF(COUNTIF(FERIADOS!$A$2:$A$250,A1208)&gt;0,"SÍ","NO")</x:f>
        <x:v>NO</x:v>
      </x:c>
      <x:c r="D1208" t="str">
        <x:f>IF(AND(WEEKDAY(A1208,2)&lt;=5,C1208="NO"),"SÍ","NO")</x:f>
        <x:v>SÍ</x:v>
      </x:c>
      <x:c r="E1208" s="2" t="n">
        <x:f>WORKDAY.INTL(A1208-1,1,1,FERIADOS!$A$2:$A$250)</x:f>
        <x:v>46864</x:v>
      </x:c>
      <x:c r="F1208" t="str">
        <x:f>IF(E1208&gt;=WORKDAY.INTL(EOMONTH(E1208,0)+1,-2,1,FERIADOS!$A$2:$A$250),"SÍ","NO")</x:f>
        <x:v>NO</x:v>
      </x:c>
      <x:c r="G1208" s="10" t="n">
        <x:f>IF(F1208="SÍ",EOMONTH(E1208,0)+1,DATE(YEAR(E1208),MONTH(E1208),1))</x:f>
        <x:v>46844</x:v>
      </x:c>
      <x:c r="H1208" t="str">
        <x:f>IF(D1208="NO",IF(C1208="SÍ","FERIADO","FIN DE SEMANA"),"LABORABLE")&amp;IF(F1208="SÍ"," + CIERRE","")</x:f>
        <x:v>LABORABLE</x:v>
      </x:c>
      <x:c r="I1208" t="str">
        <x:f>TEXT(G1208,"yyyy-mm")</x:f>
        <x:v>2028-04</x:v>
      </x:c>
    </x:row>
    <x:row r="1209" ht="19" customHeight="1">
      <x:c r="A1209" s="2" t="n">
        <x:v>46865</x:v>
      </x:c>
      <x:c r="B1209" t="str">
        <x:f>CHOOSE(WEEKDAY(A1209,2),"Lunes","Martes","Miércoles","Jueves","Viernes","Sábado","Domingo")</x:f>
        <x:v>Sábado</x:v>
      </x:c>
      <x:c r="C1209" t="str">
        <x:f>IF(COUNTIF(FERIADOS!$A$2:$A$250,A1209)&gt;0,"SÍ","NO")</x:f>
        <x:v>NO</x:v>
      </x:c>
      <x:c r="D1209" t="str">
        <x:f>IF(AND(WEEKDAY(A1209,2)&lt;=5,C1209="NO"),"SÍ","NO")</x:f>
        <x:v>NO</x:v>
      </x:c>
      <x:c r="E1209" s="2" t="n">
        <x:f>WORKDAY.INTL(A1209-1,1,1,FERIADOS!$A$2:$A$250)</x:f>
        <x:v>46867</x:v>
      </x:c>
      <x:c r="F1209" t="str">
        <x:f>IF(E1209&gt;=WORKDAY.INTL(EOMONTH(E1209,0)+1,-2,1,FERIADOS!$A$2:$A$250),"SÍ","NO")</x:f>
        <x:v>NO</x:v>
      </x:c>
      <x:c r="G1209" s="10" t="n">
        <x:f>IF(F1209="SÍ",EOMONTH(E1209,0)+1,DATE(YEAR(E1209),MONTH(E1209),1))</x:f>
        <x:v>46844</x:v>
      </x:c>
      <x:c r="H1209" t="str">
        <x:f>IF(D1209="NO",IF(C1209="SÍ","FERIADO","FIN DE SEMANA"),"LABORABLE")&amp;IF(F1209="SÍ"," + CIERRE","")</x:f>
        <x:v>FIN DE SEMANA</x:v>
      </x:c>
      <x:c r="I1209" t="str">
        <x:f>TEXT(G1209,"yyyy-mm")</x:f>
        <x:v>2028-04</x:v>
      </x:c>
    </x:row>
    <x:row r="1210" ht="19" customHeight="1">
      <x:c r="A1210" s="2" t="n">
        <x:v>46866</x:v>
      </x:c>
      <x:c r="B1210" t="str">
        <x:f>CHOOSE(WEEKDAY(A1210,2),"Lunes","Martes","Miércoles","Jueves","Viernes","Sábado","Domingo")</x:f>
        <x:v>Domingo</x:v>
      </x:c>
      <x:c r="C1210" t="str">
        <x:f>IF(COUNTIF(FERIADOS!$A$2:$A$250,A1210)&gt;0,"SÍ","NO")</x:f>
        <x:v>NO</x:v>
      </x:c>
      <x:c r="D1210" t="str">
        <x:f>IF(AND(WEEKDAY(A1210,2)&lt;=5,C1210="NO"),"SÍ","NO")</x:f>
        <x:v>NO</x:v>
      </x:c>
      <x:c r="E1210" s="2" t="n">
        <x:f>WORKDAY.INTL(A1210-1,1,1,FERIADOS!$A$2:$A$250)</x:f>
        <x:v>46867</x:v>
      </x:c>
      <x:c r="F1210" t="str">
        <x:f>IF(E1210&gt;=WORKDAY.INTL(EOMONTH(E1210,0)+1,-2,1,FERIADOS!$A$2:$A$250),"SÍ","NO")</x:f>
        <x:v>NO</x:v>
      </x:c>
      <x:c r="G1210" s="10" t="n">
        <x:f>IF(F1210="SÍ",EOMONTH(E1210,0)+1,DATE(YEAR(E1210),MONTH(E1210),1))</x:f>
        <x:v>46844</x:v>
      </x:c>
      <x:c r="H1210" t="str">
        <x:f>IF(D1210="NO",IF(C1210="SÍ","FERIADO","FIN DE SEMANA"),"LABORABLE")&amp;IF(F1210="SÍ"," + CIERRE","")</x:f>
        <x:v>FIN DE SEMANA</x:v>
      </x:c>
      <x:c r="I1210" t="str">
        <x:f>TEXT(G1210,"yyyy-mm")</x:f>
        <x:v>2028-04</x:v>
      </x:c>
    </x:row>
    <x:row r="1211" ht="19" customHeight="1">
      <x:c r="A1211" s="2" t="n">
        <x:v>46867</x:v>
      </x:c>
      <x:c r="B1211" t="str">
        <x:f>CHOOSE(WEEKDAY(A1211,2),"Lunes","Martes","Miércoles","Jueves","Viernes","Sábado","Domingo")</x:f>
        <x:v>Lunes</x:v>
      </x:c>
      <x:c r="C1211" t="str">
        <x:f>IF(COUNTIF(FERIADOS!$A$2:$A$250,A1211)&gt;0,"SÍ","NO")</x:f>
        <x:v>NO</x:v>
      </x:c>
      <x:c r="D1211" t="str">
        <x:f>IF(AND(WEEKDAY(A1211,2)&lt;=5,C1211="NO"),"SÍ","NO")</x:f>
        <x:v>SÍ</x:v>
      </x:c>
      <x:c r="E1211" s="2" t="n">
        <x:f>WORKDAY.INTL(A1211-1,1,1,FERIADOS!$A$2:$A$250)</x:f>
        <x:v>46867</x:v>
      </x:c>
      <x:c r="F1211" t="str">
        <x:f>IF(E1211&gt;=WORKDAY.INTL(EOMONTH(E1211,0)+1,-2,1,FERIADOS!$A$2:$A$250),"SÍ","NO")</x:f>
        <x:v>NO</x:v>
      </x:c>
      <x:c r="G1211" s="10" t="n">
        <x:f>IF(F1211="SÍ",EOMONTH(E1211,0)+1,DATE(YEAR(E1211),MONTH(E1211),1))</x:f>
        <x:v>46844</x:v>
      </x:c>
      <x:c r="H1211" t="str">
        <x:f>IF(D1211="NO",IF(C1211="SÍ","FERIADO","FIN DE SEMANA"),"LABORABLE")&amp;IF(F1211="SÍ"," + CIERRE","")</x:f>
        <x:v>LABORABLE</x:v>
      </x:c>
      <x:c r="I1211" t="str">
        <x:f>TEXT(G1211,"yyyy-mm")</x:f>
        <x:v>2028-04</x:v>
      </x:c>
    </x:row>
    <x:row r="1212" ht="19" customHeight="1">
      <x:c r="A1212" s="2" t="n">
        <x:v>46868</x:v>
      </x:c>
      <x:c r="B1212" t="str">
        <x:f>CHOOSE(WEEKDAY(A1212,2),"Lunes","Martes","Miércoles","Jueves","Viernes","Sábado","Domingo")</x:f>
        <x:v>Martes</x:v>
      </x:c>
      <x:c r="C1212" t="str">
        <x:f>IF(COUNTIF(FERIADOS!$A$2:$A$250,A1212)&gt;0,"SÍ","NO")</x:f>
        <x:v>NO</x:v>
      </x:c>
      <x:c r="D1212" t="str">
        <x:f>IF(AND(WEEKDAY(A1212,2)&lt;=5,C1212="NO"),"SÍ","NO")</x:f>
        <x:v>SÍ</x:v>
      </x:c>
      <x:c r="E1212" s="2" t="n">
        <x:f>WORKDAY.INTL(A1212-1,1,1,FERIADOS!$A$2:$A$250)</x:f>
        <x:v>46868</x:v>
      </x:c>
      <x:c r="F1212" t="str">
        <x:f>IF(E1212&gt;=WORKDAY.INTL(EOMONTH(E1212,0)+1,-2,1,FERIADOS!$A$2:$A$250),"SÍ","NO")</x:f>
        <x:v>NO</x:v>
      </x:c>
      <x:c r="G1212" s="10" t="n">
        <x:f>IF(F1212="SÍ",EOMONTH(E1212,0)+1,DATE(YEAR(E1212),MONTH(E1212),1))</x:f>
        <x:v>46844</x:v>
      </x:c>
      <x:c r="H1212" t="str">
        <x:f>IF(D1212="NO",IF(C1212="SÍ","FERIADO","FIN DE SEMANA"),"LABORABLE")&amp;IF(F1212="SÍ"," + CIERRE","")</x:f>
        <x:v>LABORABLE</x:v>
      </x:c>
      <x:c r="I1212" t="str">
        <x:f>TEXT(G1212,"yyyy-mm")</x:f>
        <x:v>2028-04</x:v>
      </x:c>
    </x:row>
    <x:row r="1213" ht="19" customHeight="1">
      <x:c r="A1213" s="2" t="n">
        <x:v>46869</x:v>
      </x:c>
      <x:c r="B1213" t="str">
        <x:f>CHOOSE(WEEKDAY(A1213,2),"Lunes","Martes","Miércoles","Jueves","Viernes","Sábado","Domingo")</x:f>
        <x:v>Miércoles</x:v>
      </x:c>
      <x:c r="C1213" t="str">
        <x:f>IF(COUNTIF(FERIADOS!$A$2:$A$250,A1213)&gt;0,"SÍ","NO")</x:f>
        <x:v>NO</x:v>
      </x:c>
      <x:c r="D1213" t="str">
        <x:f>IF(AND(WEEKDAY(A1213,2)&lt;=5,C1213="NO"),"SÍ","NO")</x:f>
        <x:v>SÍ</x:v>
      </x:c>
      <x:c r="E1213" s="2" t="n">
        <x:f>WORKDAY.INTL(A1213-1,1,1,FERIADOS!$A$2:$A$250)</x:f>
        <x:v>46869</x:v>
      </x:c>
      <x:c r="F1213" t="str">
        <x:f>IF(E1213&gt;=WORKDAY.INTL(EOMONTH(E1213,0)+1,-2,1,FERIADOS!$A$2:$A$250),"SÍ","NO")</x:f>
        <x:v>NO</x:v>
      </x:c>
      <x:c r="G1213" s="10" t="n">
        <x:f>IF(F1213="SÍ",EOMONTH(E1213,0)+1,DATE(YEAR(E1213),MONTH(E1213),1))</x:f>
        <x:v>46844</x:v>
      </x:c>
      <x:c r="H1213" t="str">
        <x:f>IF(D1213="NO",IF(C1213="SÍ","FERIADO","FIN DE SEMANA"),"LABORABLE")&amp;IF(F1213="SÍ"," + CIERRE","")</x:f>
        <x:v>LABORABLE</x:v>
      </x:c>
      <x:c r="I1213" t="str">
        <x:f>TEXT(G1213,"yyyy-mm")</x:f>
        <x:v>2028-04</x:v>
      </x:c>
    </x:row>
    <x:row r="1214" ht="19" customHeight="1">
      <x:c r="A1214" s="2" t="n">
        <x:v>46870</x:v>
      </x:c>
      <x:c r="B1214" t="str">
        <x:f>CHOOSE(WEEKDAY(A1214,2),"Lunes","Martes","Miércoles","Jueves","Viernes","Sábado","Domingo")</x:f>
        <x:v>Jueves</x:v>
      </x:c>
      <x:c r="C1214" t="str">
        <x:f>IF(COUNTIF(FERIADOS!$A$2:$A$250,A1214)&gt;0,"SÍ","NO")</x:f>
        <x:v>NO</x:v>
      </x:c>
      <x:c r="D1214" t="str">
        <x:f>IF(AND(WEEKDAY(A1214,2)&lt;=5,C1214="NO"),"SÍ","NO")</x:f>
        <x:v>SÍ</x:v>
      </x:c>
      <x:c r="E1214" s="2" t="n">
        <x:f>WORKDAY.INTL(A1214-1,1,1,FERIADOS!$A$2:$A$250)</x:f>
        <x:v>46870</x:v>
      </x:c>
      <x:c r="F1214" t="str">
        <x:f>IF(E1214&gt;=WORKDAY.INTL(EOMONTH(E1214,0)+1,-2,1,FERIADOS!$A$2:$A$250),"SÍ","NO")</x:f>
        <x:v>SÍ</x:v>
      </x:c>
      <x:c r="G1214" s="10" t="n">
        <x:f>IF(F1214="SÍ",EOMONTH(E1214,0)+1,DATE(YEAR(E1214),MONTH(E1214),1))</x:f>
        <x:v>46874</x:v>
      </x:c>
      <x:c r="H1214" t="str">
        <x:f>IF(D1214="NO",IF(C1214="SÍ","FERIADO","FIN DE SEMANA"),"LABORABLE")&amp;IF(F1214="SÍ"," + CIERRE","")</x:f>
        <x:v>LABORABLE + CIERRE</x:v>
      </x:c>
      <x:c r="I1214" t="str">
        <x:f>TEXT(G1214,"yyyy-mm")</x:f>
        <x:v>2028-05</x:v>
      </x:c>
    </x:row>
    <x:row r="1215" ht="19" customHeight="1">
      <x:c r="A1215" s="2" t="n">
        <x:v>46871</x:v>
      </x:c>
      <x:c r="B1215" t="str">
        <x:f>CHOOSE(WEEKDAY(A1215,2),"Lunes","Martes","Miércoles","Jueves","Viernes","Sábado","Domingo")</x:f>
        <x:v>Viernes</x:v>
      </x:c>
      <x:c r="C1215" t="str">
        <x:f>IF(COUNTIF(FERIADOS!$A$2:$A$250,A1215)&gt;0,"SÍ","NO")</x:f>
        <x:v>NO</x:v>
      </x:c>
      <x:c r="D1215" t="str">
        <x:f>IF(AND(WEEKDAY(A1215,2)&lt;=5,C1215="NO"),"SÍ","NO")</x:f>
        <x:v>SÍ</x:v>
      </x:c>
      <x:c r="E1215" s="2" t="n">
        <x:f>WORKDAY.INTL(A1215-1,1,1,FERIADOS!$A$2:$A$250)</x:f>
        <x:v>46871</x:v>
      </x:c>
      <x:c r="F1215" t="str">
        <x:f>IF(E1215&gt;=WORKDAY.INTL(EOMONTH(E1215,0)+1,-2,1,FERIADOS!$A$2:$A$250),"SÍ","NO")</x:f>
        <x:v>SÍ</x:v>
      </x:c>
      <x:c r="G1215" s="10" t="n">
        <x:f>IF(F1215="SÍ",EOMONTH(E1215,0)+1,DATE(YEAR(E1215),MONTH(E1215),1))</x:f>
        <x:v>46874</x:v>
      </x:c>
      <x:c r="H1215" t="str">
        <x:f>IF(D1215="NO",IF(C1215="SÍ","FERIADO","FIN DE SEMANA"),"LABORABLE")&amp;IF(F1215="SÍ"," + CIERRE","")</x:f>
        <x:v>LABORABLE + CIERRE</x:v>
      </x:c>
      <x:c r="I1215" t="str">
        <x:f>TEXT(G1215,"yyyy-mm")</x:f>
        <x:v>2028-05</x:v>
      </x:c>
    </x:row>
    <x:row r="1216" ht="19" customHeight="1">
      <x:c r="A1216" s="2" t="n">
        <x:v>46872</x:v>
      </x:c>
      <x:c r="B1216" t="str">
        <x:f>CHOOSE(WEEKDAY(A1216,2),"Lunes","Martes","Miércoles","Jueves","Viernes","Sábado","Domingo")</x:f>
        <x:v>Sábado</x:v>
      </x:c>
      <x:c r="C1216" t="str">
        <x:f>IF(COUNTIF(FERIADOS!$A$2:$A$250,A1216)&gt;0,"SÍ","NO")</x:f>
        <x:v>NO</x:v>
      </x:c>
      <x:c r="D1216" t="str">
        <x:f>IF(AND(WEEKDAY(A1216,2)&lt;=5,C1216="NO"),"SÍ","NO")</x:f>
        <x:v>NO</x:v>
      </x:c>
      <x:c r="E1216" s="2" t="n">
        <x:f>WORKDAY.INTL(A1216-1,1,1,FERIADOS!$A$2:$A$250)</x:f>
        <x:v>46875</x:v>
      </x:c>
      <x:c r="F1216" t="str">
        <x:f>IF(E1216&gt;=WORKDAY.INTL(EOMONTH(E1216,0)+1,-2,1,FERIADOS!$A$2:$A$250),"SÍ","NO")</x:f>
        <x:v>NO</x:v>
      </x:c>
      <x:c r="G1216" s="10" t="n">
        <x:f>IF(F1216="SÍ",EOMONTH(E1216,0)+1,DATE(YEAR(E1216),MONTH(E1216),1))</x:f>
        <x:v>46874</x:v>
      </x:c>
      <x:c r="H1216" t="str">
        <x:f>IF(D1216="NO",IF(C1216="SÍ","FERIADO","FIN DE SEMANA"),"LABORABLE")&amp;IF(F1216="SÍ"," + CIERRE","")</x:f>
        <x:v>FIN DE SEMANA</x:v>
      </x:c>
      <x:c r="I1216" t="str">
        <x:f>TEXT(G1216,"yyyy-mm")</x:f>
        <x:v>2028-05</x:v>
      </x:c>
    </x:row>
    <x:row r="1217" ht="19" customHeight="1">
      <x:c r="A1217" s="2" t="n">
        <x:v>46873</x:v>
      </x:c>
      <x:c r="B1217" t="str">
        <x:f>CHOOSE(WEEKDAY(A1217,2),"Lunes","Martes","Miércoles","Jueves","Viernes","Sábado","Domingo")</x:f>
        <x:v>Domingo</x:v>
      </x:c>
      <x:c r="C1217" t="str">
        <x:f>IF(COUNTIF(FERIADOS!$A$2:$A$250,A1217)&gt;0,"SÍ","NO")</x:f>
        <x:v>NO</x:v>
      </x:c>
      <x:c r="D1217" t="str">
        <x:f>IF(AND(WEEKDAY(A1217,2)&lt;=5,C1217="NO"),"SÍ","NO")</x:f>
        <x:v>NO</x:v>
      </x:c>
      <x:c r="E1217" s="2" t="n">
        <x:f>WORKDAY.INTL(A1217-1,1,1,FERIADOS!$A$2:$A$250)</x:f>
        <x:v>46875</x:v>
      </x:c>
      <x:c r="F1217" t="str">
        <x:f>IF(E1217&gt;=WORKDAY.INTL(EOMONTH(E1217,0)+1,-2,1,FERIADOS!$A$2:$A$250),"SÍ","NO")</x:f>
        <x:v>NO</x:v>
      </x:c>
      <x:c r="G1217" s="10" t="n">
        <x:f>IF(F1217="SÍ",EOMONTH(E1217,0)+1,DATE(YEAR(E1217),MONTH(E1217),1))</x:f>
        <x:v>46874</x:v>
      </x:c>
      <x:c r="H1217" t="str">
        <x:f>IF(D1217="NO",IF(C1217="SÍ","FERIADO","FIN DE SEMANA"),"LABORABLE")&amp;IF(F1217="SÍ"," + CIERRE","")</x:f>
        <x:v>FIN DE SEMANA</x:v>
      </x:c>
      <x:c r="I1217" t="str">
        <x:f>TEXT(G1217,"yyyy-mm")</x:f>
        <x:v>2028-05</x:v>
      </x:c>
    </x:row>
    <x:row r="1218" ht="19" customHeight="1">
      <x:c r="A1218" s="2" t="n">
        <x:v>46874</x:v>
      </x:c>
      <x:c r="B1218" t="str">
        <x:f>CHOOSE(WEEKDAY(A1218,2),"Lunes","Martes","Miércoles","Jueves","Viernes","Sábado","Domingo")</x:f>
        <x:v>Lunes</x:v>
      </x:c>
      <x:c r="C1218" t="str">
        <x:f>IF(COUNTIF(FERIADOS!$A$2:$A$250,A1218)&gt;0,"SÍ","NO")</x:f>
        <x:v>SÍ</x:v>
      </x:c>
      <x:c r="D1218" t="str">
        <x:f>IF(AND(WEEKDAY(A1218,2)&lt;=5,C1218="NO"),"SÍ","NO")</x:f>
        <x:v>NO</x:v>
      </x:c>
      <x:c r="E1218" s="2" t="n">
        <x:f>WORKDAY.INTL(A1218-1,1,1,FERIADOS!$A$2:$A$250)</x:f>
        <x:v>46875</x:v>
      </x:c>
      <x:c r="F1218" t="str">
        <x:f>IF(E1218&gt;=WORKDAY.INTL(EOMONTH(E1218,0)+1,-2,1,FERIADOS!$A$2:$A$250),"SÍ","NO")</x:f>
        <x:v>NO</x:v>
      </x:c>
      <x:c r="G1218" s="10" t="n">
        <x:f>IF(F1218="SÍ",EOMONTH(E1218,0)+1,DATE(YEAR(E1218),MONTH(E1218),1))</x:f>
        <x:v>46874</x:v>
      </x:c>
      <x:c r="H1218" t="str">
        <x:f>IF(D1218="NO",IF(C1218="SÍ","FERIADO","FIN DE SEMANA"),"LABORABLE")&amp;IF(F1218="SÍ"," + CIERRE","")</x:f>
        <x:v>FERIADO</x:v>
      </x:c>
      <x:c r="I1218" t="str">
        <x:f>TEXT(G1218,"yyyy-mm")</x:f>
        <x:v>2028-05</x:v>
      </x:c>
    </x:row>
    <x:row r="1219" ht="19" customHeight="1">
      <x:c r="A1219" s="2" t="n">
        <x:v>46875</x:v>
      </x:c>
      <x:c r="B1219" t="str">
        <x:f>CHOOSE(WEEKDAY(A1219,2),"Lunes","Martes","Miércoles","Jueves","Viernes","Sábado","Domingo")</x:f>
        <x:v>Martes</x:v>
      </x:c>
      <x:c r="C1219" t="str">
        <x:f>IF(COUNTIF(FERIADOS!$A$2:$A$250,A1219)&gt;0,"SÍ","NO")</x:f>
        <x:v>NO</x:v>
      </x:c>
      <x:c r="D1219" t="str">
        <x:f>IF(AND(WEEKDAY(A1219,2)&lt;=5,C1219="NO"),"SÍ","NO")</x:f>
        <x:v>SÍ</x:v>
      </x:c>
      <x:c r="E1219" s="2" t="n">
        <x:f>WORKDAY.INTL(A1219-1,1,1,FERIADOS!$A$2:$A$250)</x:f>
        <x:v>46875</x:v>
      </x:c>
      <x:c r="F1219" t="str">
        <x:f>IF(E1219&gt;=WORKDAY.INTL(EOMONTH(E1219,0)+1,-2,1,FERIADOS!$A$2:$A$250),"SÍ","NO")</x:f>
        <x:v>NO</x:v>
      </x:c>
      <x:c r="G1219" s="10" t="n">
        <x:f>IF(F1219="SÍ",EOMONTH(E1219,0)+1,DATE(YEAR(E1219),MONTH(E1219),1))</x:f>
        <x:v>46874</x:v>
      </x:c>
      <x:c r="H1219" t="str">
        <x:f>IF(D1219="NO",IF(C1219="SÍ","FERIADO","FIN DE SEMANA"),"LABORABLE")&amp;IF(F1219="SÍ"," + CIERRE","")</x:f>
        <x:v>LABORABLE</x:v>
      </x:c>
      <x:c r="I1219" t="str">
        <x:f>TEXT(G1219,"yyyy-mm")</x:f>
        <x:v>2028-05</x:v>
      </x:c>
    </x:row>
    <x:row r="1220" ht="19" customHeight="1">
      <x:c r="A1220" s="2" t="n">
        <x:v>46876</x:v>
      </x:c>
      <x:c r="B1220" t="str">
        <x:f>CHOOSE(WEEKDAY(A1220,2),"Lunes","Martes","Miércoles","Jueves","Viernes","Sábado","Domingo")</x:f>
        <x:v>Miércoles</x:v>
      </x:c>
      <x:c r="C1220" t="str">
        <x:f>IF(COUNTIF(FERIADOS!$A$2:$A$250,A1220)&gt;0,"SÍ","NO")</x:f>
        <x:v>NO</x:v>
      </x:c>
      <x:c r="D1220" t="str">
        <x:f>IF(AND(WEEKDAY(A1220,2)&lt;=5,C1220="NO"),"SÍ","NO")</x:f>
        <x:v>SÍ</x:v>
      </x:c>
      <x:c r="E1220" s="2" t="n">
        <x:f>WORKDAY.INTL(A1220-1,1,1,FERIADOS!$A$2:$A$250)</x:f>
        <x:v>46876</x:v>
      </x:c>
      <x:c r="F1220" t="str">
        <x:f>IF(E1220&gt;=WORKDAY.INTL(EOMONTH(E1220,0)+1,-2,1,FERIADOS!$A$2:$A$250),"SÍ","NO")</x:f>
        <x:v>NO</x:v>
      </x:c>
      <x:c r="G1220" s="10" t="n">
        <x:f>IF(F1220="SÍ",EOMONTH(E1220,0)+1,DATE(YEAR(E1220),MONTH(E1220),1))</x:f>
        <x:v>46874</x:v>
      </x:c>
      <x:c r="H1220" t="str">
        <x:f>IF(D1220="NO",IF(C1220="SÍ","FERIADO","FIN DE SEMANA"),"LABORABLE")&amp;IF(F1220="SÍ"," + CIERRE","")</x:f>
        <x:v>LABORABLE</x:v>
      </x:c>
      <x:c r="I1220" t="str">
        <x:f>TEXT(G1220,"yyyy-mm")</x:f>
        <x:v>2028-05</x:v>
      </x:c>
    </x:row>
    <x:row r="1221" ht="19" customHeight="1">
      <x:c r="A1221" s="2" t="n">
        <x:v>46877</x:v>
      </x:c>
      <x:c r="B1221" t="str">
        <x:f>CHOOSE(WEEKDAY(A1221,2),"Lunes","Martes","Miércoles","Jueves","Viernes","Sábado","Domingo")</x:f>
        <x:v>Jueves</x:v>
      </x:c>
      <x:c r="C1221" t="str">
        <x:f>IF(COUNTIF(FERIADOS!$A$2:$A$250,A1221)&gt;0,"SÍ","NO")</x:f>
        <x:v>NO</x:v>
      </x:c>
      <x:c r="D1221" t="str">
        <x:f>IF(AND(WEEKDAY(A1221,2)&lt;=5,C1221="NO"),"SÍ","NO")</x:f>
        <x:v>SÍ</x:v>
      </x:c>
      <x:c r="E1221" s="2" t="n">
        <x:f>WORKDAY.INTL(A1221-1,1,1,FERIADOS!$A$2:$A$250)</x:f>
        <x:v>46877</x:v>
      </x:c>
      <x:c r="F1221" t="str">
        <x:f>IF(E1221&gt;=WORKDAY.INTL(EOMONTH(E1221,0)+1,-2,1,FERIADOS!$A$2:$A$250),"SÍ","NO")</x:f>
        <x:v>NO</x:v>
      </x:c>
      <x:c r="G1221" s="10" t="n">
        <x:f>IF(F1221="SÍ",EOMONTH(E1221,0)+1,DATE(YEAR(E1221),MONTH(E1221),1))</x:f>
        <x:v>46874</x:v>
      </x:c>
      <x:c r="H1221" t="str">
        <x:f>IF(D1221="NO",IF(C1221="SÍ","FERIADO","FIN DE SEMANA"),"LABORABLE")&amp;IF(F1221="SÍ"," + CIERRE","")</x:f>
        <x:v>LABORABLE</x:v>
      </x:c>
      <x:c r="I1221" t="str">
        <x:f>TEXT(G1221,"yyyy-mm")</x:f>
        <x:v>2028-05</x:v>
      </x:c>
    </x:row>
    <x:row r="1222" ht="19" customHeight="1">
      <x:c r="A1222" s="2" t="n">
        <x:v>46878</x:v>
      </x:c>
      <x:c r="B1222" t="str">
        <x:f>CHOOSE(WEEKDAY(A1222,2),"Lunes","Martes","Miércoles","Jueves","Viernes","Sábado","Domingo")</x:f>
        <x:v>Viernes</x:v>
      </x:c>
      <x:c r="C1222" t="str">
        <x:f>IF(COUNTIF(FERIADOS!$A$2:$A$250,A1222)&gt;0,"SÍ","NO")</x:f>
        <x:v>NO</x:v>
      </x:c>
      <x:c r="D1222" t="str">
        <x:f>IF(AND(WEEKDAY(A1222,2)&lt;=5,C1222="NO"),"SÍ","NO")</x:f>
        <x:v>SÍ</x:v>
      </x:c>
      <x:c r="E1222" s="2" t="n">
        <x:f>WORKDAY.INTL(A1222-1,1,1,FERIADOS!$A$2:$A$250)</x:f>
        <x:v>46878</x:v>
      </x:c>
      <x:c r="F1222" t="str">
        <x:f>IF(E1222&gt;=WORKDAY.INTL(EOMONTH(E1222,0)+1,-2,1,FERIADOS!$A$2:$A$250),"SÍ","NO")</x:f>
        <x:v>NO</x:v>
      </x:c>
      <x:c r="G1222" s="10" t="n">
        <x:f>IF(F1222="SÍ",EOMONTH(E1222,0)+1,DATE(YEAR(E1222),MONTH(E1222),1))</x:f>
        <x:v>46874</x:v>
      </x:c>
      <x:c r="H1222" t="str">
        <x:f>IF(D1222="NO",IF(C1222="SÍ","FERIADO","FIN DE SEMANA"),"LABORABLE")&amp;IF(F1222="SÍ"," + CIERRE","")</x:f>
        <x:v>LABORABLE</x:v>
      </x:c>
      <x:c r="I1222" t="str">
        <x:f>TEXT(G1222,"yyyy-mm")</x:f>
        <x:v>2028-05</x:v>
      </x:c>
    </x:row>
    <x:row r="1223" ht="19" customHeight="1">
      <x:c r="A1223" s="2" t="n">
        <x:v>46879</x:v>
      </x:c>
      <x:c r="B1223" t="str">
        <x:f>CHOOSE(WEEKDAY(A1223,2),"Lunes","Martes","Miércoles","Jueves","Viernes","Sábado","Domingo")</x:f>
        <x:v>Sábado</x:v>
      </x:c>
      <x:c r="C1223" t="str">
        <x:f>IF(COUNTIF(FERIADOS!$A$2:$A$250,A1223)&gt;0,"SÍ","NO")</x:f>
        <x:v>NO</x:v>
      </x:c>
      <x:c r="D1223" t="str">
        <x:f>IF(AND(WEEKDAY(A1223,2)&lt;=5,C1223="NO"),"SÍ","NO")</x:f>
        <x:v>NO</x:v>
      </x:c>
      <x:c r="E1223" s="2" t="n">
        <x:f>WORKDAY.INTL(A1223-1,1,1,FERIADOS!$A$2:$A$250)</x:f>
        <x:v>46881</x:v>
      </x:c>
      <x:c r="F1223" t="str">
        <x:f>IF(E1223&gt;=WORKDAY.INTL(EOMONTH(E1223,0)+1,-2,1,FERIADOS!$A$2:$A$250),"SÍ","NO")</x:f>
        <x:v>NO</x:v>
      </x:c>
      <x:c r="G1223" s="10" t="n">
        <x:f>IF(F1223="SÍ",EOMONTH(E1223,0)+1,DATE(YEAR(E1223),MONTH(E1223),1))</x:f>
        <x:v>46874</x:v>
      </x:c>
      <x:c r="H1223" t="str">
        <x:f>IF(D1223="NO",IF(C1223="SÍ","FERIADO","FIN DE SEMANA"),"LABORABLE")&amp;IF(F1223="SÍ"," + CIERRE","")</x:f>
        <x:v>FIN DE SEMANA</x:v>
      </x:c>
      <x:c r="I1223" t="str">
        <x:f>TEXT(G1223,"yyyy-mm")</x:f>
        <x:v>2028-05</x:v>
      </x:c>
    </x:row>
    <x:row r="1224" ht="19" customHeight="1">
      <x:c r="A1224" s="2" t="n">
        <x:v>46880</x:v>
      </x:c>
      <x:c r="B1224" t="str">
        <x:f>CHOOSE(WEEKDAY(A1224,2),"Lunes","Martes","Miércoles","Jueves","Viernes","Sábado","Domingo")</x:f>
        <x:v>Domingo</x:v>
      </x:c>
      <x:c r="C1224" t="str">
        <x:f>IF(COUNTIF(FERIADOS!$A$2:$A$250,A1224)&gt;0,"SÍ","NO")</x:f>
        <x:v>NO</x:v>
      </x:c>
      <x:c r="D1224" t="str">
        <x:f>IF(AND(WEEKDAY(A1224,2)&lt;=5,C1224="NO"),"SÍ","NO")</x:f>
        <x:v>NO</x:v>
      </x:c>
      <x:c r="E1224" s="2" t="n">
        <x:f>WORKDAY.INTL(A1224-1,1,1,FERIADOS!$A$2:$A$250)</x:f>
        <x:v>46881</x:v>
      </x:c>
      <x:c r="F1224" t="str">
        <x:f>IF(E1224&gt;=WORKDAY.INTL(EOMONTH(E1224,0)+1,-2,1,FERIADOS!$A$2:$A$250),"SÍ","NO")</x:f>
        <x:v>NO</x:v>
      </x:c>
      <x:c r="G1224" s="10" t="n">
        <x:f>IF(F1224="SÍ",EOMONTH(E1224,0)+1,DATE(YEAR(E1224),MONTH(E1224),1))</x:f>
        <x:v>46874</x:v>
      </x:c>
      <x:c r="H1224" t="str">
        <x:f>IF(D1224="NO",IF(C1224="SÍ","FERIADO","FIN DE SEMANA"),"LABORABLE")&amp;IF(F1224="SÍ"," + CIERRE","")</x:f>
        <x:v>FIN DE SEMANA</x:v>
      </x:c>
      <x:c r="I1224" t="str">
        <x:f>TEXT(G1224,"yyyy-mm")</x:f>
        <x:v>2028-05</x:v>
      </x:c>
    </x:row>
    <x:row r="1225" ht="19" customHeight="1">
      <x:c r="A1225" s="2" t="n">
        <x:v>46881</x:v>
      </x:c>
      <x:c r="B1225" t="str">
        <x:f>CHOOSE(WEEKDAY(A1225,2),"Lunes","Martes","Miércoles","Jueves","Viernes","Sábado","Domingo")</x:f>
        <x:v>Lunes</x:v>
      </x:c>
      <x:c r="C1225" t="str">
        <x:f>IF(COUNTIF(FERIADOS!$A$2:$A$250,A1225)&gt;0,"SÍ","NO")</x:f>
        <x:v>NO</x:v>
      </x:c>
      <x:c r="D1225" t="str">
        <x:f>IF(AND(WEEKDAY(A1225,2)&lt;=5,C1225="NO"),"SÍ","NO")</x:f>
        <x:v>SÍ</x:v>
      </x:c>
      <x:c r="E1225" s="2" t="n">
        <x:f>WORKDAY.INTL(A1225-1,1,1,FERIADOS!$A$2:$A$250)</x:f>
        <x:v>46881</x:v>
      </x:c>
      <x:c r="F1225" t="str">
        <x:f>IF(E1225&gt;=WORKDAY.INTL(EOMONTH(E1225,0)+1,-2,1,FERIADOS!$A$2:$A$250),"SÍ","NO")</x:f>
        <x:v>NO</x:v>
      </x:c>
      <x:c r="G1225" s="10" t="n">
        <x:f>IF(F1225="SÍ",EOMONTH(E1225,0)+1,DATE(YEAR(E1225),MONTH(E1225),1))</x:f>
        <x:v>46874</x:v>
      </x:c>
      <x:c r="H1225" t="str">
        <x:f>IF(D1225="NO",IF(C1225="SÍ","FERIADO","FIN DE SEMANA"),"LABORABLE")&amp;IF(F1225="SÍ"," + CIERRE","")</x:f>
        <x:v>LABORABLE</x:v>
      </x:c>
      <x:c r="I1225" t="str">
        <x:f>TEXT(G1225,"yyyy-mm")</x:f>
        <x:v>2028-05</x:v>
      </x:c>
    </x:row>
    <x:row r="1226" ht="19" customHeight="1">
      <x:c r="A1226" s="2" t="n">
        <x:v>46882</x:v>
      </x:c>
      <x:c r="B1226" t="str">
        <x:f>CHOOSE(WEEKDAY(A1226,2),"Lunes","Martes","Miércoles","Jueves","Viernes","Sábado","Domingo")</x:f>
        <x:v>Martes</x:v>
      </x:c>
      <x:c r="C1226" t="str">
        <x:f>IF(COUNTIF(FERIADOS!$A$2:$A$250,A1226)&gt;0,"SÍ","NO")</x:f>
        <x:v>NO</x:v>
      </x:c>
      <x:c r="D1226" t="str">
        <x:f>IF(AND(WEEKDAY(A1226,2)&lt;=5,C1226="NO"),"SÍ","NO")</x:f>
        <x:v>SÍ</x:v>
      </x:c>
      <x:c r="E1226" s="2" t="n">
        <x:f>WORKDAY.INTL(A1226-1,1,1,FERIADOS!$A$2:$A$250)</x:f>
        <x:v>46882</x:v>
      </x:c>
      <x:c r="F1226" t="str">
        <x:f>IF(E1226&gt;=WORKDAY.INTL(EOMONTH(E1226,0)+1,-2,1,FERIADOS!$A$2:$A$250),"SÍ","NO")</x:f>
        <x:v>NO</x:v>
      </x:c>
      <x:c r="G1226" s="10" t="n">
        <x:f>IF(F1226="SÍ",EOMONTH(E1226,0)+1,DATE(YEAR(E1226),MONTH(E1226),1))</x:f>
        <x:v>46874</x:v>
      </x:c>
      <x:c r="H1226" t="str">
        <x:f>IF(D1226="NO",IF(C1226="SÍ","FERIADO","FIN DE SEMANA"),"LABORABLE")&amp;IF(F1226="SÍ"," + CIERRE","")</x:f>
        <x:v>LABORABLE</x:v>
      </x:c>
      <x:c r="I1226" t="str">
        <x:f>TEXT(G1226,"yyyy-mm")</x:f>
        <x:v>2028-05</x:v>
      </x:c>
    </x:row>
    <x:row r="1227" ht="19" customHeight="1">
      <x:c r="A1227" s="2" t="n">
        <x:v>46883</x:v>
      </x:c>
      <x:c r="B1227" t="str">
        <x:f>CHOOSE(WEEKDAY(A1227,2),"Lunes","Martes","Miércoles","Jueves","Viernes","Sábado","Domingo")</x:f>
        <x:v>Miércoles</x:v>
      </x:c>
      <x:c r="C1227" t="str">
        <x:f>IF(COUNTIF(FERIADOS!$A$2:$A$250,A1227)&gt;0,"SÍ","NO")</x:f>
        <x:v>NO</x:v>
      </x:c>
      <x:c r="D1227" t="str">
        <x:f>IF(AND(WEEKDAY(A1227,2)&lt;=5,C1227="NO"),"SÍ","NO")</x:f>
        <x:v>SÍ</x:v>
      </x:c>
      <x:c r="E1227" s="2" t="n">
        <x:f>WORKDAY.INTL(A1227-1,1,1,FERIADOS!$A$2:$A$250)</x:f>
        <x:v>46883</x:v>
      </x:c>
      <x:c r="F1227" t="str">
        <x:f>IF(E1227&gt;=WORKDAY.INTL(EOMONTH(E1227,0)+1,-2,1,FERIADOS!$A$2:$A$250),"SÍ","NO")</x:f>
        <x:v>NO</x:v>
      </x:c>
      <x:c r="G1227" s="10" t="n">
        <x:f>IF(F1227="SÍ",EOMONTH(E1227,0)+1,DATE(YEAR(E1227),MONTH(E1227),1))</x:f>
        <x:v>46874</x:v>
      </x:c>
      <x:c r="H1227" t="str">
        <x:f>IF(D1227="NO",IF(C1227="SÍ","FERIADO","FIN DE SEMANA"),"LABORABLE")&amp;IF(F1227="SÍ"," + CIERRE","")</x:f>
        <x:v>LABORABLE</x:v>
      </x:c>
      <x:c r="I1227" t="str">
        <x:f>TEXT(G1227,"yyyy-mm")</x:f>
        <x:v>2028-05</x:v>
      </x:c>
    </x:row>
    <x:row r="1228" ht="19" customHeight="1">
      <x:c r="A1228" s="2" t="n">
        <x:v>46884</x:v>
      </x:c>
      <x:c r="B1228" t="str">
        <x:f>CHOOSE(WEEKDAY(A1228,2),"Lunes","Martes","Miércoles","Jueves","Viernes","Sábado","Domingo")</x:f>
        <x:v>Jueves</x:v>
      </x:c>
      <x:c r="C1228" t="str">
        <x:f>IF(COUNTIF(FERIADOS!$A$2:$A$250,A1228)&gt;0,"SÍ","NO")</x:f>
        <x:v>NO</x:v>
      </x:c>
      <x:c r="D1228" t="str">
        <x:f>IF(AND(WEEKDAY(A1228,2)&lt;=5,C1228="NO"),"SÍ","NO")</x:f>
        <x:v>SÍ</x:v>
      </x:c>
      <x:c r="E1228" s="2" t="n">
        <x:f>WORKDAY.INTL(A1228-1,1,1,FERIADOS!$A$2:$A$250)</x:f>
        <x:v>46884</x:v>
      </x:c>
      <x:c r="F1228" t="str">
        <x:f>IF(E1228&gt;=WORKDAY.INTL(EOMONTH(E1228,0)+1,-2,1,FERIADOS!$A$2:$A$250),"SÍ","NO")</x:f>
        <x:v>NO</x:v>
      </x:c>
      <x:c r="G1228" s="10" t="n">
        <x:f>IF(F1228="SÍ",EOMONTH(E1228,0)+1,DATE(YEAR(E1228),MONTH(E1228),1))</x:f>
        <x:v>46874</x:v>
      </x:c>
      <x:c r="H1228" t="str">
        <x:f>IF(D1228="NO",IF(C1228="SÍ","FERIADO","FIN DE SEMANA"),"LABORABLE")&amp;IF(F1228="SÍ"," + CIERRE","")</x:f>
        <x:v>LABORABLE</x:v>
      </x:c>
      <x:c r="I1228" t="str">
        <x:f>TEXT(G1228,"yyyy-mm")</x:f>
        <x:v>2028-05</x:v>
      </x:c>
    </x:row>
    <x:row r="1229" ht="19" customHeight="1">
      <x:c r="A1229" s="2" t="n">
        <x:v>46885</x:v>
      </x:c>
      <x:c r="B1229" t="str">
        <x:f>CHOOSE(WEEKDAY(A1229,2),"Lunes","Martes","Miércoles","Jueves","Viernes","Sábado","Domingo")</x:f>
        <x:v>Viernes</x:v>
      </x:c>
      <x:c r="C1229" t="str">
        <x:f>IF(COUNTIF(FERIADOS!$A$2:$A$250,A1229)&gt;0,"SÍ","NO")</x:f>
        <x:v>NO</x:v>
      </x:c>
      <x:c r="D1229" t="str">
        <x:f>IF(AND(WEEKDAY(A1229,2)&lt;=5,C1229="NO"),"SÍ","NO")</x:f>
        <x:v>SÍ</x:v>
      </x:c>
      <x:c r="E1229" s="2" t="n">
        <x:f>WORKDAY.INTL(A1229-1,1,1,FERIADOS!$A$2:$A$250)</x:f>
        <x:v>46885</x:v>
      </x:c>
      <x:c r="F1229" t="str">
        <x:f>IF(E1229&gt;=WORKDAY.INTL(EOMONTH(E1229,0)+1,-2,1,FERIADOS!$A$2:$A$250),"SÍ","NO")</x:f>
        <x:v>NO</x:v>
      </x:c>
      <x:c r="G1229" s="10" t="n">
        <x:f>IF(F1229="SÍ",EOMONTH(E1229,0)+1,DATE(YEAR(E1229),MONTH(E1229),1))</x:f>
        <x:v>46874</x:v>
      </x:c>
      <x:c r="H1229" t="str">
        <x:f>IF(D1229="NO",IF(C1229="SÍ","FERIADO","FIN DE SEMANA"),"LABORABLE")&amp;IF(F1229="SÍ"," + CIERRE","")</x:f>
        <x:v>LABORABLE</x:v>
      </x:c>
      <x:c r="I1229" t="str">
        <x:f>TEXT(G1229,"yyyy-mm")</x:f>
        <x:v>2028-05</x:v>
      </x:c>
    </x:row>
    <x:row r="1230" ht="19" customHeight="1">
      <x:c r="A1230" s="2" t="n">
        <x:v>46886</x:v>
      </x:c>
      <x:c r="B1230" t="str">
        <x:f>CHOOSE(WEEKDAY(A1230,2),"Lunes","Martes","Miércoles","Jueves","Viernes","Sábado","Domingo")</x:f>
        <x:v>Sábado</x:v>
      </x:c>
      <x:c r="C1230" t="str">
        <x:f>IF(COUNTIF(FERIADOS!$A$2:$A$250,A1230)&gt;0,"SÍ","NO")</x:f>
        <x:v>NO</x:v>
      </x:c>
      <x:c r="D1230" t="str">
        <x:f>IF(AND(WEEKDAY(A1230,2)&lt;=5,C1230="NO"),"SÍ","NO")</x:f>
        <x:v>NO</x:v>
      </x:c>
      <x:c r="E1230" s="2" t="n">
        <x:f>WORKDAY.INTL(A1230-1,1,1,FERIADOS!$A$2:$A$250)</x:f>
        <x:v>46888</x:v>
      </x:c>
      <x:c r="F1230" t="str">
        <x:f>IF(E1230&gt;=WORKDAY.INTL(EOMONTH(E1230,0)+1,-2,1,FERIADOS!$A$2:$A$250),"SÍ","NO")</x:f>
        <x:v>NO</x:v>
      </x:c>
      <x:c r="G1230" s="10" t="n">
        <x:f>IF(F1230="SÍ",EOMONTH(E1230,0)+1,DATE(YEAR(E1230),MONTH(E1230),1))</x:f>
        <x:v>46874</x:v>
      </x:c>
      <x:c r="H1230" t="str">
        <x:f>IF(D1230="NO",IF(C1230="SÍ","FERIADO","FIN DE SEMANA"),"LABORABLE")&amp;IF(F1230="SÍ"," + CIERRE","")</x:f>
        <x:v>FIN DE SEMANA</x:v>
      </x:c>
      <x:c r="I1230" t="str">
        <x:f>TEXT(G1230,"yyyy-mm")</x:f>
        <x:v>2028-05</x:v>
      </x:c>
    </x:row>
    <x:row r="1231" ht="19" customHeight="1">
      <x:c r="A1231" s="2" t="n">
        <x:v>46887</x:v>
      </x:c>
      <x:c r="B1231" t="str">
        <x:f>CHOOSE(WEEKDAY(A1231,2),"Lunes","Martes","Miércoles","Jueves","Viernes","Sábado","Domingo")</x:f>
        <x:v>Domingo</x:v>
      </x:c>
      <x:c r="C1231" t="str">
        <x:f>IF(COUNTIF(FERIADOS!$A$2:$A$250,A1231)&gt;0,"SÍ","NO")</x:f>
        <x:v>NO</x:v>
      </x:c>
      <x:c r="D1231" t="str">
        <x:f>IF(AND(WEEKDAY(A1231,2)&lt;=5,C1231="NO"),"SÍ","NO")</x:f>
        <x:v>NO</x:v>
      </x:c>
      <x:c r="E1231" s="2" t="n">
        <x:f>WORKDAY.INTL(A1231-1,1,1,FERIADOS!$A$2:$A$250)</x:f>
        <x:v>46888</x:v>
      </x:c>
      <x:c r="F1231" t="str">
        <x:f>IF(E1231&gt;=WORKDAY.INTL(EOMONTH(E1231,0)+1,-2,1,FERIADOS!$A$2:$A$250),"SÍ","NO")</x:f>
        <x:v>NO</x:v>
      </x:c>
      <x:c r="G1231" s="10" t="n">
        <x:f>IF(F1231="SÍ",EOMONTH(E1231,0)+1,DATE(YEAR(E1231),MONTH(E1231),1))</x:f>
        <x:v>46874</x:v>
      </x:c>
      <x:c r="H1231" t="str">
        <x:f>IF(D1231="NO",IF(C1231="SÍ","FERIADO","FIN DE SEMANA"),"LABORABLE")&amp;IF(F1231="SÍ"," + CIERRE","")</x:f>
        <x:v>FIN DE SEMANA</x:v>
      </x:c>
      <x:c r="I1231" t="str">
        <x:f>TEXT(G1231,"yyyy-mm")</x:f>
        <x:v>2028-05</x:v>
      </x:c>
    </x:row>
    <x:row r="1232" ht="19" customHeight="1">
      <x:c r="A1232" s="2" t="n">
        <x:v>46888</x:v>
      </x:c>
      <x:c r="B1232" t="str">
        <x:f>CHOOSE(WEEKDAY(A1232,2),"Lunes","Martes","Miércoles","Jueves","Viernes","Sábado","Domingo")</x:f>
        <x:v>Lunes</x:v>
      </x:c>
      <x:c r="C1232" t="str">
        <x:f>IF(COUNTIF(FERIADOS!$A$2:$A$250,A1232)&gt;0,"SÍ","NO")</x:f>
        <x:v>NO</x:v>
      </x:c>
      <x:c r="D1232" t="str">
        <x:f>IF(AND(WEEKDAY(A1232,2)&lt;=5,C1232="NO"),"SÍ","NO")</x:f>
        <x:v>SÍ</x:v>
      </x:c>
      <x:c r="E1232" s="2" t="n">
        <x:f>WORKDAY.INTL(A1232-1,1,1,FERIADOS!$A$2:$A$250)</x:f>
        <x:v>46888</x:v>
      </x:c>
      <x:c r="F1232" t="str">
        <x:f>IF(E1232&gt;=WORKDAY.INTL(EOMONTH(E1232,0)+1,-2,1,FERIADOS!$A$2:$A$250),"SÍ","NO")</x:f>
        <x:v>NO</x:v>
      </x:c>
      <x:c r="G1232" s="10" t="n">
        <x:f>IF(F1232="SÍ",EOMONTH(E1232,0)+1,DATE(YEAR(E1232),MONTH(E1232),1))</x:f>
        <x:v>46874</x:v>
      </x:c>
      <x:c r="H1232" t="str">
        <x:f>IF(D1232="NO",IF(C1232="SÍ","FERIADO","FIN DE SEMANA"),"LABORABLE")&amp;IF(F1232="SÍ"," + CIERRE","")</x:f>
        <x:v>LABORABLE</x:v>
      </x:c>
      <x:c r="I1232" t="str">
        <x:f>TEXT(G1232,"yyyy-mm")</x:f>
        <x:v>2028-05</x:v>
      </x:c>
    </x:row>
    <x:row r="1233" ht="19" customHeight="1">
      <x:c r="A1233" s="2" t="n">
        <x:v>46889</x:v>
      </x:c>
      <x:c r="B1233" t="str">
        <x:f>CHOOSE(WEEKDAY(A1233,2),"Lunes","Martes","Miércoles","Jueves","Viernes","Sábado","Domingo")</x:f>
        <x:v>Martes</x:v>
      </x:c>
      <x:c r="C1233" t="str">
        <x:f>IF(COUNTIF(FERIADOS!$A$2:$A$250,A1233)&gt;0,"SÍ","NO")</x:f>
        <x:v>NO</x:v>
      </x:c>
      <x:c r="D1233" t="str">
        <x:f>IF(AND(WEEKDAY(A1233,2)&lt;=5,C1233="NO"),"SÍ","NO")</x:f>
        <x:v>SÍ</x:v>
      </x:c>
      <x:c r="E1233" s="2" t="n">
        <x:f>WORKDAY.INTL(A1233-1,1,1,FERIADOS!$A$2:$A$250)</x:f>
        <x:v>46889</x:v>
      </x:c>
      <x:c r="F1233" t="str">
        <x:f>IF(E1233&gt;=WORKDAY.INTL(EOMONTH(E1233,0)+1,-2,1,FERIADOS!$A$2:$A$250),"SÍ","NO")</x:f>
        <x:v>NO</x:v>
      </x:c>
      <x:c r="G1233" s="10" t="n">
        <x:f>IF(F1233="SÍ",EOMONTH(E1233,0)+1,DATE(YEAR(E1233),MONTH(E1233),1))</x:f>
        <x:v>46874</x:v>
      </x:c>
      <x:c r="H1233" t="str">
        <x:f>IF(D1233="NO",IF(C1233="SÍ","FERIADO","FIN DE SEMANA"),"LABORABLE")&amp;IF(F1233="SÍ"," + CIERRE","")</x:f>
        <x:v>LABORABLE</x:v>
      </x:c>
      <x:c r="I1233" t="str">
        <x:f>TEXT(G1233,"yyyy-mm")</x:f>
        <x:v>2028-05</x:v>
      </x:c>
    </x:row>
    <x:row r="1234" ht="19" customHeight="1">
      <x:c r="A1234" s="2" t="n">
        <x:v>46890</x:v>
      </x:c>
      <x:c r="B1234" t="str">
        <x:f>CHOOSE(WEEKDAY(A1234,2),"Lunes","Martes","Miércoles","Jueves","Viernes","Sábado","Domingo")</x:f>
        <x:v>Miércoles</x:v>
      </x:c>
      <x:c r="C1234" t="str">
        <x:f>IF(COUNTIF(FERIADOS!$A$2:$A$250,A1234)&gt;0,"SÍ","NO")</x:f>
        <x:v>NO</x:v>
      </x:c>
      <x:c r="D1234" t="str">
        <x:f>IF(AND(WEEKDAY(A1234,2)&lt;=5,C1234="NO"),"SÍ","NO")</x:f>
        <x:v>SÍ</x:v>
      </x:c>
      <x:c r="E1234" s="2" t="n">
        <x:f>WORKDAY.INTL(A1234-1,1,1,FERIADOS!$A$2:$A$250)</x:f>
        <x:v>46890</x:v>
      </x:c>
      <x:c r="F1234" t="str">
        <x:f>IF(E1234&gt;=WORKDAY.INTL(EOMONTH(E1234,0)+1,-2,1,FERIADOS!$A$2:$A$250),"SÍ","NO")</x:f>
        <x:v>NO</x:v>
      </x:c>
      <x:c r="G1234" s="10" t="n">
        <x:f>IF(F1234="SÍ",EOMONTH(E1234,0)+1,DATE(YEAR(E1234),MONTH(E1234),1))</x:f>
        <x:v>46874</x:v>
      </x:c>
      <x:c r="H1234" t="str">
        <x:f>IF(D1234="NO",IF(C1234="SÍ","FERIADO","FIN DE SEMANA"),"LABORABLE")&amp;IF(F1234="SÍ"," + CIERRE","")</x:f>
        <x:v>LABORABLE</x:v>
      </x:c>
      <x:c r="I1234" t="str">
        <x:f>TEXT(G1234,"yyyy-mm")</x:f>
        <x:v>2028-05</x:v>
      </x:c>
    </x:row>
    <x:row r="1235" ht="19" customHeight="1">
      <x:c r="A1235" s="2" t="n">
        <x:v>46891</x:v>
      </x:c>
      <x:c r="B1235" t="str">
        <x:f>CHOOSE(WEEKDAY(A1235,2),"Lunes","Martes","Miércoles","Jueves","Viernes","Sábado","Domingo")</x:f>
        <x:v>Jueves</x:v>
      </x:c>
      <x:c r="C1235" t="str">
        <x:f>IF(COUNTIF(FERIADOS!$A$2:$A$250,A1235)&gt;0,"SÍ","NO")</x:f>
        <x:v>NO</x:v>
      </x:c>
      <x:c r="D1235" t="str">
        <x:f>IF(AND(WEEKDAY(A1235,2)&lt;=5,C1235="NO"),"SÍ","NO")</x:f>
        <x:v>SÍ</x:v>
      </x:c>
      <x:c r="E1235" s="2" t="n">
        <x:f>WORKDAY.INTL(A1235-1,1,1,FERIADOS!$A$2:$A$250)</x:f>
        <x:v>46891</x:v>
      </x:c>
      <x:c r="F1235" t="str">
        <x:f>IF(E1235&gt;=WORKDAY.INTL(EOMONTH(E1235,0)+1,-2,1,FERIADOS!$A$2:$A$250),"SÍ","NO")</x:f>
        <x:v>NO</x:v>
      </x:c>
      <x:c r="G1235" s="10" t="n">
        <x:f>IF(F1235="SÍ",EOMONTH(E1235,0)+1,DATE(YEAR(E1235),MONTH(E1235),1))</x:f>
        <x:v>46874</x:v>
      </x:c>
      <x:c r="H1235" t="str">
        <x:f>IF(D1235="NO",IF(C1235="SÍ","FERIADO","FIN DE SEMANA"),"LABORABLE")&amp;IF(F1235="SÍ"," + CIERRE","")</x:f>
        <x:v>LABORABLE</x:v>
      </x:c>
      <x:c r="I1235" t="str">
        <x:f>TEXT(G1235,"yyyy-mm")</x:f>
        <x:v>2028-05</x:v>
      </x:c>
    </x:row>
    <x:row r="1236" ht="19" customHeight="1">
      <x:c r="A1236" s="2" t="n">
        <x:v>46892</x:v>
      </x:c>
      <x:c r="B1236" t="str">
        <x:f>CHOOSE(WEEKDAY(A1236,2),"Lunes","Martes","Miércoles","Jueves","Viernes","Sábado","Domingo")</x:f>
        <x:v>Viernes</x:v>
      </x:c>
      <x:c r="C1236" t="str">
        <x:f>IF(COUNTIF(FERIADOS!$A$2:$A$250,A1236)&gt;0,"SÍ","NO")</x:f>
        <x:v>NO</x:v>
      </x:c>
      <x:c r="D1236" t="str">
        <x:f>IF(AND(WEEKDAY(A1236,2)&lt;=5,C1236="NO"),"SÍ","NO")</x:f>
        <x:v>SÍ</x:v>
      </x:c>
      <x:c r="E1236" s="2" t="n">
        <x:f>WORKDAY.INTL(A1236-1,1,1,FERIADOS!$A$2:$A$250)</x:f>
        <x:v>46892</x:v>
      </x:c>
      <x:c r="F1236" t="str">
        <x:f>IF(E1236&gt;=WORKDAY.INTL(EOMONTH(E1236,0)+1,-2,1,FERIADOS!$A$2:$A$250),"SÍ","NO")</x:f>
        <x:v>NO</x:v>
      </x:c>
      <x:c r="G1236" s="10" t="n">
        <x:f>IF(F1236="SÍ",EOMONTH(E1236,0)+1,DATE(YEAR(E1236),MONTH(E1236),1))</x:f>
        <x:v>46874</x:v>
      </x:c>
      <x:c r="H1236" t="str">
        <x:f>IF(D1236="NO",IF(C1236="SÍ","FERIADO","FIN DE SEMANA"),"LABORABLE")&amp;IF(F1236="SÍ"," + CIERRE","")</x:f>
        <x:v>LABORABLE</x:v>
      </x:c>
      <x:c r="I1236" t="str">
        <x:f>TEXT(G1236,"yyyy-mm")</x:f>
        <x:v>2028-05</x:v>
      </x:c>
    </x:row>
    <x:row r="1237" ht="19" customHeight="1">
      <x:c r="A1237" s="2" t="n">
        <x:v>46893</x:v>
      </x:c>
      <x:c r="B1237" t="str">
        <x:f>CHOOSE(WEEKDAY(A1237,2),"Lunes","Martes","Miércoles","Jueves","Viernes","Sábado","Domingo")</x:f>
        <x:v>Sábado</x:v>
      </x:c>
      <x:c r="C1237" t="str">
        <x:f>IF(COUNTIF(FERIADOS!$A$2:$A$250,A1237)&gt;0,"SÍ","NO")</x:f>
        <x:v>NO</x:v>
      </x:c>
      <x:c r="D1237" t="str">
        <x:f>IF(AND(WEEKDAY(A1237,2)&lt;=5,C1237="NO"),"SÍ","NO")</x:f>
        <x:v>NO</x:v>
      </x:c>
      <x:c r="E1237" s="2" t="n">
        <x:f>WORKDAY.INTL(A1237-1,1,1,FERIADOS!$A$2:$A$250)</x:f>
        <x:v>46895</x:v>
      </x:c>
      <x:c r="F1237" t="str">
        <x:f>IF(E1237&gt;=WORKDAY.INTL(EOMONTH(E1237,0)+1,-2,1,FERIADOS!$A$2:$A$250),"SÍ","NO")</x:f>
        <x:v>NO</x:v>
      </x:c>
      <x:c r="G1237" s="10" t="n">
        <x:f>IF(F1237="SÍ",EOMONTH(E1237,0)+1,DATE(YEAR(E1237),MONTH(E1237),1))</x:f>
        <x:v>46874</x:v>
      </x:c>
      <x:c r="H1237" t="str">
        <x:f>IF(D1237="NO",IF(C1237="SÍ","FERIADO","FIN DE SEMANA"),"LABORABLE")&amp;IF(F1237="SÍ"," + CIERRE","")</x:f>
        <x:v>FIN DE SEMANA</x:v>
      </x:c>
      <x:c r="I1237" t="str">
        <x:f>TEXT(G1237,"yyyy-mm")</x:f>
        <x:v>2028-05</x:v>
      </x:c>
    </x:row>
    <x:row r="1238" ht="19" customHeight="1">
      <x:c r="A1238" s="2" t="n">
        <x:v>46894</x:v>
      </x:c>
      <x:c r="B1238" t="str">
        <x:f>CHOOSE(WEEKDAY(A1238,2),"Lunes","Martes","Miércoles","Jueves","Viernes","Sábado","Domingo")</x:f>
        <x:v>Domingo</x:v>
      </x:c>
      <x:c r="C1238" t="str">
        <x:f>IF(COUNTIF(FERIADOS!$A$2:$A$250,A1238)&gt;0,"SÍ","NO")</x:f>
        <x:v>NO</x:v>
      </x:c>
      <x:c r="D1238" t="str">
        <x:f>IF(AND(WEEKDAY(A1238,2)&lt;=5,C1238="NO"),"SÍ","NO")</x:f>
        <x:v>NO</x:v>
      </x:c>
      <x:c r="E1238" s="2" t="n">
        <x:f>WORKDAY.INTL(A1238-1,1,1,FERIADOS!$A$2:$A$250)</x:f>
        <x:v>46895</x:v>
      </x:c>
      <x:c r="F1238" t="str">
        <x:f>IF(E1238&gt;=WORKDAY.INTL(EOMONTH(E1238,0)+1,-2,1,FERIADOS!$A$2:$A$250),"SÍ","NO")</x:f>
        <x:v>NO</x:v>
      </x:c>
      <x:c r="G1238" s="10" t="n">
        <x:f>IF(F1238="SÍ",EOMONTH(E1238,0)+1,DATE(YEAR(E1238),MONTH(E1238),1))</x:f>
        <x:v>46874</x:v>
      </x:c>
      <x:c r="H1238" t="str">
        <x:f>IF(D1238="NO",IF(C1238="SÍ","FERIADO","FIN DE SEMANA"),"LABORABLE")&amp;IF(F1238="SÍ"," + CIERRE","")</x:f>
        <x:v>FIN DE SEMANA</x:v>
      </x:c>
      <x:c r="I1238" t="str">
        <x:f>TEXT(G1238,"yyyy-mm")</x:f>
        <x:v>2028-05</x:v>
      </x:c>
    </x:row>
    <x:row r="1239" ht="19" customHeight="1">
      <x:c r="A1239" s="2" t="n">
        <x:v>46895</x:v>
      </x:c>
      <x:c r="B1239" t="str">
        <x:f>CHOOSE(WEEKDAY(A1239,2),"Lunes","Martes","Miércoles","Jueves","Viernes","Sábado","Domingo")</x:f>
        <x:v>Lunes</x:v>
      </x:c>
      <x:c r="C1239" t="str">
        <x:f>IF(COUNTIF(FERIADOS!$A$2:$A$250,A1239)&gt;0,"SÍ","NO")</x:f>
        <x:v>NO</x:v>
      </x:c>
      <x:c r="D1239" t="str">
        <x:f>IF(AND(WEEKDAY(A1239,2)&lt;=5,C1239="NO"),"SÍ","NO")</x:f>
        <x:v>SÍ</x:v>
      </x:c>
      <x:c r="E1239" s="2" t="n">
        <x:f>WORKDAY.INTL(A1239-1,1,1,FERIADOS!$A$2:$A$250)</x:f>
        <x:v>46895</x:v>
      </x:c>
      <x:c r="F1239" t="str">
        <x:f>IF(E1239&gt;=WORKDAY.INTL(EOMONTH(E1239,0)+1,-2,1,FERIADOS!$A$2:$A$250),"SÍ","NO")</x:f>
        <x:v>NO</x:v>
      </x:c>
      <x:c r="G1239" s="10" t="n">
        <x:f>IF(F1239="SÍ",EOMONTH(E1239,0)+1,DATE(YEAR(E1239),MONTH(E1239),1))</x:f>
        <x:v>46874</x:v>
      </x:c>
      <x:c r="H1239" t="str">
        <x:f>IF(D1239="NO",IF(C1239="SÍ","FERIADO","FIN DE SEMANA"),"LABORABLE")&amp;IF(F1239="SÍ"," + CIERRE","")</x:f>
        <x:v>LABORABLE</x:v>
      </x:c>
      <x:c r="I1239" t="str">
        <x:f>TEXT(G1239,"yyyy-mm")</x:f>
        <x:v>2028-05</x:v>
      </x:c>
    </x:row>
    <x:row r="1240" ht="19" customHeight="1">
      <x:c r="A1240" s="2" t="n">
        <x:v>46896</x:v>
      </x:c>
      <x:c r="B1240" t="str">
        <x:f>CHOOSE(WEEKDAY(A1240,2),"Lunes","Martes","Miércoles","Jueves","Viernes","Sábado","Domingo")</x:f>
        <x:v>Martes</x:v>
      </x:c>
      <x:c r="C1240" t="str">
        <x:f>IF(COUNTIF(FERIADOS!$A$2:$A$250,A1240)&gt;0,"SÍ","NO")</x:f>
        <x:v>NO</x:v>
      </x:c>
      <x:c r="D1240" t="str">
        <x:f>IF(AND(WEEKDAY(A1240,2)&lt;=5,C1240="NO"),"SÍ","NO")</x:f>
        <x:v>SÍ</x:v>
      </x:c>
      <x:c r="E1240" s="2" t="n">
        <x:f>WORKDAY.INTL(A1240-1,1,1,FERIADOS!$A$2:$A$250)</x:f>
        <x:v>46896</x:v>
      </x:c>
      <x:c r="F1240" t="str">
        <x:f>IF(E1240&gt;=WORKDAY.INTL(EOMONTH(E1240,0)+1,-2,1,FERIADOS!$A$2:$A$250),"SÍ","NO")</x:f>
        <x:v>NO</x:v>
      </x:c>
      <x:c r="G1240" s="10" t="n">
        <x:f>IF(F1240="SÍ",EOMONTH(E1240,0)+1,DATE(YEAR(E1240),MONTH(E1240),1))</x:f>
        <x:v>46874</x:v>
      </x:c>
      <x:c r="H1240" t="str">
        <x:f>IF(D1240="NO",IF(C1240="SÍ","FERIADO","FIN DE SEMANA"),"LABORABLE")&amp;IF(F1240="SÍ"," + CIERRE","")</x:f>
        <x:v>LABORABLE</x:v>
      </x:c>
      <x:c r="I1240" t="str">
        <x:f>TEXT(G1240,"yyyy-mm")</x:f>
        <x:v>2028-05</x:v>
      </x:c>
    </x:row>
    <x:row r="1241" ht="19" customHeight="1">
      <x:c r="A1241" s="2" t="n">
        <x:v>46897</x:v>
      </x:c>
      <x:c r="B1241" t="str">
        <x:f>CHOOSE(WEEKDAY(A1241,2),"Lunes","Martes","Miércoles","Jueves","Viernes","Sábado","Domingo")</x:f>
        <x:v>Miércoles</x:v>
      </x:c>
      <x:c r="C1241" t="str">
        <x:f>IF(COUNTIF(FERIADOS!$A$2:$A$250,A1241)&gt;0,"SÍ","NO")</x:f>
        <x:v>NO</x:v>
      </x:c>
      <x:c r="D1241" t="str">
        <x:f>IF(AND(WEEKDAY(A1241,2)&lt;=5,C1241="NO"),"SÍ","NO")</x:f>
        <x:v>SÍ</x:v>
      </x:c>
      <x:c r="E1241" s="2" t="n">
        <x:f>WORKDAY.INTL(A1241-1,1,1,FERIADOS!$A$2:$A$250)</x:f>
        <x:v>46897</x:v>
      </x:c>
      <x:c r="F1241" t="str">
        <x:f>IF(E1241&gt;=WORKDAY.INTL(EOMONTH(E1241,0)+1,-2,1,FERIADOS!$A$2:$A$250),"SÍ","NO")</x:f>
        <x:v>NO</x:v>
      </x:c>
      <x:c r="G1241" s="10" t="n">
        <x:f>IF(F1241="SÍ",EOMONTH(E1241,0)+1,DATE(YEAR(E1241),MONTH(E1241),1))</x:f>
        <x:v>46874</x:v>
      </x:c>
      <x:c r="H1241" t="str">
        <x:f>IF(D1241="NO",IF(C1241="SÍ","FERIADO","FIN DE SEMANA"),"LABORABLE")&amp;IF(F1241="SÍ"," + CIERRE","")</x:f>
        <x:v>LABORABLE</x:v>
      </x:c>
      <x:c r="I1241" t="str">
        <x:f>TEXT(G1241,"yyyy-mm")</x:f>
        <x:v>2028-05</x:v>
      </x:c>
    </x:row>
    <x:row r="1242" ht="19" customHeight="1">
      <x:c r="A1242" s="2" t="n">
        <x:v>46898</x:v>
      </x:c>
      <x:c r="B1242" t="str">
        <x:f>CHOOSE(WEEKDAY(A1242,2),"Lunes","Martes","Miércoles","Jueves","Viernes","Sábado","Domingo")</x:f>
        <x:v>Jueves</x:v>
      </x:c>
      <x:c r="C1242" t="str">
        <x:f>IF(COUNTIF(FERIADOS!$A$2:$A$250,A1242)&gt;0,"SÍ","NO")</x:f>
        <x:v>NO</x:v>
      </x:c>
      <x:c r="D1242" t="str">
        <x:f>IF(AND(WEEKDAY(A1242,2)&lt;=5,C1242="NO"),"SÍ","NO")</x:f>
        <x:v>SÍ</x:v>
      </x:c>
      <x:c r="E1242" s="2" t="n">
        <x:f>WORKDAY.INTL(A1242-1,1,1,FERIADOS!$A$2:$A$250)</x:f>
        <x:v>46898</x:v>
      </x:c>
      <x:c r="F1242" t="str">
        <x:f>IF(E1242&gt;=WORKDAY.INTL(EOMONTH(E1242,0)+1,-2,1,FERIADOS!$A$2:$A$250),"SÍ","NO")</x:f>
        <x:v>NO</x:v>
      </x:c>
      <x:c r="G1242" s="10" t="n">
        <x:f>IF(F1242="SÍ",EOMONTH(E1242,0)+1,DATE(YEAR(E1242),MONTH(E1242),1))</x:f>
        <x:v>46874</x:v>
      </x:c>
      <x:c r="H1242" t="str">
        <x:f>IF(D1242="NO",IF(C1242="SÍ","FERIADO","FIN DE SEMANA"),"LABORABLE")&amp;IF(F1242="SÍ"," + CIERRE","")</x:f>
        <x:v>LABORABLE</x:v>
      </x:c>
      <x:c r="I1242" t="str">
        <x:f>TEXT(G1242,"yyyy-mm")</x:f>
        <x:v>2028-05</x:v>
      </x:c>
    </x:row>
    <x:row r="1243" ht="19" customHeight="1">
      <x:c r="A1243" s="2" t="n">
        <x:v>46899</x:v>
      </x:c>
      <x:c r="B1243" t="str">
        <x:f>CHOOSE(WEEKDAY(A1243,2),"Lunes","Martes","Miércoles","Jueves","Viernes","Sábado","Domingo")</x:f>
        <x:v>Viernes</x:v>
      </x:c>
      <x:c r="C1243" t="str">
        <x:f>IF(COUNTIF(FERIADOS!$A$2:$A$250,A1243)&gt;0,"SÍ","NO")</x:f>
        <x:v>SÍ</x:v>
      </x:c>
      <x:c r="D1243" t="str">
        <x:f>IF(AND(WEEKDAY(A1243,2)&lt;=5,C1243="NO"),"SÍ","NO")</x:f>
        <x:v>NO</x:v>
      </x:c>
      <x:c r="E1243" s="2" t="n">
        <x:f>WORKDAY.INTL(A1243-1,1,1,FERIADOS!$A$2:$A$250)</x:f>
        <x:v>46902</x:v>
      </x:c>
      <x:c r="F1243" t="str">
        <x:f>IF(E1243&gt;=WORKDAY.INTL(EOMONTH(E1243,0)+1,-2,1,FERIADOS!$A$2:$A$250),"SÍ","NO")</x:f>
        <x:v>NO</x:v>
      </x:c>
      <x:c r="G1243" s="10" t="n">
        <x:f>IF(F1243="SÍ",EOMONTH(E1243,0)+1,DATE(YEAR(E1243),MONTH(E1243),1))</x:f>
        <x:v>46874</x:v>
      </x:c>
      <x:c r="H1243" t="str">
        <x:f>IF(D1243="NO",IF(C1243="SÍ","FERIADO","FIN DE SEMANA"),"LABORABLE")&amp;IF(F1243="SÍ"," + CIERRE","")</x:f>
        <x:v>FERIADO</x:v>
      </x:c>
      <x:c r="I1243" t="str">
        <x:f>TEXT(G1243,"yyyy-mm")</x:f>
        <x:v>2028-05</x:v>
      </x:c>
    </x:row>
    <x:row r="1244" ht="19" customHeight="1">
      <x:c r="A1244" s="2" t="n">
        <x:v>46900</x:v>
      </x:c>
      <x:c r="B1244" t="str">
        <x:f>CHOOSE(WEEKDAY(A1244,2),"Lunes","Martes","Miércoles","Jueves","Viernes","Sábado","Domingo")</x:f>
        <x:v>Sábado</x:v>
      </x:c>
      <x:c r="C1244" t="str">
        <x:f>IF(COUNTIF(FERIADOS!$A$2:$A$250,A1244)&gt;0,"SÍ","NO")</x:f>
        <x:v>NO</x:v>
      </x:c>
      <x:c r="D1244" t="str">
        <x:f>IF(AND(WEEKDAY(A1244,2)&lt;=5,C1244="NO"),"SÍ","NO")</x:f>
        <x:v>NO</x:v>
      </x:c>
      <x:c r="E1244" s="2" t="n">
        <x:f>WORKDAY.INTL(A1244-1,1,1,FERIADOS!$A$2:$A$250)</x:f>
        <x:v>46902</x:v>
      </x:c>
      <x:c r="F1244" t="str">
        <x:f>IF(E1244&gt;=WORKDAY.INTL(EOMONTH(E1244,0)+1,-2,1,FERIADOS!$A$2:$A$250),"SÍ","NO")</x:f>
        <x:v>NO</x:v>
      </x:c>
      <x:c r="G1244" s="10" t="n">
        <x:f>IF(F1244="SÍ",EOMONTH(E1244,0)+1,DATE(YEAR(E1244),MONTH(E1244),1))</x:f>
        <x:v>46874</x:v>
      </x:c>
      <x:c r="H1244" t="str">
        <x:f>IF(D1244="NO",IF(C1244="SÍ","FERIADO","FIN DE SEMANA"),"LABORABLE")&amp;IF(F1244="SÍ"," + CIERRE","")</x:f>
        <x:v>FIN DE SEMANA</x:v>
      </x:c>
      <x:c r="I1244" t="str">
        <x:f>TEXT(G1244,"yyyy-mm")</x:f>
        <x:v>2028-05</x:v>
      </x:c>
    </x:row>
    <x:row r="1245" ht="19" customHeight="1">
      <x:c r="A1245" s="2" t="n">
        <x:v>46901</x:v>
      </x:c>
      <x:c r="B1245" t="str">
        <x:f>CHOOSE(WEEKDAY(A1245,2),"Lunes","Martes","Miércoles","Jueves","Viernes","Sábado","Domingo")</x:f>
        <x:v>Domingo</x:v>
      </x:c>
      <x:c r="C1245" t="str">
        <x:f>IF(COUNTIF(FERIADOS!$A$2:$A$250,A1245)&gt;0,"SÍ","NO")</x:f>
        <x:v>NO</x:v>
      </x:c>
      <x:c r="D1245" t="str">
        <x:f>IF(AND(WEEKDAY(A1245,2)&lt;=5,C1245="NO"),"SÍ","NO")</x:f>
        <x:v>NO</x:v>
      </x:c>
      <x:c r="E1245" s="2" t="n">
        <x:f>WORKDAY.INTL(A1245-1,1,1,FERIADOS!$A$2:$A$250)</x:f>
        <x:v>46902</x:v>
      </x:c>
      <x:c r="F1245" t="str">
        <x:f>IF(E1245&gt;=WORKDAY.INTL(EOMONTH(E1245,0)+1,-2,1,FERIADOS!$A$2:$A$250),"SÍ","NO")</x:f>
        <x:v>NO</x:v>
      </x:c>
      <x:c r="G1245" s="10" t="n">
        <x:f>IF(F1245="SÍ",EOMONTH(E1245,0)+1,DATE(YEAR(E1245),MONTH(E1245),1))</x:f>
        <x:v>46874</x:v>
      </x:c>
      <x:c r="H1245" t="str">
        <x:f>IF(D1245="NO",IF(C1245="SÍ","FERIADO","FIN DE SEMANA"),"LABORABLE")&amp;IF(F1245="SÍ"," + CIERRE","")</x:f>
        <x:v>FIN DE SEMANA</x:v>
      </x:c>
      <x:c r="I1245" t="str">
        <x:f>TEXT(G1245,"yyyy-mm")</x:f>
        <x:v>2028-05</x:v>
      </x:c>
    </x:row>
    <x:row r="1246" ht="19" customHeight="1">
      <x:c r="A1246" s="2" t="n">
        <x:v>46902</x:v>
      </x:c>
      <x:c r="B1246" t="str">
        <x:f>CHOOSE(WEEKDAY(A1246,2),"Lunes","Martes","Miércoles","Jueves","Viernes","Sábado","Domingo")</x:f>
        <x:v>Lunes</x:v>
      </x:c>
      <x:c r="C1246" t="str">
        <x:f>IF(COUNTIF(FERIADOS!$A$2:$A$250,A1246)&gt;0,"SÍ","NO")</x:f>
        <x:v>NO</x:v>
      </x:c>
      <x:c r="D1246" t="str">
        <x:f>IF(AND(WEEKDAY(A1246,2)&lt;=5,C1246="NO"),"SÍ","NO")</x:f>
        <x:v>SÍ</x:v>
      </x:c>
      <x:c r="E1246" s="2" t="n">
        <x:f>WORKDAY.INTL(A1246-1,1,1,FERIADOS!$A$2:$A$250)</x:f>
        <x:v>46902</x:v>
      </x:c>
      <x:c r="F1246" t="str">
        <x:f>IF(E1246&gt;=WORKDAY.INTL(EOMONTH(E1246,0)+1,-2,1,FERIADOS!$A$2:$A$250),"SÍ","NO")</x:f>
        <x:v>NO</x:v>
      </x:c>
      <x:c r="G1246" s="10" t="n">
        <x:f>IF(F1246="SÍ",EOMONTH(E1246,0)+1,DATE(YEAR(E1246),MONTH(E1246),1))</x:f>
        <x:v>46874</x:v>
      </x:c>
      <x:c r="H1246" t="str">
        <x:f>IF(D1246="NO",IF(C1246="SÍ","FERIADO","FIN DE SEMANA"),"LABORABLE")&amp;IF(F1246="SÍ"," + CIERRE","")</x:f>
        <x:v>LABORABLE</x:v>
      </x:c>
      <x:c r="I1246" t="str">
        <x:f>TEXT(G1246,"yyyy-mm")</x:f>
        <x:v>2028-05</x:v>
      </x:c>
    </x:row>
    <x:row r="1247" ht="19" customHeight="1">
      <x:c r="A1247" s="2" t="n">
        <x:v>46903</x:v>
      </x:c>
      <x:c r="B1247" t="str">
        <x:f>CHOOSE(WEEKDAY(A1247,2),"Lunes","Martes","Miércoles","Jueves","Viernes","Sábado","Domingo")</x:f>
        <x:v>Martes</x:v>
      </x:c>
      <x:c r="C1247" t="str">
        <x:f>IF(COUNTIF(FERIADOS!$A$2:$A$250,A1247)&gt;0,"SÍ","NO")</x:f>
        <x:v>NO</x:v>
      </x:c>
      <x:c r="D1247" t="str">
        <x:f>IF(AND(WEEKDAY(A1247,2)&lt;=5,C1247="NO"),"SÍ","NO")</x:f>
        <x:v>SÍ</x:v>
      </x:c>
      <x:c r="E1247" s="2" t="n">
        <x:f>WORKDAY.INTL(A1247-1,1,1,FERIADOS!$A$2:$A$250)</x:f>
        <x:v>46903</x:v>
      </x:c>
      <x:c r="F1247" t="str">
        <x:f>IF(E1247&gt;=WORKDAY.INTL(EOMONTH(E1247,0)+1,-2,1,FERIADOS!$A$2:$A$250),"SÍ","NO")</x:f>
        <x:v>SÍ</x:v>
      </x:c>
      <x:c r="G1247" s="10" t="n">
        <x:f>IF(F1247="SÍ",EOMONTH(E1247,0)+1,DATE(YEAR(E1247),MONTH(E1247),1))</x:f>
        <x:v>46905</x:v>
      </x:c>
      <x:c r="H1247" t="str">
        <x:f>IF(D1247="NO",IF(C1247="SÍ","FERIADO","FIN DE SEMANA"),"LABORABLE")&amp;IF(F1247="SÍ"," + CIERRE","")</x:f>
        <x:v>LABORABLE + CIERRE</x:v>
      </x:c>
      <x:c r="I1247" t="str">
        <x:f>TEXT(G1247,"yyyy-mm")</x:f>
        <x:v>2028-06</x:v>
      </x:c>
    </x:row>
    <x:row r="1248" ht="19" customHeight="1">
      <x:c r="A1248" s="2" t="n">
        <x:v>46904</x:v>
      </x:c>
      <x:c r="B1248" t="str">
        <x:f>CHOOSE(WEEKDAY(A1248,2),"Lunes","Martes","Miércoles","Jueves","Viernes","Sábado","Domingo")</x:f>
        <x:v>Miércoles</x:v>
      </x:c>
      <x:c r="C1248" t="str">
        <x:f>IF(COUNTIF(FERIADOS!$A$2:$A$250,A1248)&gt;0,"SÍ","NO")</x:f>
        <x:v>NO</x:v>
      </x:c>
      <x:c r="D1248" t="str">
        <x:f>IF(AND(WEEKDAY(A1248,2)&lt;=5,C1248="NO"),"SÍ","NO")</x:f>
        <x:v>SÍ</x:v>
      </x:c>
      <x:c r="E1248" s="2" t="n">
        <x:f>WORKDAY.INTL(A1248-1,1,1,FERIADOS!$A$2:$A$250)</x:f>
        <x:v>46904</x:v>
      </x:c>
      <x:c r="F1248" t="str">
        <x:f>IF(E1248&gt;=WORKDAY.INTL(EOMONTH(E1248,0)+1,-2,1,FERIADOS!$A$2:$A$250),"SÍ","NO")</x:f>
        <x:v>SÍ</x:v>
      </x:c>
      <x:c r="G1248" s="10" t="n">
        <x:f>IF(F1248="SÍ",EOMONTH(E1248,0)+1,DATE(YEAR(E1248),MONTH(E1248),1))</x:f>
        <x:v>46905</x:v>
      </x:c>
      <x:c r="H1248" t="str">
        <x:f>IF(D1248="NO",IF(C1248="SÍ","FERIADO","FIN DE SEMANA"),"LABORABLE")&amp;IF(F1248="SÍ"," + CIERRE","")</x:f>
        <x:v>LABORABLE + CIERRE</x:v>
      </x:c>
      <x:c r="I1248" t="str">
        <x:f>TEXT(G1248,"yyyy-mm")</x:f>
        <x:v>2028-06</x:v>
      </x:c>
    </x:row>
    <x:row r="1249" ht="19" customHeight="1">
      <x:c r="A1249" s="2" t="n">
        <x:v>46905</x:v>
      </x:c>
      <x:c r="B1249" t="str">
        <x:f>CHOOSE(WEEKDAY(A1249,2),"Lunes","Martes","Miércoles","Jueves","Viernes","Sábado","Domingo")</x:f>
        <x:v>Jueves</x:v>
      </x:c>
      <x:c r="C1249" t="str">
        <x:f>IF(COUNTIF(FERIADOS!$A$2:$A$250,A1249)&gt;0,"SÍ","NO")</x:f>
        <x:v>NO</x:v>
      </x:c>
      <x:c r="D1249" t="str">
        <x:f>IF(AND(WEEKDAY(A1249,2)&lt;=5,C1249="NO"),"SÍ","NO")</x:f>
        <x:v>SÍ</x:v>
      </x:c>
      <x:c r="E1249" s="2" t="n">
        <x:f>WORKDAY.INTL(A1249-1,1,1,FERIADOS!$A$2:$A$250)</x:f>
        <x:v>46905</x:v>
      </x:c>
      <x:c r="F1249" t="str">
        <x:f>IF(E1249&gt;=WORKDAY.INTL(EOMONTH(E1249,0)+1,-2,1,FERIADOS!$A$2:$A$250),"SÍ","NO")</x:f>
        <x:v>NO</x:v>
      </x:c>
      <x:c r="G1249" s="10" t="n">
        <x:f>IF(F1249="SÍ",EOMONTH(E1249,0)+1,DATE(YEAR(E1249),MONTH(E1249),1))</x:f>
        <x:v>46905</x:v>
      </x:c>
      <x:c r="H1249" t="str">
        <x:f>IF(D1249="NO",IF(C1249="SÍ","FERIADO","FIN DE SEMANA"),"LABORABLE")&amp;IF(F1249="SÍ"," + CIERRE","")</x:f>
        <x:v>LABORABLE</x:v>
      </x:c>
      <x:c r="I1249" t="str">
        <x:f>TEXT(G1249,"yyyy-mm")</x:f>
        <x:v>2028-06</x:v>
      </x:c>
    </x:row>
    <x:row r="1250" ht="19" customHeight="1">
      <x:c r="A1250" s="2" t="n">
        <x:v>46906</x:v>
      </x:c>
      <x:c r="B1250" t="str">
        <x:f>CHOOSE(WEEKDAY(A1250,2),"Lunes","Martes","Miércoles","Jueves","Viernes","Sábado","Domingo")</x:f>
        <x:v>Viernes</x:v>
      </x:c>
      <x:c r="C1250" t="str">
        <x:f>IF(COUNTIF(FERIADOS!$A$2:$A$250,A1250)&gt;0,"SÍ","NO")</x:f>
        <x:v>NO</x:v>
      </x:c>
      <x:c r="D1250" t="str">
        <x:f>IF(AND(WEEKDAY(A1250,2)&lt;=5,C1250="NO"),"SÍ","NO")</x:f>
        <x:v>SÍ</x:v>
      </x:c>
      <x:c r="E1250" s="2" t="n">
        <x:f>WORKDAY.INTL(A1250-1,1,1,FERIADOS!$A$2:$A$250)</x:f>
        <x:v>46906</x:v>
      </x:c>
      <x:c r="F1250" t="str">
        <x:f>IF(E1250&gt;=WORKDAY.INTL(EOMONTH(E1250,0)+1,-2,1,FERIADOS!$A$2:$A$250),"SÍ","NO")</x:f>
        <x:v>NO</x:v>
      </x:c>
      <x:c r="G1250" s="10" t="n">
        <x:f>IF(F1250="SÍ",EOMONTH(E1250,0)+1,DATE(YEAR(E1250),MONTH(E1250),1))</x:f>
        <x:v>46905</x:v>
      </x:c>
      <x:c r="H1250" t="str">
        <x:f>IF(D1250="NO",IF(C1250="SÍ","FERIADO","FIN DE SEMANA"),"LABORABLE")&amp;IF(F1250="SÍ"," + CIERRE","")</x:f>
        <x:v>LABORABLE</x:v>
      </x:c>
      <x:c r="I1250" t="str">
        <x:f>TEXT(G1250,"yyyy-mm")</x:f>
        <x:v>2028-06</x:v>
      </x:c>
    </x:row>
    <x:row r="1251" ht="19" customHeight="1">
      <x:c r="A1251" s="2" t="n">
        <x:v>46907</x:v>
      </x:c>
      <x:c r="B1251" t="str">
        <x:f>CHOOSE(WEEKDAY(A1251,2),"Lunes","Martes","Miércoles","Jueves","Viernes","Sábado","Domingo")</x:f>
        <x:v>Sábado</x:v>
      </x:c>
      <x:c r="C1251" t="str">
        <x:f>IF(COUNTIF(FERIADOS!$A$2:$A$250,A1251)&gt;0,"SÍ","NO")</x:f>
        <x:v>NO</x:v>
      </x:c>
      <x:c r="D1251" t="str">
        <x:f>IF(AND(WEEKDAY(A1251,2)&lt;=5,C1251="NO"),"SÍ","NO")</x:f>
        <x:v>NO</x:v>
      </x:c>
      <x:c r="E1251" s="2" t="n">
        <x:f>WORKDAY.INTL(A1251-1,1,1,FERIADOS!$A$2:$A$250)</x:f>
        <x:v>46909</x:v>
      </x:c>
      <x:c r="F1251" t="str">
        <x:f>IF(E1251&gt;=WORKDAY.INTL(EOMONTH(E1251,0)+1,-2,1,FERIADOS!$A$2:$A$250),"SÍ","NO")</x:f>
        <x:v>NO</x:v>
      </x:c>
      <x:c r="G1251" s="10" t="n">
        <x:f>IF(F1251="SÍ",EOMONTH(E1251,0)+1,DATE(YEAR(E1251),MONTH(E1251),1))</x:f>
        <x:v>46905</x:v>
      </x:c>
      <x:c r="H1251" t="str">
        <x:f>IF(D1251="NO",IF(C1251="SÍ","FERIADO","FIN DE SEMANA"),"LABORABLE")&amp;IF(F1251="SÍ"," + CIERRE","")</x:f>
        <x:v>FIN DE SEMANA</x:v>
      </x:c>
      <x:c r="I1251" t="str">
        <x:f>TEXT(G1251,"yyyy-mm")</x:f>
        <x:v>2028-06</x:v>
      </x:c>
    </x:row>
    <x:row r="1252" ht="19" customHeight="1">
      <x:c r="A1252" s="2" t="n">
        <x:v>46908</x:v>
      </x:c>
      <x:c r="B1252" t="str">
        <x:f>CHOOSE(WEEKDAY(A1252,2),"Lunes","Martes","Miércoles","Jueves","Viernes","Sábado","Domingo")</x:f>
        <x:v>Domingo</x:v>
      </x:c>
      <x:c r="C1252" t="str">
        <x:f>IF(COUNTIF(FERIADOS!$A$2:$A$250,A1252)&gt;0,"SÍ","NO")</x:f>
        <x:v>NO</x:v>
      </x:c>
      <x:c r="D1252" t="str">
        <x:f>IF(AND(WEEKDAY(A1252,2)&lt;=5,C1252="NO"),"SÍ","NO")</x:f>
        <x:v>NO</x:v>
      </x:c>
      <x:c r="E1252" s="2" t="n">
        <x:f>WORKDAY.INTL(A1252-1,1,1,FERIADOS!$A$2:$A$250)</x:f>
        <x:v>46909</x:v>
      </x:c>
      <x:c r="F1252" t="str">
        <x:f>IF(E1252&gt;=WORKDAY.INTL(EOMONTH(E1252,0)+1,-2,1,FERIADOS!$A$2:$A$250),"SÍ","NO")</x:f>
        <x:v>NO</x:v>
      </x:c>
      <x:c r="G1252" s="10" t="n">
        <x:f>IF(F1252="SÍ",EOMONTH(E1252,0)+1,DATE(YEAR(E1252),MONTH(E1252),1))</x:f>
        <x:v>46905</x:v>
      </x:c>
      <x:c r="H1252" t="str">
        <x:f>IF(D1252="NO",IF(C1252="SÍ","FERIADO","FIN DE SEMANA"),"LABORABLE")&amp;IF(F1252="SÍ"," + CIERRE","")</x:f>
        <x:v>FIN DE SEMANA</x:v>
      </x:c>
      <x:c r="I1252" t="str">
        <x:f>TEXT(G1252,"yyyy-mm")</x:f>
        <x:v>2028-06</x:v>
      </x:c>
    </x:row>
    <x:row r="1253" ht="19" customHeight="1">
      <x:c r="A1253" s="2" t="n">
        <x:v>46909</x:v>
      </x:c>
      <x:c r="B1253" t="str">
        <x:f>CHOOSE(WEEKDAY(A1253,2),"Lunes","Martes","Miércoles","Jueves","Viernes","Sábado","Domingo")</x:f>
        <x:v>Lunes</x:v>
      </x:c>
      <x:c r="C1253" t="str">
        <x:f>IF(COUNTIF(FERIADOS!$A$2:$A$250,A1253)&gt;0,"SÍ","NO")</x:f>
        <x:v>NO</x:v>
      </x:c>
      <x:c r="D1253" t="str">
        <x:f>IF(AND(WEEKDAY(A1253,2)&lt;=5,C1253="NO"),"SÍ","NO")</x:f>
        <x:v>SÍ</x:v>
      </x:c>
      <x:c r="E1253" s="2" t="n">
        <x:f>WORKDAY.INTL(A1253-1,1,1,FERIADOS!$A$2:$A$250)</x:f>
        <x:v>46909</x:v>
      </x:c>
      <x:c r="F1253" t="str">
        <x:f>IF(E1253&gt;=WORKDAY.INTL(EOMONTH(E1253,0)+1,-2,1,FERIADOS!$A$2:$A$250),"SÍ","NO")</x:f>
        <x:v>NO</x:v>
      </x:c>
      <x:c r="G1253" s="10" t="n">
        <x:f>IF(F1253="SÍ",EOMONTH(E1253,0)+1,DATE(YEAR(E1253),MONTH(E1253),1))</x:f>
        <x:v>46905</x:v>
      </x:c>
      <x:c r="H1253" t="str">
        <x:f>IF(D1253="NO",IF(C1253="SÍ","FERIADO","FIN DE SEMANA"),"LABORABLE")&amp;IF(F1253="SÍ"," + CIERRE","")</x:f>
        <x:v>LABORABLE</x:v>
      </x:c>
      <x:c r="I1253" t="str">
        <x:f>TEXT(G1253,"yyyy-mm")</x:f>
        <x:v>2028-06</x:v>
      </x:c>
    </x:row>
    <x:row r="1254" ht="19" customHeight="1">
      <x:c r="A1254" s="2" t="n">
        <x:v>46910</x:v>
      </x:c>
      <x:c r="B1254" t="str">
        <x:f>CHOOSE(WEEKDAY(A1254,2),"Lunes","Martes","Miércoles","Jueves","Viernes","Sábado","Domingo")</x:f>
        <x:v>Martes</x:v>
      </x:c>
      <x:c r="C1254" t="str">
        <x:f>IF(COUNTIF(FERIADOS!$A$2:$A$250,A1254)&gt;0,"SÍ","NO")</x:f>
        <x:v>NO</x:v>
      </x:c>
      <x:c r="D1254" t="str">
        <x:f>IF(AND(WEEKDAY(A1254,2)&lt;=5,C1254="NO"),"SÍ","NO")</x:f>
        <x:v>SÍ</x:v>
      </x:c>
      <x:c r="E1254" s="2" t="n">
        <x:f>WORKDAY.INTL(A1254-1,1,1,FERIADOS!$A$2:$A$250)</x:f>
        <x:v>46910</x:v>
      </x:c>
      <x:c r="F1254" t="str">
        <x:f>IF(E1254&gt;=WORKDAY.INTL(EOMONTH(E1254,0)+1,-2,1,FERIADOS!$A$2:$A$250),"SÍ","NO")</x:f>
        <x:v>NO</x:v>
      </x:c>
      <x:c r="G1254" s="10" t="n">
        <x:f>IF(F1254="SÍ",EOMONTH(E1254,0)+1,DATE(YEAR(E1254),MONTH(E1254),1))</x:f>
        <x:v>46905</x:v>
      </x:c>
      <x:c r="H1254" t="str">
        <x:f>IF(D1254="NO",IF(C1254="SÍ","FERIADO","FIN DE SEMANA"),"LABORABLE")&amp;IF(F1254="SÍ"," + CIERRE","")</x:f>
        <x:v>LABORABLE</x:v>
      </x:c>
      <x:c r="I1254" t="str">
        <x:f>TEXT(G1254,"yyyy-mm")</x:f>
        <x:v>2028-06</x:v>
      </x:c>
    </x:row>
    <x:row r="1255" ht="19" customHeight="1">
      <x:c r="A1255" s="2" t="n">
        <x:v>46911</x:v>
      </x:c>
      <x:c r="B1255" t="str">
        <x:f>CHOOSE(WEEKDAY(A1255,2),"Lunes","Martes","Miércoles","Jueves","Viernes","Sábado","Domingo")</x:f>
        <x:v>Miércoles</x:v>
      </x:c>
      <x:c r="C1255" t="str">
        <x:f>IF(COUNTIF(FERIADOS!$A$2:$A$250,A1255)&gt;0,"SÍ","NO")</x:f>
        <x:v>NO</x:v>
      </x:c>
      <x:c r="D1255" t="str">
        <x:f>IF(AND(WEEKDAY(A1255,2)&lt;=5,C1255="NO"),"SÍ","NO")</x:f>
        <x:v>SÍ</x:v>
      </x:c>
      <x:c r="E1255" s="2" t="n">
        <x:f>WORKDAY.INTL(A1255-1,1,1,FERIADOS!$A$2:$A$250)</x:f>
        <x:v>46911</x:v>
      </x:c>
      <x:c r="F1255" t="str">
        <x:f>IF(E1255&gt;=WORKDAY.INTL(EOMONTH(E1255,0)+1,-2,1,FERIADOS!$A$2:$A$250),"SÍ","NO")</x:f>
        <x:v>NO</x:v>
      </x:c>
      <x:c r="G1255" s="10" t="n">
        <x:f>IF(F1255="SÍ",EOMONTH(E1255,0)+1,DATE(YEAR(E1255),MONTH(E1255),1))</x:f>
        <x:v>46905</x:v>
      </x:c>
      <x:c r="H1255" t="str">
        <x:f>IF(D1255="NO",IF(C1255="SÍ","FERIADO","FIN DE SEMANA"),"LABORABLE")&amp;IF(F1255="SÍ"," + CIERRE","")</x:f>
        <x:v>LABORABLE</x:v>
      </x:c>
      <x:c r="I1255" t="str">
        <x:f>TEXT(G1255,"yyyy-mm")</x:f>
        <x:v>2028-06</x:v>
      </x:c>
    </x:row>
    <x:row r="1256" ht="19" customHeight="1">
      <x:c r="A1256" s="2" t="n">
        <x:v>46912</x:v>
      </x:c>
      <x:c r="B1256" t="str">
        <x:f>CHOOSE(WEEKDAY(A1256,2),"Lunes","Martes","Miércoles","Jueves","Viernes","Sábado","Domingo")</x:f>
        <x:v>Jueves</x:v>
      </x:c>
      <x:c r="C1256" t="str">
        <x:f>IF(COUNTIF(FERIADOS!$A$2:$A$250,A1256)&gt;0,"SÍ","NO")</x:f>
        <x:v>NO</x:v>
      </x:c>
      <x:c r="D1256" t="str">
        <x:f>IF(AND(WEEKDAY(A1256,2)&lt;=5,C1256="NO"),"SÍ","NO")</x:f>
        <x:v>SÍ</x:v>
      </x:c>
      <x:c r="E1256" s="2" t="n">
        <x:f>WORKDAY.INTL(A1256-1,1,1,FERIADOS!$A$2:$A$250)</x:f>
        <x:v>46912</x:v>
      </x:c>
      <x:c r="F1256" t="str">
        <x:f>IF(E1256&gt;=WORKDAY.INTL(EOMONTH(E1256,0)+1,-2,1,FERIADOS!$A$2:$A$250),"SÍ","NO")</x:f>
        <x:v>NO</x:v>
      </x:c>
      <x:c r="G1256" s="10" t="n">
        <x:f>IF(F1256="SÍ",EOMONTH(E1256,0)+1,DATE(YEAR(E1256),MONTH(E1256),1))</x:f>
        <x:v>46905</x:v>
      </x:c>
      <x:c r="H1256" t="str">
        <x:f>IF(D1256="NO",IF(C1256="SÍ","FERIADO","FIN DE SEMANA"),"LABORABLE")&amp;IF(F1256="SÍ"," + CIERRE","")</x:f>
        <x:v>LABORABLE</x:v>
      </x:c>
      <x:c r="I1256" t="str">
        <x:f>TEXT(G1256,"yyyy-mm")</x:f>
        <x:v>2028-06</x:v>
      </x:c>
    </x:row>
    <x:row r="1257" ht="19" customHeight="1">
      <x:c r="A1257" s="2" t="n">
        <x:v>46913</x:v>
      </x:c>
      <x:c r="B1257" t="str">
        <x:f>CHOOSE(WEEKDAY(A1257,2),"Lunes","Martes","Miércoles","Jueves","Viernes","Sábado","Domingo")</x:f>
        <x:v>Viernes</x:v>
      </x:c>
      <x:c r="C1257" t="str">
        <x:f>IF(COUNTIF(FERIADOS!$A$2:$A$250,A1257)&gt;0,"SÍ","NO")</x:f>
        <x:v>NO</x:v>
      </x:c>
      <x:c r="D1257" t="str">
        <x:f>IF(AND(WEEKDAY(A1257,2)&lt;=5,C1257="NO"),"SÍ","NO")</x:f>
        <x:v>SÍ</x:v>
      </x:c>
      <x:c r="E1257" s="2" t="n">
        <x:f>WORKDAY.INTL(A1257-1,1,1,FERIADOS!$A$2:$A$250)</x:f>
        <x:v>46913</x:v>
      </x:c>
      <x:c r="F1257" t="str">
        <x:f>IF(E1257&gt;=WORKDAY.INTL(EOMONTH(E1257,0)+1,-2,1,FERIADOS!$A$2:$A$250),"SÍ","NO")</x:f>
        <x:v>NO</x:v>
      </x:c>
      <x:c r="G1257" s="10" t="n">
        <x:f>IF(F1257="SÍ",EOMONTH(E1257,0)+1,DATE(YEAR(E1257),MONTH(E1257),1))</x:f>
        <x:v>46905</x:v>
      </x:c>
      <x:c r="H1257" t="str">
        <x:f>IF(D1257="NO",IF(C1257="SÍ","FERIADO","FIN DE SEMANA"),"LABORABLE")&amp;IF(F1257="SÍ"," + CIERRE","")</x:f>
        <x:v>LABORABLE</x:v>
      </x:c>
      <x:c r="I1257" t="str">
        <x:f>TEXT(G1257,"yyyy-mm")</x:f>
        <x:v>2028-06</x:v>
      </x:c>
    </x:row>
    <x:row r="1258" ht="19" customHeight="1">
      <x:c r="A1258" s="2" t="n">
        <x:v>46914</x:v>
      </x:c>
      <x:c r="B1258" t="str">
        <x:f>CHOOSE(WEEKDAY(A1258,2),"Lunes","Martes","Miércoles","Jueves","Viernes","Sábado","Domingo")</x:f>
        <x:v>Sábado</x:v>
      </x:c>
      <x:c r="C1258" t="str">
        <x:f>IF(COUNTIF(FERIADOS!$A$2:$A$250,A1258)&gt;0,"SÍ","NO")</x:f>
        <x:v>NO</x:v>
      </x:c>
      <x:c r="D1258" t="str">
        <x:f>IF(AND(WEEKDAY(A1258,2)&lt;=5,C1258="NO"),"SÍ","NO")</x:f>
        <x:v>NO</x:v>
      </x:c>
      <x:c r="E1258" s="2" t="n">
        <x:f>WORKDAY.INTL(A1258-1,1,1,FERIADOS!$A$2:$A$250)</x:f>
        <x:v>46916</x:v>
      </x:c>
      <x:c r="F1258" t="str">
        <x:f>IF(E1258&gt;=WORKDAY.INTL(EOMONTH(E1258,0)+1,-2,1,FERIADOS!$A$2:$A$250),"SÍ","NO")</x:f>
        <x:v>NO</x:v>
      </x:c>
      <x:c r="G1258" s="10" t="n">
        <x:f>IF(F1258="SÍ",EOMONTH(E1258,0)+1,DATE(YEAR(E1258),MONTH(E1258),1))</x:f>
        <x:v>46905</x:v>
      </x:c>
      <x:c r="H1258" t="str">
        <x:f>IF(D1258="NO",IF(C1258="SÍ","FERIADO","FIN DE SEMANA"),"LABORABLE")&amp;IF(F1258="SÍ"," + CIERRE","")</x:f>
        <x:v>FIN DE SEMANA</x:v>
      </x:c>
      <x:c r="I1258" t="str">
        <x:f>TEXT(G1258,"yyyy-mm")</x:f>
        <x:v>2028-06</x:v>
      </x:c>
    </x:row>
    <x:row r="1259" ht="19" customHeight="1">
      <x:c r="A1259" s="2" t="n">
        <x:v>46915</x:v>
      </x:c>
      <x:c r="B1259" t="str">
        <x:f>CHOOSE(WEEKDAY(A1259,2),"Lunes","Martes","Miércoles","Jueves","Viernes","Sábado","Domingo")</x:f>
        <x:v>Domingo</x:v>
      </x:c>
      <x:c r="C1259" t="str">
        <x:f>IF(COUNTIF(FERIADOS!$A$2:$A$250,A1259)&gt;0,"SÍ","NO")</x:f>
        <x:v>NO</x:v>
      </x:c>
      <x:c r="D1259" t="str">
        <x:f>IF(AND(WEEKDAY(A1259,2)&lt;=5,C1259="NO"),"SÍ","NO")</x:f>
        <x:v>NO</x:v>
      </x:c>
      <x:c r="E1259" s="2" t="n">
        <x:f>WORKDAY.INTL(A1259-1,1,1,FERIADOS!$A$2:$A$250)</x:f>
        <x:v>46916</x:v>
      </x:c>
      <x:c r="F1259" t="str">
        <x:f>IF(E1259&gt;=WORKDAY.INTL(EOMONTH(E1259,0)+1,-2,1,FERIADOS!$A$2:$A$250),"SÍ","NO")</x:f>
        <x:v>NO</x:v>
      </x:c>
      <x:c r="G1259" s="10" t="n">
        <x:f>IF(F1259="SÍ",EOMONTH(E1259,0)+1,DATE(YEAR(E1259),MONTH(E1259),1))</x:f>
        <x:v>46905</x:v>
      </x:c>
      <x:c r="H1259" t="str">
        <x:f>IF(D1259="NO",IF(C1259="SÍ","FERIADO","FIN DE SEMANA"),"LABORABLE")&amp;IF(F1259="SÍ"," + CIERRE","")</x:f>
        <x:v>FIN DE SEMANA</x:v>
      </x:c>
      <x:c r="I1259" t="str">
        <x:f>TEXT(G1259,"yyyy-mm")</x:f>
        <x:v>2028-06</x:v>
      </x:c>
    </x:row>
    <x:row r="1260" ht="19" customHeight="1">
      <x:c r="A1260" s="2" t="n">
        <x:v>46916</x:v>
      </x:c>
      <x:c r="B1260" t="str">
        <x:f>CHOOSE(WEEKDAY(A1260,2),"Lunes","Martes","Miércoles","Jueves","Viernes","Sábado","Domingo")</x:f>
        <x:v>Lunes</x:v>
      </x:c>
      <x:c r="C1260" t="str">
        <x:f>IF(COUNTIF(FERIADOS!$A$2:$A$250,A1260)&gt;0,"SÍ","NO")</x:f>
        <x:v>NO</x:v>
      </x:c>
      <x:c r="D1260" t="str">
        <x:f>IF(AND(WEEKDAY(A1260,2)&lt;=5,C1260="NO"),"SÍ","NO")</x:f>
        <x:v>SÍ</x:v>
      </x:c>
      <x:c r="E1260" s="2" t="n">
        <x:f>WORKDAY.INTL(A1260-1,1,1,FERIADOS!$A$2:$A$250)</x:f>
        <x:v>46916</x:v>
      </x:c>
      <x:c r="F1260" t="str">
        <x:f>IF(E1260&gt;=WORKDAY.INTL(EOMONTH(E1260,0)+1,-2,1,FERIADOS!$A$2:$A$250),"SÍ","NO")</x:f>
        <x:v>NO</x:v>
      </x:c>
      <x:c r="G1260" s="10" t="n">
        <x:f>IF(F1260="SÍ",EOMONTH(E1260,0)+1,DATE(YEAR(E1260),MONTH(E1260),1))</x:f>
        <x:v>46905</x:v>
      </x:c>
      <x:c r="H1260" t="str">
        <x:f>IF(D1260="NO",IF(C1260="SÍ","FERIADO","FIN DE SEMANA"),"LABORABLE")&amp;IF(F1260="SÍ"," + CIERRE","")</x:f>
        <x:v>LABORABLE</x:v>
      </x:c>
      <x:c r="I1260" t="str">
        <x:f>TEXT(G1260,"yyyy-mm")</x:f>
        <x:v>2028-06</x:v>
      </x:c>
    </x:row>
    <x:row r="1261" ht="19" customHeight="1">
      <x:c r="A1261" s="2" t="n">
        <x:v>46917</x:v>
      </x:c>
      <x:c r="B1261" t="str">
        <x:f>CHOOSE(WEEKDAY(A1261,2),"Lunes","Martes","Miércoles","Jueves","Viernes","Sábado","Domingo")</x:f>
        <x:v>Martes</x:v>
      </x:c>
      <x:c r="C1261" t="str">
        <x:f>IF(COUNTIF(FERIADOS!$A$2:$A$250,A1261)&gt;0,"SÍ","NO")</x:f>
        <x:v>NO</x:v>
      </x:c>
      <x:c r="D1261" t="str">
        <x:f>IF(AND(WEEKDAY(A1261,2)&lt;=5,C1261="NO"),"SÍ","NO")</x:f>
        <x:v>SÍ</x:v>
      </x:c>
      <x:c r="E1261" s="2" t="n">
        <x:f>WORKDAY.INTL(A1261-1,1,1,FERIADOS!$A$2:$A$250)</x:f>
        <x:v>46917</x:v>
      </x:c>
      <x:c r="F1261" t="str">
        <x:f>IF(E1261&gt;=WORKDAY.INTL(EOMONTH(E1261,0)+1,-2,1,FERIADOS!$A$2:$A$250),"SÍ","NO")</x:f>
        <x:v>NO</x:v>
      </x:c>
      <x:c r="G1261" s="10" t="n">
        <x:f>IF(F1261="SÍ",EOMONTH(E1261,0)+1,DATE(YEAR(E1261),MONTH(E1261),1))</x:f>
        <x:v>46905</x:v>
      </x:c>
      <x:c r="H1261" t="str">
        <x:f>IF(D1261="NO",IF(C1261="SÍ","FERIADO","FIN DE SEMANA"),"LABORABLE")&amp;IF(F1261="SÍ"," + CIERRE","")</x:f>
        <x:v>LABORABLE</x:v>
      </x:c>
      <x:c r="I1261" t="str">
        <x:f>TEXT(G1261,"yyyy-mm")</x:f>
        <x:v>2028-06</x:v>
      </x:c>
    </x:row>
    <x:row r="1262" ht="19" customHeight="1">
      <x:c r="A1262" s="2" t="n">
        <x:v>46918</x:v>
      </x:c>
      <x:c r="B1262" t="str">
        <x:f>CHOOSE(WEEKDAY(A1262,2),"Lunes","Martes","Miércoles","Jueves","Viernes","Sábado","Domingo")</x:f>
        <x:v>Miércoles</x:v>
      </x:c>
      <x:c r="C1262" t="str">
        <x:f>IF(COUNTIF(FERIADOS!$A$2:$A$250,A1262)&gt;0,"SÍ","NO")</x:f>
        <x:v>NO</x:v>
      </x:c>
      <x:c r="D1262" t="str">
        <x:f>IF(AND(WEEKDAY(A1262,2)&lt;=5,C1262="NO"),"SÍ","NO")</x:f>
        <x:v>SÍ</x:v>
      </x:c>
      <x:c r="E1262" s="2" t="n">
        <x:f>WORKDAY.INTL(A1262-1,1,1,FERIADOS!$A$2:$A$250)</x:f>
        <x:v>46918</x:v>
      </x:c>
      <x:c r="F1262" t="str">
        <x:f>IF(E1262&gt;=WORKDAY.INTL(EOMONTH(E1262,0)+1,-2,1,FERIADOS!$A$2:$A$250),"SÍ","NO")</x:f>
        <x:v>NO</x:v>
      </x:c>
      <x:c r="G1262" s="10" t="n">
        <x:f>IF(F1262="SÍ",EOMONTH(E1262,0)+1,DATE(YEAR(E1262),MONTH(E1262),1))</x:f>
        <x:v>46905</x:v>
      </x:c>
      <x:c r="H1262" t="str">
        <x:f>IF(D1262="NO",IF(C1262="SÍ","FERIADO","FIN DE SEMANA"),"LABORABLE")&amp;IF(F1262="SÍ"," + CIERRE","")</x:f>
        <x:v>LABORABLE</x:v>
      </x:c>
      <x:c r="I1262" t="str">
        <x:f>TEXT(G1262,"yyyy-mm")</x:f>
        <x:v>2028-06</x:v>
      </x:c>
    </x:row>
    <x:row r="1263" ht="19" customHeight="1">
      <x:c r="A1263" s="2" t="n">
        <x:v>46919</x:v>
      </x:c>
      <x:c r="B1263" t="str">
        <x:f>CHOOSE(WEEKDAY(A1263,2),"Lunes","Martes","Miércoles","Jueves","Viernes","Sábado","Domingo")</x:f>
        <x:v>Jueves</x:v>
      </x:c>
      <x:c r="C1263" t="str">
        <x:f>IF(COUNTIF(FERIADOS!$A$2:$A$250,A1263)&gt;0,"SÍ","NO")</x:f>
        <x:v>NO</x:v>
      </x:c>
      <x:c r="D1263" t="str">
        <x:f>IF(AND(WEEKDAY(A1263,2)&lt;=5,C1263="NO"),"SÍ","NO")</x:f>
        <x:v>SÍ</x:v>
      </x:c>
      <x:c r="E1263" s="2" t="n">
        <x:f>WORKDAY.INTL(A1263-1,1,1,FERIADOS!$A$2:$A$250)</x:f>
        <x:v>46919</x:v>
      </x:c>
      <x:c r="F1263" t="str">
        <x:f>IF(E1263&gt;=WORKDAY.INTL(EOMONTH(E1263,0)+1,-2,1,FERIADOS!$A$2:$A$250),"SÍ","NO")</x:f>
        <x:v>NO</x:v>
      </x:c>
      <x:c r="G1263" s="10" t="n">
        <x:f>IF(F1263="SÍ",EOMONTH(E1263,0)+1,DATE(YEAR(E1263),MONTH(E1263),1))</x:f>
        <x:v>46905</x:v>
      </x:c>
      <x:c r="H1263" t="str">
        <x:f>IF(D1263="NO",IF(C1263="SÍ","FERIADO","FIN DE SEMANA"),"LABORABLE")&amp;IF(F1263="SÍ"," + CIERRE","")</x:f>
        <x:v>LABORABLE</x:v>
      </x:c>
      <x:c r="I1263" t="str">
        <x:f>TEXT(G1263,"yyyy-mm")</x:f>
        <x:v>2028-06</x:v>
      </x:c>
    </x:row>
    <x:row r="1264" ht="19" customHeight="1">
      <x:c r="A1264" s="2" t="n">
        <x:v>46920</x:v>
      </x:c>
      <x:c r="B1264" t="str">
        <x:f>CHOOSE(WEEKDAY(A1264,2),"Lunes","Martes","Miércoles","Jueves","Viernes","Sábado","Domingo")</x:f>
        <x:v>Viernes</x:v>
      </x:c>
      <x:c r="C1264" t="str">
        <x:f>IF(COUNTIF(FERIADOS!$A$2:$A$250,A1264)&gt;0,"SÍ","NO")</x:f>
        <x:v>NO</x:v>
      </x:c>
      <x:c r="D1264" t="str">
        <x:f>IF(AND(WEEKDAY(A1264,2)&lt;=5,C1264="NO"),"SÍ","NO")</x:f>
        <x:v>SÍ</x:v>
      </x:c>
      <x:c r="E1264" s="2" t="n">
        <x:f>WORKDAY.INTL(A1264-1,1,1,FERIADOS!$A$2:$A$250)</x:f>
        <x:v>46920</x:v>
      </x:c>
      <x:c r="F1264" t="str">
        <x:f>IF(E1264&gt;=WORKDAY.INTL(EOMONTH(E1264,0)+1,-2,1,FERIADOS!$A$2:$A$250),"SÍ","NO")</x:f>
        <x:v>NO</x:v>
      </x:c>
      <x:c r="G1264" s="10" t="n">
        <x:f>IF(F1264="SÍ",EOMONTH(E1264,0)+1,DATE(YEAR(E1264),MONTH(E1264),1))</x:f>
        <x:v>46905</x:v>
      </x:c>
      <x:c r="H1264" t="str">
        <x:f>IF(D1264="NO",IF(C1264="SÍ","FERIADO","FIN DE SEMANA"),"LABORABLE")&amp;IF(F1264="SÍ"," + CIERRE","")</x:f>
        <x:v>LABORABLE</x:v>
      </x:c>
      <x:c r="I1264" t="str">
        <x:f>TEXT(G1264,"yyyy-mm")</x:f>
        <x:v>2028-06</x:v>
      </x:c>
    </x:row>
    <x:row r="1265" ht="19" customHeight="1">
      <x:c r="A1265" s="2" t="n">
        <x:v>46921</x:v>
      </x:c>
      <x:c r="B1265" t="str">
        <x:f>CHOOSE(WEEKDAY(A1265,2),"Lunes","Martes","Miércoles","Jueves","Viernes","Sábado","Domingo")</x:f>
        <x:v>Sábado</x:v>
      </x:c>
      <x:c r="C1265" t="str">
        <x:f>IF(COUNTIF(FERIADOS!$A$2:$A$250,A1265)&gt;0,"SÍ","NO")</x:f>
        <x:v>NO</x:v>
      </x:c>
      <x:c r="D1265" t="str">
        <x:f>IF(AND(WEEKDAY(A1265,2)&lt;=5,C1265="NO"),"SÍ","NO")</x:f>
        <x:v>NO</x:v>
      </x:c>
      <x:c r="E1265" s="2" t="n">
        <x:f>WORKDAY.INTL(A1265-1,1,1,FERIADOS!$A$2:$A$250)</x:f>
        <x:v>46923</x:v>
      </x:c>
      <x:c r="F1265" t="str">
        <x:f>IF(E1265&gt;=WORKDAY.INTL(EOMONTH(E1265,0)+1,-2,1,FERIADOS!$A$2:$A$250),"SÍ","NO")</x:f>
        <x:v>NO</x:v>
      </x:c>
      <x:c r="G1265" s="10" t="n">
        <x:f>IF(F1265="SÍ",EOMONTH(E1265,0)+1,DATE(YEAR(E1265),MONTH(E1265),1))</x:f>
        <x:v>46905</x:v>
      </x:c>
      <x:c r="H1265" t="str">
        <x:f>IF(D1265="NO",IF(C1265="SÍ","FERIADO","FIN DE SEMANA"),"LABORABLE")&amp;IF(F1265="SÍ"," + CIERRE","")</x:f>
        <x:v>FIN DE SEMANA</x:v>
      </x:c>
      <x:c r="I1265" t="str">
        <x:f>TEXT(G1265,"yyyy-mm")</x:f>
        <x:v>2028-06</x:v>
      </x:c>
    </x:row>
    <x:row r="1266" ht="19" customHeight="1">
      <x:c r="A1266" s="2" t="n">
        <x:v>46922</x:v>
      </x:c>
      <x:c r="B1266" t="str">
        <x:f>CHOOSE(WEEKDAY(A1266,2),"Lunes","Martes","Miércoles","Jueves","Viernes","Sábado","Domingo")</x:f>
        <x:v>Domingo</x:v>
      </x:c>
      <x:c r="C1266" t="str">
        <x:f>IF(COUNTIF(FERIADOS!$A$2:$A$250,A1266)&gt;0,"SÍ","NO")</x:f>
        <x:v>NO</x:v>
      </x:c>
      <x:c r="D1266" t="str">
        <x:f>IF(AND(WEEKDAY(A1266,2)&lt;=5,C1266="NO"),"SÍ","NO")</x:f>
        <x:v>NO</x:v>
      </x:c>
      <x:c r="E1266" s="2" t="n">
        <x:f>WORKDAY.INTL(A1266-1,1,1,FERIADOS!$A$2:$A$250)</x:f>
        <x:v>46923</x:v>
      </x:c>
      <x:c r="F1266" t="str">
        <x:f>IF(E1266&gt;=WORKDAY.INTL(EOMONTH(E1266,0)+1,-2,1,FERIADOS!$A$2:$A$250),"SÍ","NO")</x:f>
        <x:v>NO</x:v>
      </x:c>
      <x:c r="G1266" s="10" t="n">
        <x:f>IF(F1266="SÍ",EOMONTH(E1266,0)+1,DATE(YEAR(E1266),MONTH(E1266),1))</x:f>
        <x:v>46905</x:v>
      </x:c>
      <x:c r="H1266" t="str">
        <x:f>IF(D1266="NO",IF(C1266="SÍ","FERIADO","FIN DE SEMANA"),"LABORABLE")&amp;IF(F1266="SÍ"," + CIERRE","")</x:f>
        <x:v>FIN DE SEMANA</x:v>
      </x:c>
      <x:c r="I1266" t="str">
        <x:f>TEXT(G1266,"yyyy-mm")</x:f>
        <x:v>2028-06</x:v>
      </x:c>
    </x:row>
    <x:row r="1267" ht="19" customHeight="1">
      <x:c r="A1267" s="2" t="n">
        <x:v>46923</x:v>
      </x:c>
      <x:c r="B1267" t="str">
        <x:f>CHOOSE(WEEKDAY(A1267,2),"Lunes","Martes","Miércoles","Jueves","Viernes","Sábado","Domingo")</x:f>
        <x:v>Lunes</x:v>
      </x:c>
      <x:c r="C1267" t="str">
        <x:f>IF(COUNTIF(FERIADOS!$A$2:$A$250,A1267)&gt;0,"SÍ","NO")</x:f>
        <x:v>NO</x:v>
      </x:c>
      <x:c r="D1267" t="str">
        <x:f>IF(AND(WEEKDAY(A1267,2)&lt;=5,C1267="NO"),"SÍ","NO")</x:f>
        <x:v>SÍ</x:v>
      </x:c>
      <x:c r="E1267" s="2" t="n">
        <x:f>WORKDAY.INTL(A1267-1,1,1,FERIADOS!$A$2:$A$250)</x:f>
        <x:v>46923</x:v>
      </x:c>
      <x:c r="F1267" t="str">
        <x:f>IF(E1267&gt;=WORKDAY.INTL(EOMONTH(E1267,0)+1,-2,1,FERIADOS!$A$2:$A$250),"SÍ","NO")</x:f>
        <x:v>NO</x:v>
      </x:c>
      <x:c r="G1267" s="10" t="n">
        <x:f>IF(F1267="SÍ",EOMONTH(E1267,0)+1,DATE(YEAR(E1267),MONTH(E1267),1))</x:f>
        <x:v>46905</x:v>
      </x:c>
      <x:c r="H1267" t="str">
        <x:f>IF(D1267="NO",IF(C1267="SÍ","FERIADO","FIN DE SEMANA"),"LABORABLE")&amp;IF(F1267="SÍ"," + CIERRE","")</x:f>
        <x:v>LABORABLE</x:v>
      </x:c>
      <x:c r="I1267" t="str">
        <x:f>TEXT(G1267,"yyyy-mm")</x:f>
        <x:v>2028-06</x:v>
      </x:c>
    </x:row>
    <x:row r="1268" ht="19" customHeight="1">
      <x:c r="A1268" s="2" t="n">
        <x:v>46924</x:v>
      </x:c>
      <x:c r="B1268" t="str">
        <x:f>CHOOSE(WEEKDAY(A1268,2),"Lunes","Martes","Miércoles","Jueves","Viernes","Sábado","Domingo")</x:f>
        <x:v>Martes</x:v>
      </x:c>
      <x:c r="C1268" t="str">
        <x:f>IF(COUNTIF(FERIADOS!$A$2:$A$250,A1268)&gt;0,"SÍ","NO")</x:f>
        <x:v>NO</x:v>
      </x:c>
      <x:c r="D1268" t="str">
        <x:f>IF(AND(WEEKDAY(A1268,2)&lt;=5,C1268="NO"),"SÍ","NO")</x:f>
        <x:v>SÍ</x:v>
      </x:c>
      <x:c r="E1268" s="2" t="n">
        <x:f>WORKDAY.INTL(A1268-1,1,1,FERIADOS!$A$2:$A$250)</x:f>
        <x:v>46924</x:v>
      </x:c>
      <x:c r="F1268" t="str">
        <x:f>IF(E1268&gt;=WORKDAY.INTL(EOMONTH(E1268,0)+1,-2,1,FERIADOS!$A$2:$A$250),"SÍ","NO")</x:f>
        <x:v>NO</x:v>
      </x:c>
      <x:c r="G1268" s="10" t="n">
        <x:f>IF(F1268="SÍ",EOMONTH(E1268,0)+1,DATE(YEAR(E1268),MONTH(E1268),1))</x:f>
        <x:v>46905</x:v>
      </x:c>
      <x:c r="H1268" t="str">
        <x:f>IF(D1268="NO",IF(C1268="SÍ","FERIADO","FIN DE SEMANA"),"LABORABLE")&amp;IF(F1268="SÍ"," + CIERRE","")</x:f>
        <x:v>LABORABLE</x:v>
      </x:c>
      <x:c r="I1268" t="str">
        <x:f>TEXT(G1268,"yyyy-mm")</x:f>
        <x:v>2028-06</x:v>
      </x:c>
    </x:row>
    <x:row r="1269" ht="19" customHeight="1">
      <x:c r="A1269" s="2" t="n">
        <x:v>46925</x:v>
      </x:c>
      <x:c r="B1269" t="str">
        <x:f>CHOOSE(WEEKDAY(A1269,2),"Lunes","Martes","Miércoles","Jueves","Viernes","Sábado","Domingo")</x:f>
        <x:v>Miércoles</x:v>
      </x:c>
      <x:c r="C1269" t="str">
        <x:f>IF(COUNTIF(FERIADOS!$A$2:$A$250,A1269)&gt;0,"SÍ","NO")</x:f>
        <x:v>NO</x:v>
      </x:c>
      <x:c r="D1269" t="str">
        <x:f>IF(AND(WEEKDAY(A1269,2)&lt;=5,C1269="NO"),"SÍ","NO")</x:f>
        <x:v>SÍ</x:v>
      </x:c>
      <x:c r="E1269" s="2" t="n">
        <x:f>WORKDAY.INTL(A1269-1,1,1,FERIADOS!$A$2:$A$250)</x:f>
        <x:v>46925</x:v>
      </x:c>
      <x:c r="F1269" t="str">
        <x:f>IF(E1269&gt;=WORKDAY.INTL(EOMONTH(E1269,0)+1,-2,1,FERIADOS!$A$2:$A$250),"SÍ","NO")</x:f>
        <x:v>NO</x:v>
      </x:c>
      <x:c r="G1269" s="10" t="n">
        <x:f>IF(F1269="SÍ",EOMONTH(E1269,0)+1,DATE(YEAR(E1269),MONTH(E1269),1))</x:f>
        <x:v>46905</x:v>
      </x:c>
      <x:c r="H1269" t="str">
        <x:f>IF(D1269="NO",IF(C1269="SÍ","FERIADO","FIN DE SEMANA"),"LABORABLE")&amp;IF(F1269="SÍ"," + CIERRE","")</x:f>
        <x:v>LABORABLE</x:v>
      </x:c>
      <x:c r="I1269" t="str">
        <x:f>TEXT(G1269,"yyyy-mm")</x:f>
        <x:v>2028-06</x:v>
      </x:c>
    </x:row>
    <x:row r="1270" ht="19" customHeight="1">
      <x:c r="A1270" s="2" t="n">
        <x:v>46926</x:v>
      </x:c>
      <x:c r="B1270" t="str">
        <x:f>CHOOSE(WEEKDAY(A1270,2),"Lunes","Martes","Miércoles","Jueves","Viernes","Sábado","Domingo")</x:f>
        <x:v>Jueves</x:v>
      </x:c>
      <x:c r="C1270" t="str">
        <x:f>IF(COUNTIF(FERIADOS!$A$2:$A$250,A1270)&gt;0,"SÍ","NO")</x:f>
        <x:v>NO</x:v>
      </x:c>
      <x:c r="D1270" t="str">
        <x:f>IF(AND(WEEKDAY(A1270,2)&lt;=5,C1270="NO"),"SÍ","NO")</x:f>
        <x:v>SÍ</x:v>
      </x:c>
      <x:c r="E1270" s="2" t="n">
        <x:f>WORKDAY.INTL(A1270-1,1,1,FERIADOS!$A$2:$A$250)</x:f>
        <x:v>46926</x:v>
      </x:c>
      <x:c r="F1270" t="str">
        <x:f>IF(E1270&gt;=WORKDAY.INTL(EOMONTH(E1270,0)+1,-2,1,FERIADOS!$A$2:$A$250),"SÍ","NO")</x:f>
        <x:v>NO</x:v>
      </x:c>
      <x:c r="G1270" s="10" t="n">
        <x:f>IF(F1270="SÍ",EOMONTH(E1270,0)+1,DATE(YEAR(E1270),MONTH(E1270),1))</x:f>
        <x:v>46905</x:v>
      </x:c>
      <x:c r="H1270" t="str">
        <x:f>IF(D1270="NO",IF(C1270="SÍ","FERIADO","FIN DE SEMANA"),"LABORABLE")&amp;IF(F1270="SÍ"," + CIERRE","")</x:f>
        <x:v>LABORABLE</x:v>
      </x:c>
      <x:c r="I1270" t="str">
        <x:f>TEXT(G1270,"yyyy-mm")</x:f>
        <x:v>2028-06</x:v>
      </x:c>
    </x:row>
    <x:row r="1271" ht="19" customHeight="1">
      <x:c r="A1271" s="2" t="n">
        <x:v>46927</x:v>
      </x:c>
      <x:c r="B1271" t="str">
        <x:f>CHOOSE(WEEKDAY(A1271,2),"Lunes","Martes","Miércoles","Jueves","Viernes","Sábado","Domingo")</x:f>
        <x:v>Viernes</x:v>
      </x:c>
      <x:c r="C1271" t="str">
        <x:f>IF(COUNTIF(FERIADOS!$A$2:$A$250,A1271)&gt;0,"SÍ","NO")</x:f>
        <x:v>NO</x:v>
      </x:c>
      <x:c r="D1271" t="str">
        <x:f>IF(AND(WEEKDAY(A1271,2)&lt;=5,C1271="NO"),"SÍ","NO")</x:f>
        <x:v>SÍ</x:v>
      </x:c>
      <x:c r="E1271" s="2" t="n">
        <x:f>WORKDAY.INTL(A1271-1,1,1,FERIADOS!$A$2:$A$250)</x:f>
        <x:v>46927</x:v>
      </x:c>
      <x:c r="F1271" t="str">
        <x:f>IF(E1271&gt;=WORKDAY.INTL(EOMONTH(E1271,0)+1,-2,1,FERIADOS!$A$2:$A$250),"SÍ","NO")</x:f>
        <x:v>NO</x:v>
      </x:c>
      <x:c r="G1271" s="10" t="n">
        <x:f>IF(F1271="SÍ",EOMONTH(E1271,0)+1,DATE(YEAR(E1271),MONTH(E1271),1))</x:f>
        <x:v>46905</x:v>
      </x:c>
      <x:c r="H1271" t="str">
        <x:f>IF(D1271="NO",IF(C1271="SÍ","FERIADO","FIN DE SEMANA"),"LABORABLE")&amp;IF(F1271="SÍ"," + CIERRE","")</x:f>
        <x:v>LABORABLE</x:v>
      </x:c>
      <x:c r="I1271" t="str">
        <x:f>TEXT(G1271,"yyyy-mm")</x:f>
        <x:v>2028-06</x:v>
      </x:c>
    </x:row>
    <x:row r="1272" ht="19" customHeight="1">
      <x:c r="A1272" s="2" t="n">
        <x:v>46928</x:v>
      </x:c>
      <x:c r="B1272" t="str">
        <x:f>CHOOSE(WEEKDAY(A1272,2),"Lunes","Martes","Miércoles","Jueves","Viernes","Sábado","Domingo")</x:f>
        <x:v>Sábado</x:v>
      </x:c>
      <x:c r="C1272" t="str">
        <x:f>IF(COUNTIF(FERIADOS!$A$2:$A$250,A1272)&gt;0,"SÍ","NO")</x:f>
        <x:v>NO</x:v>
      </x:c>
      <x:c r="D1272" t="str">
        <x:f>IF(AND(WEEKDAY(A1272,2)&lt;=5,C1272="NO"),"SÍ","NO")</x:f>
        <x:v>NO</x:v>
      </x:c>
      <x:c r="E1272" s="2" t="n">
        <x:f>WORKDAY.INTL(A1272-1,1,1,FERIADOS!$A$2:$A$250)</x:f>
        <x:v>46930</x:v>
      </x:c>
      <x:c r="F1272" t="str">
        <x:f>IF(E1272&gt;=WORKDAY.INTL(EOMONTH(E1272,0)+1,-2,1,FERIADOS!$A$2:$A$250),"SÍ","NO")</x:f>
        <x:v>NO</x:v>
      </x:c>
      <x:c r="G1272" s="10" t="n">
        <x:f>IF(F1272="SÍ",EOMONTH(E1272,0)+1,DATE(YEAR(E1272),MONTH(E1272),1))</x:f>
        <x:v>46905</x:v>
      </x:c>
      <x:c r="H1272" t="str">
        <x:f>IF(D1272="NO",IF(C1272="SÍ","FERIADO","FIN DE SEMANA"),"LABORABLE")&amp;IF(F1272="SÍ"," + CIERRE","")</x:f>
        <x:v>FIN DE SEMANA</x:v>
      </x:c>
      <x:c r="I1272" t="str">
        <x:f>TEXT(G1272,"yyyy-mm")</x:f>
        <x:v>2028-06</x:v>
      </x:c>
    </x:row>
    <x:row r="1273" ht="19" customHeight="1">
      <x:c r="A1273" s="2" t="n">
        <x:v>46929</x:v>
      </x:c>
      <x:c r="B1273" t="str">
        <x:f>CHOOSE(WEEKDAY(A1273,2),"Lunes","Martes","Miércoles","Jueves","Viernes","Sábado","Domingo")</x:f>
        <x:v>Domingo</x:v>
      </x:c>
      <x:c r="C1273" t="str">
        <x:f>IF(COUNTIF(FERIADOS!$A$2:$A$250,A1273)&gt;0,"SÍ","NO")</x:f>
        <x:v>NO</x:v>
      </x:c>
      <x:c r="D1273" t="str">
        <x:f>IF(AND(WEEKDAY(A1273,2)&lt;=5,C1273="NO"),"SÍ","NO")</x:f>
        <x:v>NO</x:v>
      </x:c>
      <x:c r="E1273" s="2" t="n">
        <x:f>WORKDAY.INTL(A1273-1,1,1,FERIADOS!$A$2:$A$250)</x:f>
        <x:v>46930</x:v>
      </x:c>
      <x:c r="F1273" t="str">
        <x:f>IF(E1273&gt;=WORKDAY.INTL(EOMONTH(E1273,0)+1,-2,1,FERIADOS!$A$2:$A$250),"SÍ","NO")</x:f>
        <x:v>NO</x:v>
      </x:c>
      <x:c r="G1273" s="10" t="n">
        <x:f>IF(F1273="SÍ",EOMONTH(E1273,0)+1,DATE(YEAR(E1273),MONTH(E1273),1))</x:f>
        <x:v>46905</x:v>
      </x:c>
      <x:c r="H1273" t="str">
        <x:f>IF(D1273="NO",IF(C1273="SÍ","FERIADO","FIN DE SEMANA"),"LABORABLE")&amp;IF(F1273="SÍ"," + CIERRE","")</x:f>
        <x:v>FIN DE SEMANA</x:v>
      </x:c>
      <x:c r="I1273" t="str">
        <x:f>TEXT(G1273,"yyyy-mm")</x:f>
        <x:v>2028-06</x:v>
      </x:c>
    </x:row>
    <x:row r="1274" ht="19" customHeight="1">
      <x:c r="A1274" s="2" t="n">
        <x:v>46930</x:v>
      </x:c>
      <x:c r="B1274" t="str">
        <x:f>CHOOSE(WEEKDAY(A1274,2),"Lunes","Martes","Miércoles","Jueves","Viernes","Sábado","Domingo")</x:f>
        <x:v>Lunes</x:v>
      </x:c>
      <x:c r="C1274" t="str">
        <x:f>IF(COUNTIF(FERIADOS!$A$2:$A$250,A1274)&gt;0,"SÍ","NO")</x:f>
        <x:v>NO</x:v>
      </x:c>
      <x:c r="D1274" t="str">
        <x:f>IF(AND(WEEKDAY(A1274,2)&lt;=5,C1274="NO"),"SÍ","NO")</x:f>
        <x:v>SÍ</x:v>
      </x:c>
      <x:c r="E1274" s="2" t="n">
        <x:f>WORKDAY.INTL(A1274-1,1,1,FERIADOS!$A$2:$A$250)</x:f>
        <x:v>46930</x:v>
      </x:c>
      <x:c r="F1274" t="str">
        <x:f>IF(E1274&gt;=WORKDAY.INTL(EOMONTH(E1274,0)+1,-2,1,FERIADOS!$A$2:$A$250),"SÍ","NO")</x:f>
        <x:v>NO</x:v>
      </x:c>
      <x:c r="G1274" s="10" t="n">
        <x:f>IF(F1274="SÍ",EOMONTH(E1274,0)+1,DATE(YEAR(E1274),MONTH(E1274),1))</x:f>
        <x:v>46905</x:v>
      </x:c>
      <x:c r="H1274" t="str">
        <x:f>IF(D1274="NO",IF(C1274="SÍ","FERIADO","FIN DE SEMANA"),"LABORABLE")&amp;IF(F1274="SÍ"," + CIERRE","")</x:f>
        <x:v>LABORABLE</x:v>
      </x:c>
      <x:c r="I1274" t="str">
        <x:f>TEXT(G1274,"yyyy-mm")</x:f>
        <x:v>2028-06</x:v>
      </x:c>
    </x:row>
    <x:row r="1275" ht="19" customHeight="1">
      <x:c r="A1275" s="2" t="n">
        <x:v>46931</x:v>
      </x:c>
      <x:c r="B1275" t="str">
        <x:f>CHOOSE(WEEKDAY(A1275,2),"Lunes","Martes","Miércoles","Jueves","Viernes","Sábado","Domingo")</x:f>
        <x:v>Martes</x:v>
      </x:c>
      <x:c r="C1275" t="str">
        <x:f>IF(COUNTIF(FERIADOS!$A$2:$A$250,A1275)&gt;0,"SÍ","NO")</x:f>
        <x:v>NO</x:v>
      </x:c>
      <x:c r="D1275" t="str">
        <x:f>IF(AND(WEEKDAY(A1275,2)&lt;=5,C1275="NO"),"SÍ","NO")</x:f>
        <x:v>SÍ</x:v>
      </x:c>
      <x:c r="E1275" s="2" t="n">
        <x:f>WORKDAY.INTL(A1275-1,1,1,FERIADOS!$A$2:$A$250)</x:f>
        <x:v>46931</x:v>
      </x:c>
      <x:c r="F1275" t="str">
        <x:f>IF(E1275&gt;=WORKDAY.INTL(EOMONTH(E1275,0)+1,-2,1,FERIADOS!$A$2:$A$250),"SÍ","NO")</x:f>
        <x:v>NO</x:v>
      </x:c>
      <x:c r="G1275" s="10" t="n">
        <x:f>IF(F1275="SÍ",EOMONTH(E1275,0)+1,DATE(YEAR(E1275),MONTH(E1275),1))</x:f>
        <x:v>46905</x:v>
      </x:c>
      <x:c r="H1275" t="str">
        <x:f>IF(D1275="NO",IF(C1275="SÍ","FERIADO","FIN DE SEMANA"),"LABORABLE")&amp;IF(F1275="SÍ"," + CIERRE","")</x:f>
        <x:v>LABORABLE</x:v>
      </x:c>
      <x:c r="I1275" t="str">
        <x:f>TEXT(G1275,"yyyy-mm")</x:f>
        <x:v>2028-06</x:v>
      </x:c>
    </x:row>
    <x:row r="1276" ht="19" customHeight="1">
      <x:c r="A1276" s="2" t="n">
        <x:v>46932</x:v>
      </x:c>
      <x:c r="B1276" t="str">
        <x:f>CHOOSE(WEEKDAY(A1276,2),"Lunes","Martes","Miércoles","Jueves","Viernes","Sábado","Domingo")</x:f>
        <x:v>Miércoles</x:v>
      </x:c>
      <x:c r="C1276" t="str">
        <x:f>IF(COUNTIF(FERIADOS!$A$2:$A$250,A1276)&gt;0,"SÍ","NO")</x:f>
        <x:v>NO</x:v>
      </x:c>
      <x:c r="D1276" t="str">
        <x:f>IF(AND(WEEKDAY(A1276,2)&lt;=5,C1276="NO"),"SÍ","NO")</x:f>
        <x:v>SÍ</x:v>
      </x:c>
      <x:c r="E1276" s="2" t="n">
        <x:f>WORKDAY.INTL(A1276-1,1,1,FERIADOS!$A$2:$A$250)</x:f>
        <x:v>46932</x:v>
      </x:c>
      <x:c r="F1276" t="str">
        <x:f>IF(E1276&gt;=WORKDAY.INTL(EOMONTH(E1276,0)+1,-2,1,FERIADOS!$A$2:$A$250),"SÍ","NO")</x:f>
        <x:v>NO</x:v>
      </x:c>
      <x:c r="G1276" s="10" t="n">
        <x:f>IF(F1276="SÍ",EOMONTH(E1276,0)+1,DATE(YEAR(E1276),MONTH(E1276),1))</x:f>
        <x:v>46905</x:v>
      </x:c>
      <x:c r="H1276" t="str">
        <x:f>IF(D1276="NO",IF(C1276="SÍ","FERIADO","FIN DE SEMANA"),"LABORABLE")&amp;IF(F1276="SÍ"," + CIERRE","")</x:f>
        <x:v>LABORABLE</x:v>
      </x:c>
      <x:c r="I1276" t="str">
        <x:f>TEXT(G1276,"yyyy-mm")</x:f>
        <x:v>2028-06</x:v>
      </x:c>
    </x:row>
    <x:row r="1277" ht="19" customHeight="1">
      <x:c r="A1277" s="2" t="n">
        <x:v>46933</x:v>
      </x:c>
      <x:c r="B1277" t="str">
        <x:f>CHOOSE(WEEKDAY(A1277,2),"Lunes","Martes","Miércoles","Jueves","Viernes","Sábado","Domingo")</x:f>
        <x:v>Jueves</x:v>
      </x:c>
      <x:c r="C1277" t="str">
        <x:f>IF(COUNTIF(FERIADOS!$A$2:$A$250,A1277)&gt;0,"SÍ","NO")</x:f>
        <x:v>NO</x:v>
      </x:c>
      <x:c r="D1277" t="str">
        <x:f>IF(AND(WEEKDAY(A1277,2)&lt;=5,C1277="NO"),"SÍ","NO")</x:f>
        <x:v>SÍ</x:v>
      </x:c>
      <x:c r="E1277" s="2" t="n">
        <x:f>WORKDAY.INTL(A1277-1,1,1,FERIADOS!$A$2:$A$250)</x:f>
        <x:v>46933</x:v>
      </x:c>
      <x:c r="F1277" t="str">
        <x:f>IF(E1277&gt;=WORKDAY.INTL(EOMONTH(E1277,0)+1,-2,1,FERIADOS!$A$2:$A$250),"SÍ","NO")</x:f>
        <x:v>SÍ</x:v>
      </x:c>
      <x:c r="G1277" s="10" t="n">
        <x:f>IF(F1277="SÍ",EOMONTH(E1277,0)+1,DATE(YEAR(E1277),MONTH(E1277),1))</x:f>
        <x:v>46935</x:v>
      </x:c>
      <x:c r="H1277" t="str">
        <x:f>IF(D1277="NO",IF(C1277="SÍ","FERIADO","FIN DE SEMANA"),"LABORABLE")&amp;IF(F1277="SÍ"," + CIERRE","")</x:f>
        <x:v>LABORABLE + CIERRE</x:v>
      </x:c>
      <x:c r="I1277" t="str">
        <x:f>TEXT(G1277,"yyyy-mm")</x:f>
        <x:v>2028-07</x:v>
      </x:c>
    </x:row>
    <x:row r="1278" ht="19" customHeight="1">
      <x:c r="A1278" s="2" t="n">
        <x:v>46934</x:v>
      </x:c>
      <x:c r="B1278" t="str">
        <x:f>CHOOSE(WEEKDAY(A1278,2),"Lunes","Martes","Miércoles","Jueves","Viernes","Sábado","Domingo")</x:f>
        <x:v>Viernes</x:v>
      </x:c>
      <x:c r="C1278" t="str">
        <x:f>IF(COUNTIF(FERIADOS!$A$2:$A$250,A1278)&gt;0,"SÍ","NO")</x:f>
        <x:v>NO</x:v>
      </x:c>
      <x:c r="D1278" t="str">
        <x:f>IF(AND(WEEKDAY(A1278,2)&lt;=5,C1278="NO"),"SÍ","NO")</x:f>
        <x:v>SÍ</x:v>
      </x:c>
      <x:c r="E1278" s="2" t="n">
        <x:f>WORKDAY.INTL(A1278-1,1,1,FERIADOS!$A$2:$A$250)</x:f>
        <x:v>46934</x:v>
      </x:c>
      <x:c r="F1278" t="str">
        <x:f>IF(E1278&gt;=WORKDAY.INTL(EOMONTH(E1278,0)+1,-2,1,FERIADOS!$A$2:$A$250),"SÍ","NO")</x:f>
        <x:v>SÍ</x:v>
      </x:c>
      <x:c r="G1278" s="10" t="n">
        <x:f>IF(F1278="SÍ",EOMONTH(E1278,0)+1,DATE(YEAR(E1278),MONTH(E1278),1))</x:f>
        <x:v>46935</x:v>
      </x:c>
      <x:c r="H1278" t="str">
        <x:f>IF(D1278="NO",IF(C1278="SÍ","FERIADO","FIN DE SEMANA"),"LABORABLE")&amp;IF(F1278="SÍ"," + CIERRE","")</x:f>
        <x:v>LABORABLE + CIERRE</x:v>
      </x:c>
      <x:c r="I1278" t="str">
        <x:f>TEXT(G1278,"yyyy-mm")</x:f>
        <x:v>2028-07</x:v>
      </x:c>
    </x:row>
    <x:row r="1279" ht="19" customHeight="1">
      <x:c r="A1279" s="2" t="n">
        <x:v>46935</x:v>
      </x:c>
      <x:c r="B1279" t="str">
        <x:f>CHOOSE(WEEKDAY(A1279,2),"Lunes","Martes","Miércoles","Jueves","Viernes","Sábado","Domingo")</x:f>
        <x:v>Sábado</x:v>
      </x:c>
      <x:c r="C1279" t="str">
        <x:f>IF(COUNTIF(FERIADOS!$A$2:$A$250,A1279)&gt;0,"SÍ","NO")</x:f>
        <x:v>NO</x:v>
      </x:c>
      <x:c r="D1279" t="str">
        <x:f>IF(AND(WEEKDAY(A1279,2)&lt;=5,C1279="NO"),"SÍ","NO")</x:f>
        <x:v>NO</x:v>
      </x:c>
      <x:c r="E1279" s="2" t="n">
        <x:f>WORKDAY.INTL(A1279-1,1,1,FERIADOS!$A$2:$A$250)</x:f>
        <x:v>46937</x:v>
      </x:c>
      <x:c r="F1279" t="str">
        <x:f>IF(E1279&gt;=WORKDAY.INTL(EOMONTH(E1279,0)+1,-2,1,FERIADOS!$A$2:$A$250),"SÍ","NO")</x:f>
        <x:v>NO</x:v>
      </x:c>
      <x:c r="G1279" s="10" t="n">
        <x:f>IF(F1279="SÍ",EOMONTH(E1279,0)+1,DATE(YEAR(E1279),MONTH(E1279),1))</x:f>
        <x:v>46935</x:v>
      </x:c>
      <x:c r="H1279" t="str">
        <x:f>IF(D1279="NO",IF(C1279="SÍ","FERIADO","FIN DE SEMANA"),"LABORABLE")&amp;IF(F1279="SÍ"," + CIERRE","")</x:f>
        <x:v>FIN DE SEMANA</x:v>
      </x:c>
      <x:c r="I1279" t="str">
        <x:f>TEXT(G1279,"yyyy-mm")</x:f>
        <x:v>2028-07</x:v>
      </x:c>
    </x:row>
    <x:row r="1280" ht="19" customHeight="1">
      <x:c r="A1280" s="2" t="n">
        <x:v>46936</x:v>
      </x:c>
      <x:c r="B1280" t="str">
        <x:f>CHOOSE(WEEKDAY(A1280,2),"Lunes","Martes","Miércoles","Jueves","Viernes","Sábado","Domingo")</x:f>
        <x:v>Domingo</x:v>
      </x:c>
      <x:c r="C1280" t="str">
        <x:f>IF(COUNTIF(FERIADOS!$A$2:$A$250,A1280)&gt;0,"SÍ","NO")</x:f>
        <x:v>NO</x:v>
      </x:c>
      <x:c r="D1280" t="str">
        <x:f>IF(AND(WEEKDAY(A1280,2)&lt;=5,C1280="NO"),"SÍ","NO")</x:f>
        <x:v>NO</x:v>
      </x:c>
      <x:c r="E1280" s="2" t="n">
        <x:f>WORKDAY.INTL(A1280-1,1,1,FERIADOS!$A$2:$A$250)</x:f>
        <x:v>46937</x:v>
      </x:c>
      <x:c r="F1280" t="str">
        <x:f>IF(E1280&gt;=WORKDAY.INTL(EOMONTH(E1280,0)+1,-2,1,FERIADOS!$A$2:$A$250),"SÍ","NO")</x:f>
        <x:v>NO</x:v>
      </x:c>
      <x:c r="G1280" s="10" t="n">
        <x:f>IF(F1280="SÍ",EOMONTH(E1280,0)+1,DATE(YEAR(E1280),MONTH(E1280),1))</x:f>
        <x:v>46935</x:v>
      </x:c>
      <x:c r="H1280" t="str">
        <x:f>IF(D1280="NO",IF(C1280="SÍ","FERIADO","FIN DE SEMANA"),"LABORABLE")&amp;IF(F1280="SÍ"," + CIERRE","")</x:f>
        <x:v>FIN DE SEMANA</x:v>
      </x:c>
      <x:c r="I1280" t="str">
        <x:f>TEXT(G1280,"yyyy-mm")</x:f>
        <x:v>2028-07</x:v>
      </x:c>
    </x:row>
    <x:row r="1281" ht="19" customHeight="1">
      <x:c r="A1281" s="2" t="n">
        <x:v>46937</x:v>
      </x:c>
      <x:c r="B1281" t="str">
        <x:f>CHOOSE(WEEKDAY(A1281,2),"Lunes","Martes","Miércoles","Jueves","Viernes","Sábado","Domingo")</x:f>
        <x:v>Lunes</x:v>
      </x:c>
      <x:c r="C1281" t="str">
        <x:f>IF(COUNTIF(FERIADOS!$A$2:$A$250,A1281)&gt;0,"SÍ","NO")</x:f>
        <x:v>NO</x:v>
      </x:c>
      <x:c r="D1281" t="str">
        <x:f>IF(AND(WEEKDAY(A1281,2)&lt;=5,C1281="NO"),"SÍ","NO")</x:f>
        <x:v>SÍ</x:v>
      </x:c>
      <x:c r="E1281" s="2" t="n">
        <x:f>WORKDAY.INTL(A1281-1,1,1,FERIADOS!$A$2:$A$250)</x:f>
        <x:v>46937</x:v>
      </x:c>
      <x:c r="F1281" t="str">
        <x:f>IF(E1281&gt;=WORKDAY.INTL(EOMONTH(E1281,0)+1,-2,1,FERIADOS!$A$2:$A$250),"SÍ","NO")</x:f>
        <x:v>NO</x:v>
      </x:c>
      <x:c r="G1281" s="10" t="n">
        <x:f>IF(F1281="SÍ",EOMONTH(E1281,0)+1,DATE(YEAR(E1281),MONTH(E1281),1))</x:f>
        <x:v>46935</x:v>
      </x:c>
      <x:c r="H1281" t="str">
        <x:f>IF(D1281="NO",IF(C1281="SÍ","FERIADO","FIN DE SEMANA"),"LABORABLE")&amp;IF(F1281="SÍ"," + CIERRE","")</x:f>
        <x:v>LABORABLE</x:v>
      </x:c>
      <x:c r="I1281" t="str">
        <x:f>TEXT(G1281,"yyyy-mm")</x:f>
        <x:v>2028-07</x:v>
      </x:c>
    </x:row>
    <x:row r="1282" ht="19" customHeight="1">
      <x:c r="A1282" s="2" t="n">
        <x:v>46938</x:v>
      </x:c>
      <x:c r="B1282" t="str">
        <x:f>CHOOSE(WEEKDAY(A1282,2),"Lunes","Martes","Miércoles","Jueves","Viernes","Sábado","Domingo")</x:f>
        <x:v>Martes</x:v>
      </x:c>
      <x:c r="C1282" t="str">
        <x:f>IF(COUNTIF(FERIADOS!$A$2:$A$250,A1282)&gt;0,"SÍ","NO")</x:f>
        <x:v>NO</x:v>
      </x:c>
      <x:c r="D1282" t="str">
        <x:f>IF(AND(WEEKDAY(A1282,2)&lt;=5,C1282="NO"),"SÍ","NO")</x:f>
        <x:v>SÍ</x:v>
      </x:c>
      <x:c r="E1282" s="2" t="n">
        <x:f>WORKDAY.INTL(A1282-1,1,1,FERIADOS!$A$2:$A$250)</x:f>
        <x:v>46938</x:v>
      </x:c>
      <x:c r="F1282" t="str">
        <x:f>IF(E1282&gt;=WORKDAY.INTL(EOMONTH(E1282,0)+1,-2,1,FERIADOS!$A$2:$A$250),"SÍ","NO")</x:f>
        <x:v>NO</x:v>
      </x:c>
      <x:c r="G1282" s="10" t="n">
        <x:f>IF(F1282="SÍ",EOMONTH(E1282,0)+1,DATE(YEAR(E1282),MONTH(E1282),1))</x:f>
        <x:v>46935</x:v>
      </x:c>
      <x:c r="H1282" t="str">
        <x:f>IF(D1282="NO",IF(C1282="SÍ","FERIADO","FIN DE SEMANA"),"LABORABLE")&amp;IF(F1282="SÍ"," + CIERRE","")</x:f>
        <x:v>LABORABLE</x:v>
      </x:c>
      <x:c r="I1282" t="str">
        <x:f>TEXT(G1282,"yyyy-mm")</x:f>
        <x:v>2028-07</x:v>
      </x:c>
    </x:row>
    <x:row r="1283" ht="19" customHeight="1">
      <x:c r="A1283" s="2" t="n">
        <x:v>46939</x:v>
      </x:c>
      <x:c r="B1283" t="str">
        <x:f>CHOOSE(WEEKDAY(A1283,2),"Lunes","Martes","Miércoles","Jueves","Viernes","Sábado","Domingo")</x:f>
        <x:v>Miércoles</x:v>
      </x:c>
      <x:c r="C1283" t="str">
        <x:f>IF(COUNTIF(FERIADOS!$A$2:$A$250,A1283)&gt;0,"SÍ","NO")</x:f>
        <x:v>NO</x:v>
      </x:c>
      <x:c r="D1283" t="str">
        <x:f>IF(AND(WEEKDAY(A1283,2)&lt;=5,C1283="NO"),"SÍ","NO")</x:f>
        <x:v>SÍ</x:v>
      </x:c>
      <x:c r="E1283" s="2" t="n">
        <x:f>WORKDAY.INTL(A1283-1,1,1,FERIADOS!$A$2:$A$250)</x:f>
        <x:v>46939</x:v>
      </x:c>
      <x:c r="F1283" t="str">
        <x:f>IF(E1283&gt;=WORKDAY.INTL(EOMONTH(E1283,0)+1,-2,1,FERIADOS!$A$2:$A$250),"SÍ","NO")</x:f>
        <x:v>NO</x:v>
      </x:c>
      <x:c r="G1283" s="10" t="n">
        <x:f>IF(F1283="SÍ",EOMONTH(E1283,0)+1,DATE(YEAR(E1283),MONTH(E1283),1))</x:f>
        <x:v>46935</x:v>
      </x:c>
      <x:c r="H1283" t="str">
        <x:f>IF(D1283="NO",IF(C1283="SÍ","FERIADO","FIN DE SEMANA"),"LABORABLE")&amp;IF(F1283="SÍ"," + CIERRE","")</x:f>
        <x:v>LABORABLE</x:v>
      </x:c>
      <x:c r="I1283" t="str">
        <x:f>TEXT(G1283,"yyyy-mm")</x:f>
        <x:v>2028-07</x:v>
      </x:c>
    </x:row>
    <x:row r="1284" ht="19" customHeight="1">
      <x:c r="A1284" s="2" t="n">
        <x:v>46940</x:v>
      </x:c>
      <x:c r="B1284" t="str">
        <x:f>CHOOSE(WEEKDAY(A1284,2),"Lunes","Martes","Miércoles","Jueves","Viernes","Sábado","Domingo")</x:f>
        <x:v>Jueves</x:v>
      </x:c>
      <x:c r="C1284" t="str">
        <x:f>IF(COUNTIF(FERIADOS!$A$2:$A$250,A1284)&gt;0,"SÍ","NO")</x:f>
        <x:v>NO</x:v>
      </x:c>
      <x:c r="D1284" t="str">
        <x:f>IF(AND(WEEKDAY(A1284,2)&lt;=5,C1284="NO"),"SÍ","NO")</x:f>
        <x:v>SÍ</x:v>
      </x:c>
      <x:c r="E1284" s="2" t="n">
        <x:f>WORKDAY.INTL(A1284-1,1,1,FERIADOS!$A$2:$A$250)</x:f>
        <x:v>46940</x:v>
      </x:c>
      <x:c r="F1284" t="str">
        <x:f>IF(E1284&gt;=WORKDAY.INTL(EOMONTH(E1284,0)+1,-2,1,FERIADOS!$A$2:$A$250),"SÍ","NO")</x:f>
        <x:v>NO</x:v>
      </x:c>
      <x:c r="G1284" s="10" t="n">
        <x:f>IF(F1284="SÍ",EOMONTH(E1284,0)+1,DATE(YEAR(E1284),MONTH(E1284),1))</x:f>
        <x:v>46935</x:v>
      </x:c>
      <x:c r="H1284" t="str">
        <x:f>IF(D1284="NO",IF(C1284="SÍ","FERIADO","FIN DE SEMANA"),"LABORABLE")&amp;IF(F1284="SÍ"," + CIERRE","")</x:f>
        <x:v>LABORABLE</x:v>
      </x:c>
      <x:c r="I1284" t="str">
        <x:f>TEXT(G1284,"yyyy-mm")</x:f>
        <x:v>2028-07</x:v>
      </x:c>
    </x:row>
    <x:row r="1285" ht="19" customHeight="1">
      <x:c r="A1285" s="2" t="n">
        <x:v>46941</x:v>
      </x:c>
      <x:c r="B1285" t="str">
        <x:f>CHOOSE(WEEKDAY(A1285,2),"Lunes","Martes","Miércoles","Jueves","Viernes","Sábado","Domingo")</x:f>
        <x:v>Viernes</x:v>
      </x:c>
      <x:c r="C1285" t="str">
        <x:f>IF(COUNTIF(FERIADOS!$A$2:$A$250,A1285)&gt;0,"SÍ","NO")</x:f>
        <x:v>NO</x:v>
      </x:c>
      <x:c r="D1285" t="str">
        <x:f>IF(AND(WEEKDAY(A1285,2)&lt;=5,C1285="NO"),"SÍ","NO")</x:f>
        <x:v>SÍ</x:v>
      </x:c>
      <x:c r="E1285" s="2" t="n">
        <x:f>WORKDAY.INTL(A1285-1,1,1,FERIADOS!$A$2:$A$250)</x:f>
        <x:v>46941</x:v>
      </x:c>
      <x:c r="F1285" t="str">
        <x:f>IF(E1285&gt;=WORKDAY.INTL(EOMONTH(E1285,0)+1,-2,1,FERIADOS!$A$2:$A$250),"SÍ","NO")</x:f>
        <x:v>NO</x:v>
      </x:c>
      <x:c r="G1285" s="10" t="n">
        <x:f>IF(F1285="SÍ",EOMONTH(E1285,0)+1,DATE(YEAR(E1285),MONTH(E1285),1))</x:f>
        <x:v>46935</x:v>
      </x:c>
      <x:c r="H1285" t="str">
        <x:f>IF(D1285="NO",IF(C1285="SÍ","FERIADO","FIN DE SEMANA"),"LABORABLE")&amp;IF(F1285="SÍ"," + CIERRE","")</x:f>
        <x:v>LABORABLE</x:v>
      </x:c>
      <x:c r="I1285" t="str">
        <x:f>TEXT(G1285,"yyyy-mm")</x:f>
        <x:v>2028-07</x:v>
      </x:c>
    </x:row>
    <x:row r="1286" ht="19" customHeight="1">
      <x:c r="A1286" s="2" t="n">
        <x:v>46942</x:v>
      </x:c>
      <x:c r="B1286" t="str">
        <x:f>CHOOSE(WEEKDAY(A1286,2),"Lunes","Martes","Miércoles","Jueves","Viernes","Sábado","Domingo")</x:f>
        <x:v>Sábado</x:v>
      </x:c>
      <x:c r="C1286" t="str">
        <x:f>IF(COUNTIF(FERIADOS!$A$2:$A$250,A1286)&gt;0,"SÍ","NO")</x:f>
        <x:v>NO</x:v>
      </x:c>
      <x:c r="D1286" t="str">
        <x:f>IF(AND(WEEKDAY(A1286,2)&lt;=5,C1286="NO"),"SÍ","NO")</x:f>
        <x:v>NO</x:v>
      </x:c>
      <x:c r="E1286" s="2" t="n">
        <x:f>WORKDAY.INTL(A1286-1,1,1,FERIADOS!$A$2:$A$250)</x:f>
        <x:v>46944</x:v>
      </x:c>
      <x:c r="F1286" t="str">
        <x:f>IF(E1286&gt;=WORKDAY.INTL(EOMONTH(E1286,0)+1,-2,1,FERIADOS!$A$2:$A$250),"SÍ","NO")</x:f>
        <x:v>NO</x:v>
      </x:c>
      <x:c r="G1286" s="10" t="n">
        <x:f>IF(F1286="SÍ",EOMONTH(E1286,0)+1,DATE(YEAR(E1286),MONTH(E1286),1))</x:f>
        <x:v>46935</x:v>
      </x:c>
      <x:c r="H1286" t="str">
        <x:f>IF(D1286="NO",IF(C1286="SÍ","FERIADO","FIN DE SEMANA"),"LABORABLE")&amp;IF(F1286="SÍ"," + CIERRE","")</x:f>
        <x:v>FIN DE SEMANA</x:v>
      </x:c>
      <x:c r="I1286" t="str">
        <x:f>TEXT(G1286,"yyyy-mm")</x:f>
        <x:v>2028-07</x:v>
      </x:c>
    </x:row>
    <x:row r="1287" ht="19" customHeight="1">
      <x:c r="A1287" s="2" t="n">
        <x:v>46943</x:v>
      </x:c>
      <x:c r="B1287" t="str">
        <x:f>CHOOSE(WEEKDAY(A1287,2),"Lunes","Martes","Miércoles","Jueves","Viernes","Sábado","Domingo")</x:f>
        <x:v>Domingo</x:v>
      </x:c>
      <x:c r="C1287" t="str">
        <x:f>IF(COUNTIF(FERIADOS!$A$2:$A$250,A1287)&gt;0,"SÍ","NO")</x:f>
        <x:v>NO</x:v>
      </x:c>
      <x:c r="D1287" t="str">
        <x:f>IF(AND(WEEKDAY(A1287,2)&lt;=5,C1287="NO"),"SÍ","NO")</x:f>
        <x:v>NO</x:v>
      </x:c>
      <x:c r="E1287" s="2" t="n">
        <x:f>WORKDAY.INTL(A1287-1,1,1,FERIADOS!$A$2:$A$250)</x:f>
        <x:v>46944</x:v>
      </x:c>
      <x:c r="F1287" t="str">
        <x:f>IF(E1287&gt;=WORKDAY.INTL(EOMONTH(E1287,0)+1,-2,1,FERIADOS!$A$2:$A$250),"SÍ","NO")</x:f>
        <x:v>NO</x:v>
      </x:c>
      <x:c r="G1287" s="10" t="n">
        <x:f>IF(F1287="SÍ",EOMONTH(E1287,0)+1,DATE(YEAR(E1287),MONTH(E1287),1))</x:f>
        <x:v>46935</x:v>
      </x:c>
      <x:c r="H1287" t="str">
        <x:f>IF(D1287="NO",IF(C1287="SÍ","FERIADO","FIN DE SEMANA"),"LABORABLE")&amp;IF(F1287="SÍ"," + CIERRE","")</x:f>
        <x:v>FIN DE SEMANA</x:v>
      </x:c>
      <x:c r="I1287" t="str">
        <x:f>TEXT(G1287,"yyyy-mm")</x:f>
        <x:v>2028-07</x:v>
      </x:c>
    </x:row>
    <x:row r="1288" ht="19" customHeight="1">
      <x:c r="A1288" s="2" t="n">
        <x:v>46944</x:v>
      </x:c>
      <x:c r="B1288" t="str">
        <x:f>CHOOSE(WEEKDAY(A1288,2),"Lunes","Martes","Miércoles","Jueves","Viernes","Sábado","Domingo")</x:f>
        <x:v>Lunes</x:v>
      </x:c>
      <x:c r="C1288" t="str">
        <x:f>IF(COUNTIF(FERIADOS!$A$2:$A$250,A1288)&gt;0,"SÍ","NO")</x:f>
        <x:v>NO</x:v>
      </x:c>
      <x:c r="D1288" t="str">
        <x:f>IF(AND(WEEKDAY(A1288,2)&lt;=5,C1288="NO"),"SÍ","NO")</x:f>
        <x:v>SÍ</x:v>
      </x:c>
      <x:c r="E1288" s="2" t="n">
        <x:f>WORKDAY.INTL(A1288-1,1,1,FERIADOS!$A$2:$A$250)</x:f>
        <x:v>46944</x:v>
      </x:c>
      <x:c r="F1288" t="str">
        <x:f>IF(E1288&gt;=WORKDAY.INTL(EOMONTH(E1288,0)+1,-2,1,FERIADOS!$A$2:$A$250),"SÍ","NO")</x:f>
        <x:v>NO</x:v>
      </x:c>
      <x:c r="G1288" s="10" t="n">
        <x:f>IF(F1288="SÍ",EOMONTH(E1288,0)+1,DATE(YEAR(E1288),MONTH(E1288),1))</x:f>
        <x:v>46935</x:v>
      </x:c>
      <x:c r="H1288" t="str">
        <x:f>IF(D1288="NO",IF(C1288="SÍ","FERIADO","FIN DE SEMANA"),"LABORABLE")&amp;IF(F1288="SÍ"," + CIERRE","")</x:f>
        <x:v>LABORABLE</x:v>
      </x:c>
      <x:c r="I1288" t="str">
        <x:f>TEXT(G1288,"yyyy-mm")</x:f>
        <x:v>2028-07</x:v>
      </x:c>
    </x:row>
    <x:row r="1289" ht="19" customHeight="1">
      <x:c r="A1289" s="2" t="n">
        <x:v>46945</x:v>
      </x:c>
      <x:c r="B1289" t="str">
        <x:f>CHOOSE(WEEKDAY(A1289,2),"Lunes","Martes","Miércoles","Jueves","Viernes","Sábado","Domingo")</x:f>
        <x:v>Martes</x:v>
      </x:c>
      <x:c r="C1289" t="str">
        <x:f>IF(COUNTIF(FERIADOS!$A$2:$A$250,A1289)&gt;0,"SÍ","NO")</x:f>
        <x:v>NO</x:v>
      </x:c>
      <x:c r="D1289" t="str">
        <x:f>IF(AND(WEEKDAY(A1289,2)&lt;=5,C1289="NO"),"SÍ","NO")</x:f>
        <x:v>SÍ</x:v>
      </x:c>
      <x:c r="E1289" s="2" t="n">
        <x:f>WORKDAY.INTL(A1289-1,1,1,FERIADOS!$A$2:$A$250)</x:f>
        <x:v>46945</x:v>
      </x:c>
      <x:c r="F1289" t="str">
        <x:f>IF(E1289&gt;=WORKDAY.INTL(EOMONTH(E1289,0)+1,-2,1,FERIADOS!$A$2:$A$250),"SÍ","NO")</x:f>
        <x:v>NO</x:v>
      </x:c>
      <x:c r="G1289" s="10" t="n">
        <x:f>IF(F1289="SÍ",EOMONTH(E1289,0)+1,DATE(YEAR(E1289),MONTH(E1289),1))</x:f>
        <x:v>46935</x:v>
      </x:c>
      <x:c r="H1289" t="str">
        <x:f>IF(D1289="NO",IF(C1289="SÍ","FERIADO","FIN DE SEMANA"),"LABORABLE")&amp;IF(F1289="SÍ"," + CIERRE","")</x:f>
        <x:v>LABORABLE</x:v>
      </x:c>
      <x:c r="I1289" t="str">
        <x:f>TEXT(G1289,"yyyy-mm")</x:f>
        <x:v>2028-07</x:v>
      </x:c>
    </x:row>
    <x:row r="1290" ht="19" customHeight="1">
      <x:c r="A1290" s="2" t="n">
        <x:v>46946</x:v>
      </x:c>
      <x:c r="B1290" t="str">
        <x:f>CHOOSE(WEEKDAY(A1290,2),"Lunes","Martes","Miércoles","Jueves","Viernes","Sábado","Domingo")</x:f>
        <x:v>Miércoles</x:v>
      </x:c>
      <x:c r="C1290" t="str">
        <x:f>IF(COUNTIF(FERIADOS!$A$2:$A$250,A1290)&gt;0,"SÍ","NO")</x:f>
        <x:v>NO</x:v>
      </x:c>
      <x:c r="D1290" t="str">
        <x:f>IF(AND(WEEKDAY(A1290,2)&lt;=5,C1290="NO"),"SÍ","NO")</x:f>
        <x:v>SÍ</x:v>
      </x:c>
      <x:c r="E1290" s="2" t="n">
        <x:f>WORKDAY.INTL(A1290-1,1,1,FERIADOS!$A$2:$A$250)</x:f>
        <x:v>46946</x:v>
      </x:c>
      <x:c r="F1290" t="str">
        <x:f>IF(E1290&gt;=WORKDAY.INTL(EOMONTH(E1290,0)+1,-2,1,FERIADOS!$A$2:$A$250),"SÍ","NO")</x:f>
        <x:v>NO</x:v>
      </x:c>
      <x:c r="G1290" s="10" t="n">
        <x:f>IF(F1290="SÍ",EOMONTH(E1290,0)+1,DATE(YEAR(E1290),MONTH(E1290),1))</x:f>
        <x:v>46935</x:v>
      </x:c>
      <x:c r="H1290" t="str">
        <x:f>IF(D1290="NO",IF(C1290="SÍ","FERIADO","FIN DE SEMANA"),"LABORABLE")&amp;IF(F1290="SÍ"," + CIERRE","")</x:f>
        <x:v>LABORABLE</x:v>
      </x:c>
      <x:c r="I1290" t="str">
        <x:f>TEXT(G1290,"yyyy-mm")</x:f>
        <x:v>2028-07</x:v>
      </x:c>
    </x:row>
    <x:row r="1291" ht="19" customHeight="1">
      <x:c r="A1291" s="2" t="n">
        <x:v>46947</x:v>
      </x:c>
      <x:c r="B1291" t="str">
        <x:f>CHOOSE(WEEKDAY(A1291,2),"Lunes","Martes","Miércoles","Jueves","Viernes","Sábado","Domingo")</x:f>
        <x:v>Jueves</x:v>
      </x:c>
      <x:c r="C1291" t="str">
        <x:f>IF(COUNTIF(FERIADOS!$A$2:$A$250,A1291)&gt;0,"SÍ","NO")</x:f>
        <x:v>NO</x:v>
      </x:c>
      <x:c r="D1291" t="str">
        <x:f>IF(AND(WEEKDAY(A1291,2)&lt;=5,C1291="NO"),"SÍ","NO")</x:f>
        <x:v>SÍ</x:v>
      </x:c>
      <x:c r="E1291" s="2" t="n">
        <x:f>WORKDAY.INTL(A1291-1,1,1,FERIADOS!$A$2:$A$250)</x:f>
        <x:v>46947</x:v>
      </x:c>
      <x:c r="F1291" t="str">
        <x:f>IF(E1291&gt;=WORKDAY.INTL(EOMONTH(E1291,0)+1,-2,1,FERIADOS!$A$2:$A$250),"SÍ","NO")</x:f>
        <x:v>NO</x:v>
      </x:c>
      <x:c r="G1291" s="10" t="n">
        <x:f>IF(F1291="SÍ",EOMONTH(E1291,0)+1,DATE(YEAR(E1291),MONTH(E1291),1))</x:f>
        <x:v>46935</x:v>
      </x:c>
      <x:c r="H1291" t="str">
        <x:f>IF(D1291="NO",IF(C1291="SÍ","FERIADO","FIN DE SEMANA"),"LABORABLE")&amp;IF(F1291="SÍ"," + CIERRE","")</x:f>
        <x:v>LABORABLE</x:v>
      </x:c>
      <x:c r="I1291" t="str">
        <x:f>TEXT(G1291,"yyyy-mm")</x:f>
        <x:v>2028-07</x:v>
      </x:c>
    </x:row>
    <x:row r="1292" ht="19" customHeight="1">
      <x:c r="A1292" s="2" t="n">
        <x:v>46948</x:v>
      </x:c>
      <x:c r="B1292" t="str">
        <x:f>CHOOSE(WEEKDAY(A1292,2),"Lunes","Martes","Miércoles","Jueves","Viernes","Sábado","Domingo")</x:f>
        <x:v>Viernes</x:v>
      </x:c>
      <x:c r="C1292" t="str">
        <x:f>IF(COUNTIF(FERIADOS!$A$2:$A$250,A1292)&gt;0,"SÍ","NO")</x:f>
        <x:v>NO</x:v>
      </x:c>
      <x:c r="D1292" t="str">
        <x:f>IF(AND(WEEKDAY(A1292,2)&lt;=5,C1292="NO"),"SÍ","NO")</x:f>
        <x:v>SÍ</x:v>
      </x:c>
      <x:c r="E1292" s="2" t="n">
        <x:f>WORKDAY.INTL(A1292-1,1,1,FERIADOS!$A$2:$A$250)</x:f>
        <x:v>46948</x:v>
      </x:c>
      <x:c r="F1292" t="str">
        <x:f>IF(E1292&gt;=WORKDAY.INTL(EOMONTH(E1292,0)+1,-2,1,FERIADOS!$A$2:$A$250),"SÍ","NO")</x:f>
        <x:v>NO</x:v>
      </x:c>
      <x:c r="G1292" s="10" t="n">
        <x:f>IF(F1292="SÍ",EOMONTH(E1292,0)+1,DATE(YEAR(E1292),MONTH(E1292),1))</x:f>
        <x:v>46935</x:v>
      </x:c>
      <x:c r="H1292" t="str">
        <x:f>IF(D1292="NO",IF(C1292="SÍ","FERIADO","FIN DE SEMANA"),"LABORABLE")&amp;IF(F1292="SÍ"," + CIERRE","")</x:f>
        <x:v>LABORABLE</x:v>
      </x:c>
      <x:c r="I1292" t="str">
        <x:f>TEXT(G1292,"yyyy-mm")</x:f>
        <x:v>2028-07</x:v>
      </x:c>
    </x:row>
    <x:row r="1293" ht="19" customHeight="1">
      <x:c r="A1293" s="2" t="n">
        <x:v>46949</x:v>
      </x:c>
      <x:c r="B1293" t="str">
        <x:f>CHOOSE(WEEKDAY(A1293,2),"Lunes","Martes","Miércoles","Jueves","Viernes","Sábado","Domingo")</x:f>
        <x:v>Sábado</x:v>
      </x:c>
      <x:c r="C1293" t="str">
        <x:f>IF(COUNTIF(FERIADOS!$A$2:$A$250,A1293)&gt;0,"SÍ","NO")</x:f>
        <x:v>NO</x:v>
      </x:c>
      <x:c r="D1293" t="str">
        <x:f>IF(AND(WEEKDAY(A1293,2)&lt;=5,C1293="NO"),"SÍ","NO")</x:f>
        <x:v>NO</x:v>
      </x:c>
      <x:c r="E1293" s="2" t="n">
        <x:f>WORKDAY.INTL(A1293-1,1,1,FERIADOS!$A$2:$A$250)</x:f>
        <x:v>46951</x:v>
      </x:c>
      <x:c r="F1293" t="str">
        <x:f>IF(E1293&gt;=WORKDAY.INTL(EOMONTH(E1293,0)+1,-2,1,FERIADOS!$A$2:$A$250),"SÍ","NO")</x:f>
        <x:v>NO</x:v>
      </x:c>
      <x:c r="G1293" s="10" t="n">
        <x:f>IF(F1293="SÍ",EOMONTH(E1293,0)+1,DATE(YEAR(E1293),MONTH(E1293),1))</x:f>
        <x:v>46935</x:v>
      </x:c>
      <x:c r="H1293" t="str">
        <x:f>IF(D1293="NO",IF(C1293="SÍ","FERIADO","FIN DE SEMANA"),"LABORABLE")&amp;IF(F1293="SÍ"," + CIERRE","")</x:f>
        <x:v>FIN DE SEMANA</x:v>
      </x:c>
      <x:c r="I1293" t="str">
        <x:f>TEXT(G1293,"yyyy-mm")</x:f>
        <x:v>2028-07</x:v>
      </x:c>
    </x:row>
    <x:row r="1294" ht="19" customHeight="1">
      <x:c r="A1294" s="2" t="n">
        <x:v>46950</x:v>
      </x:c>
      <x:c r="B1294" t="str">
        <x:f>CHOOSE(WEEKDAY(A1294,2),"Lunes","Martes","Miércoles","Jueves","Viernes","Sábado","Domingo")</x:f>
        <x:v>Domingo</x:v>
      </x:c>
      <x:c r="C1294" t="str">
        <x:f>IF(COUNTIF(FERIADOS!$A$2:$A$250,A1294)&gt;0,"SÍ","NO")</x:f>
        <x:v>NO</x:v>
      </x:c>
      <x:c r="D1294" t="str">
        <x:f>IF(AND(WEEKDAY(A1294,2)&lt;=5,C1294="NO"),"SÍ","NO")</x:f>
        <x:v>NO</x:v>
      </x:c>
      <x:c r="E1294" s="2" t="n">
        <x:f>WORKDAY.INTL(A1294-1,1,1,FERIADOS!$A$2:$A$250)</x:f>
        <x:v>46951</x:v>
      </x:c>
      <x:c r="F1294" t="str">
        <x:f>IF(E1294&gt;=WORKDAY.INTL(EOMONTH(E1294,0)+1,-2,1,FERIADOS!$A$2:$A$250),"SÍ","NO")</x:f>
        <x:v>NO</x:v>
      </x:c>
      <x:c r="G1294" s="10" t="n">
        <x:f>IF(F1294="SÍ",EOMONTH(E1294,0)+1,DATE(YEAR(E1294),MONTH(E1294),1))</x:f>
        <x:v>46935</x:v>
      </x:c>
      <x:c r="H1294" t="str">
        <x:f>IF(D1294="NO",IF(C1294="SÍ","FERIADO","FIN DE SEMANA"),"LABORABLE")&amp;IF(F1294="SÍ"," + CIERRE","")</x:f>
        <x:v>FIN DE SEMANA</x:v>
      </x:c>
      <x:c r="I1294" t="str">
        <x:f>TEXT(G1294,"yyyy-mm")</x:f>
        <x:v>2028-07</x:v>
      </x:c>
    </x:row>
    <x:row r="1295" ht="19" customHeight="1">
      <x:c r="A1295" s="2" t="n">
        <x:v>46951</x:v>
      </x:c>
      <x:c r="B1295" t="str">
        <x:f>CHOOSE(WEEKDAY(A1295,2),"Lunes","Martes","Miércoles","Jueves","Viernes","Sábado","Domingo")</x:f>
        <x:v>Lunes</x:v>
      </x:c>
      <x:c r="C1295" t="str">
        <x:f>IF(COUNTIF(FERIADOS!$A$2:$A$250,A1295)&gt;0,"SÍ","NO")</x:f>
        <x:v>NO</x:v>
      </x:c>
      <x:c r="D1295" t="str">
        <x:f>IF(AND(WEEKDAY(A1295,2)&lt;=5,C1295="NO"),"SÍ","NO")</x:f>
        <x:v>SÍ</x:v>
      </x:c>
      <x:c r="E1295" s="2" t="n">
        <x:f>WORKDAY.INTL(A1295-1,1,1,FERIADOS!$A$2:$A$250)</x:f>
        <x:v>46951</x:v>
      </x:c>
      <x:c r="F1295" t="str">
        <x:f>IF(E1295&gt;=WORKDAY.INTL(EOMONTH(E1295,0)+1,-2,1,FERIADOS!$A$2:$A$250),"SÍ","NO")</x:f>
        <x:v>NO</x:v>
      </x:c>
      <x:c r="G1295" s="10" t="n">
        <x:f>IF(F1295="SÍ",EOMONTH(E1295,0)+1,DATE(YEAR(E1295),MONTH(E1295),1))</x:f>
        <x:v>46935</x:v>
      </x:c>
      <x:c r="H1295" t="str">
        <x:f>IF(D1295="NO",IF(C1295="SÍ","FERIADO","FIN DE SEMANA"),"LABORABLE")&amp;IF(F1295="SÍ"," + CIERRE","")</x:f>
        <x:v>LABORABLE</x:v>
      </x:c>
      <x:c r="I1295" t="str">
        <x:f>TEXT(G1295,"yyyy-mm")</x:f>
        <x:v>2028-07</x:v>
      </x:c>
    </x:row>
    <x:row r="1296" ht="19" customHeight="1">
      <x:c r="A1296" s="2" t="n">
        <x:v>46952</x:v>
      </x:c>
      <x:c r="B1296" t="str">
        <x:f>CHOOSE(WEEKDAY(A1296,2),"Lunes","Martes","Miércoles","Jueves","Viernes","Sábado","Domingo")</x:f>
        <x:v>Martes</x:v>
      </x:c>
      <x:c r="C1296" t="str">
        <x:f>IF(COUNTIF(FERIADOS!$A$2:$A$250,A1296)&gt;0,"SÍ","NO")</x:f>
        <x:v>NO</x:v>
      </x:c>
      <x:c r="D1296" t="str">
        <x:f>IF(AND(WEEKDAY(A1296,2)&lt;=5,C1296="NO"),"SÍ","NO")</x:f>
        <x:v>SÍ</x:v>
      </x:c>
      <x:c r="E1296" s="2" t="n">
        <x:f>WORKDAY.INTL(A1296-1,1,1,FERIADOS!$A$2:$A$250)</x:f>
        <x:v>46952</x:v>
      </x:c>
      <x:c r="F1296" t="str">
        <x:f>IF(E1296&gt;=WORKDAY.INTL(EOMONTH(E1296,0)+1,-2,1,FERIADOS!$A$2:$A$250),"SÍ","NO")</x:f>
        <x:v>NO</x:v>
      </x:c>
      <x:c r="G1296" s="10" t="n">
        <x:f>IF(F1296="SÍ",EOMONTH(E1296,0)+1,DATE(YEAR(E1296),MONTH(E1296),1))</x:f>
        <x:v>46935</x:v>
      </x:c>
      <x:c r="H1296" t="str">
        <x:f>IF(D1296="NO",IF(C1296="SÍ","FERIADO","FIN DE SEMANA"),"LABORABLE")&amp;IF(F1296="SÍ"," + CIERRE","")</x:f>
        <x:v>LABORABLE</x:v>
      </x:c>
      <x:c r="I1296" t="str">
        <x:f>TEXT(G1296,"yyyy-mm")</x:f>
        <x:v>2028-07</x:v>
      </x:c>
    </x:row>
    <x:row r="1297" ht="19" customHeight="1">
      <x:c r="A1297" s="2" t="n">
        <x:v>46953</x:v>
      </x:c>
      <x:c r="B1297" t="str">
        <x:f>CHOOSE(WEEKDAY(A1297,2),"Lunes","Martes","Miércoles","Jueves","Viernes","Sábado","Domingo")</x:f>
        <x:v>Miércoles</x:v>
      </x:c>
      <x:c r="C1297" t="str">
        <x:f>IF(COUNTIF(FERIADOS!$A$2:$A$250,A1297)&gt;0,"SÍ","NO")</x:f>
        <x:v>NO</x:v>
      </x:c>
      <x:c r="D1297" t="str">
        <x:f>IF(AND(WEEKDAY(A1297,2)&lt;=5,C1297="NO"),"SÍ","NO")</x:f>
        <x:v>SÍ</x:v>
      </x:c>
      <x:c r="E1297" s="2" t="n">
        <x:f>WORKDAY.INTL(A1297-1,1,1,FERIADOS!$A$2:$A$250)</x:f>
        <x:v>46953</x:v>
      </x:c>
      <x:c r="F1297" t="str">
        <x:f>IF(E1297&gt;=WORKDAY.INTL(EOMONTH(E1297,0)+1,-2,1,FERIADOS!$A$2:$A$250),"SÍ","NO")</x:f>
        <x:v>NO</x:v>
      </x:c>
      <x:c r="G1297" s="10" t="n">
        <x:f>IF(F1297="SÍ",EOMONTH(E1297,0)+1,DATE(YEAR(E1297),MONTH(E1297),1))</x:f>
        <x:v>46935</x:v>
      </x:c>
      <x:c r="H1297" t="str">
        <x:f>IF(D1297="NO",IF(C1297="SÍ","FERIADO","FIN DE SEMANA"),"LABORABLE")&amp;IF(F1297="SÍ"," + CIERRE","")</x:f>
        <x:v>LABORABLE</x:v>
      </x:c>
      <x:c r="I1297" t="str">
        <x:f>TEXT(G1297,"yyyy-mm")</x:f>
        <x:v>2028-07</x:v>
      </x:c>
    </x:row>
    <x:row r="1298" ht="19" customHeight="1">
      <x:c r="A1298" s="2" t="n">
        <x:v>46954</x:v>
      </x:c>
      <x:c r="B1298" t="str">
        <x:f>CHOOSE(WEEKDAY(A1298,2),"Lunes","Martes","Miércoles","Jueves","Viernes","Sábado","Domingo")</x:f>
        <x:v>Jueves</x:v>
      </x:c>
      <x:c r="C1298" t="str">
        <x:f>IF(COUNTIF(FERIADOS!$A$2:$A$250,A1298)&gt;0,"SÍ","NO")</x:f>
        <x:v>NO</x:v>
      </x:c>
      <x:c r="D1298" t="str">
        <x:f>IF(AND(WEEKDAY(A1298,2)&lt;=5,C1298="NO"),"SÍ","NO")</x:f>
        <x:v>SÍ</x:v>
      </x:c>
      <x:c r="E1298" s="2" t="n">
        <x:f>WORKDAY.INTL(A1298-1,1,1,FERIADOS!$A$2:$A$250)</x:f>
        <x:v>46954</x:v>
      </x:c>
      <x:c r="F1298" t="str">
        <x:f>IF(E1298&gt;=WORKDAY.INTL(EOMONTH(E1298,0)+1,-2,1,FERIADOS!$A$2:$A$250),"SÍ","NO")</x:f>
        <x:v>NO</x:v>
      </x:c>
      <x:c r="G1298" s="10" t="n">
        <x:f>IF(F1298="SÍ",EOMONTH(E1298,0)+1,DATE(YEAR(E1298),MONTH(E1298),1))</x:f>
        <x:v>46935</x:v>
      </x:c>
      <x:c r="H1298" t="str">
        <x:f>IF(D1298="NO",IF(C1298="SÍ","FERIADO","FIN DE SEMANA"),"LABORABLE")&amp;IF(F1298="SÍ"," + CIERRE","")</x:f>
        <x:v>LABORABLE</x:v>
      </x:c>
      <x:c r="I1298" t="str">
        <x:f>TEXT(G1298,"yyyy-mm")</x:f>
        <x:v>2028-07</x:v>
      </x:c>
    </x:row>
    <x:row r="1299" ht="19" customHeight="1">
      <x:c r="A1299" s="2" t="n">
        <x:v>46955</x:v>
      </x:c>
      <x:c r="B1299" t="str">
        <x:f>CHOOSE(WEEKDAY(A1299,2),"Lunes","Martes","Miércoles","Jueves","Viernes","Sábado","Domingo")</x:f>
        <x:v>Viernes</x:v>
      </x:c>
      <x:c r="C1299" t="str">
        <x:f>IF(COUNTIF(FERIADOS!$A$2:$A$250,A1299)&gt;0,"SÍ","NO")</x:f>
        <x:v>NO</x:v>
      </x:c>
      <x:c r="D1299" t="str">
        <x:f>IF(AND(WEEKDAY(A1299,2)&lt;=5,C1299="NO"),"SÍ","NO")</x:f>
        <x:v>SÍ</x:v>
      </x:c>
      <x:c r="E1299" s="2" t="n">
        <x:f>WORKDAY.INTL(A1299-1,1,1,FERIADOS!$A$2:$A$250)</x:f>
        <x:v>46955</x:v>
      </x:c>
      <x:c r="F1299" t="str">
        <x:f>IF(E1299&gt;=WORKDAY.INTL(EOMONTH(E1299,0)+1,-2,1,FERIADOS!$A$2:$A$250),"SÍ","NO")</x:f>
        <x:v>NO</x:v>
      </x:c>
      <x:c r="G1299" s="10" t="n">
        <x:f>IF(F1299="SÍ",EOMONTH(E1299,0)+1,DATE(YEAR(E1299),MONTH(E1299),1))</x:f>
        <x:v>46935</x:v>
      </x:c>
      <x:c r="H1299" t="str">
        <x:f>IF(D1299="NO",IF(C1299="SÍ","FERIADO","FIN DE SEMANA"),"LABORABLE")&amp;IF(F1299="SÍ"," + CIERRE","")</x:f>
        <x:v>LABORABLE</x:v>
      </x:c>
      <x:c r="I1299" t="str">
        <x:f>TEXT(G1299,"yyyy-mm")</x:f>
        <x:v>2028-07</x:v>
      </x:c>
    </x:row>
    <x:row r="1300" ht="19" customHeight="1">
      <x:c r="A1300" s="2" t="n">
        <x:v>46956</x:v>
      </x:c>
      <x:c r="B1300" t="str">
        <x:f>CHOOSE(WEEKDAY(A1300,2),"Lunes","Martes","Miércoles","Jueves","Viernes","Sábado","Domingo")</x:f>
        <x:v>Sábado</x:v>
      </x:c>
      <x:c r="C1300" t="str">
        <x:f>IF(COUNTIF(FERIADOS!$A$2:$A$250,A1300)&gt;0,"SÍ","NO")</x:f>
        <x:v>NO</x:v>
      </x:c>
      <x:c r="D1300" t="str">
        <x:f>IF(AND(WEEKDAY(A1300,2)&lt;=5,C1300="NO"),"SÍ","NO")</x:f>
        <x:v>NO</x:v>
      </x:c>
      <x:c r="E1300" s="2" t="n">
        <x:f>WORKDAY.INTL(A1300-1,1,1,FERIADOS!$A$2:$A$250)</x:f>
        <x:v>46958</x:v>
      </x:c>
      <x:c r="F1300" t="str">
        <x:f>IF(E1300&gt;=WORKDAY.INTL(EOMONTH(E1300,0)+1,-2,1,FERIADOS!$A$2:$A$250),"SÍ","NO")</x:f>
        <x:v>NO</x:v>
      </x:c>
      <x:c r="G1300" s="10" t="n">
        <x:f>IF(F1300="SÍ",EOMONTH(E1300,0)+1,DATE(YEAR(E1300),MONTH(E1300),1))</x:f>
        <x:v>46935</x:v>
      </x:c>
      <x:c r="H1300" t="str">
        <x:f>IF(D1300="NO",IF(C1300="SÍ","FERIADO","FIN DE SEMANA"),"LABORABLE")&amp;IF(F1300="SÍ"," + CIERRE","")</x:f>
        <x:v>FIN DE SEMANA</x:v>
      </x:c>
      <x:c r="I1300" t="str">
        <x:f>TEXT(G1300,"yyyy-mm")</x:f>
        <x:v>2028-07</x:v>
      </x:c>
    </x:row>
    <x:row r="1301" ht="19" customHeight="1">
      <x:c r="A1301" s="2" t="n">
        <x:v>46957</x:v>
      </x:c>
      <x:c r="B1301" t="str">
        <x:f>CHOOSE(WEEKDAY(A1301,2),"Lunes","Martes","Miércoles","Jueves","Viernes","Sábado","Domingo")</x:f>
        <x:v>Domingo</x:v>
      </x:c>
      <x:c r="C1301" t="str">
        <x:f>IF(COUNTIF(FERIADOS!$A$2:$A$250,A1301)&gt;0,"SÍ","NO")</x:f>
        <x:v>NO</x:v>
      </x:c>
      <x:c r="D1301" t="str">
        <x:f>IF(AND(WEEKDAY(A1301,2)&lt;=5,C1301="NO"),"SÍ","NO")</x:f>
        <x:v>NO</x:v>
      </x:c>
      <x:c r="E1301" s="2" t="n">
        <x:f>WORKDAY.INTL(A1301-1,1,1,FERIADOS!$A$2:$A$250)</x:f>
        <x:v>46958</x:v>
      </x:c>
      <x:c r="F1301" t="str">
        <x:f>IF(E1301&gt;=WORKDAY.INTL(EOMONTH(E1301,0)+1,-2,1,FERIADOS!$A$2:$A$250),"SÍ","NO")</x:f>
        <x:v>NO</x:v>
      </x:c>
      <x:c r="G1301" s="10" t="n">
        <x:f>IF(F1301="SÍ",EOMONTH(E1301,0)+1,DATE(YEAR(E1301),MONTH(E1301),1))</x:f>
        <x:v>46935</x:v>
      </x:c>
      <x:c r="H1301" t="str">
        <x:f>IF(D1301="NO",IF(C1301="SÍ","FERIADO","FIN DE SEMANA"),"LABORABLE")&amp;IF(F1301="SÍ"," + CIERRE","")</x:f>
        <x:v>FIN DE SEMANA</x:v>
      </x:c>
      <x:c r="I1301" t="str">
        <x:f>TEXT(G1301,"yyyy-mm")</x:f>
        <x:v>2028-07</x:v>
      </x:c>
    </x:row>
    <x:row r="1302" ht="19" customHeight="1">
      <x:c r="A1302" s="2" t="n">
        <x:v>46958</x:v>
      </x:c>
      <x:c r="B1302" t="str">
        <x:f>CHOOSE(WEEKDAY(A1302,2),"Lunes","Martes","Miércoles","Jueves","Viernes","Sábado","Domingo")</x:f>
        <x:v>Lunes</x:v>
      </x:c>
      <x:c r="C1302" t="str">
        <x:f>IF(COUNTIF(FERIADOS!$A$2:$A$250,A1302)&gt;0,"SÍ","NO")</x:f>
        <x:v>NO</x:v>
      </x:c>
      <x:c r="D1302" t="str">
        <x:f>IF(AND(WEEKDAY(A1302,2)&lt;=5,C1302="NO"),"SÍ","NO")</x:f>
        <x:v>SÍ</x:v>
      </x:c>
      <x:c r="E1302" s="2" t="n">
        <x:f>WORKDAY.INTL(A1302-1,1,1,FERIADOS!$A$2:$A$250)</x:f>
        <x:v>46958</x:v>
      </x:c>
      <x:c r="F1302" t="str">
        <x:f>IF(E1302&gt;=WORKDAY.INTL(EOMONTH(E1302,0)+1,-2,1,FERIADOS!$A$2:$A$250),"SÍ","NO")</x:f>
        <x:v>NO</x:v>
      </x:c>
      <x:c r="G1302" s="10" t="n">
        <x:f>IF(F1302="SÍ",EOMONTH(E1302,0)+1,DATE(YEAR(E1302),MONTH(E1302),1))</x:f>
        <x:v>46935</x:v>
      </x:c>
      <x:c r="H1302" t="str">
        <x:f>IF(D1302="NO",IF(C1302="SÍ","FERIADO","FIN DE SEMANA"),"LABORABLE")&amp;IF(F1302="SÍ"," + CIERRE","")</x:f>
        <x:v>LABORABLE</x:v>
      </x:c>
      <x:c r="I1302" t="str">
        <x:f>TEXT(G1302,"yyyy-mm")</x:f>
        <x:v>2028-07</x:v>
      </x:c>
    </x:row>
    <x:row r="1303" ht="19" customHeight="1">
      <x:c r="A1303" s="2" t="n">
        <x:v>46959</x:v>
      </x:c>
      <x:c r="B1303" t="str">
        <x:f>CHOOSE(WEEKDAY(A1303,2),"Lunes","Martes","Miércoles","Jueves","Viernes","Sábado","Domingo")</x:f>
        <x:v>Martes</x:v>
      </x:c>
      <x:c r="C1303" t="str">
        <x:f>IF(COUNTIF(FERIADOS!$A$2:$A$250,A1303)&gt;0,"SÍ","NO")</x:f>
        <x:v>NO</x:v>
      </x:c>
      <x:c r="D1303" t="str">
        <x:f>IF(AND(WEEKDAY(A1303,2)&lt;=5,C1303="NO"),"SÍ","NO")</x:f>
        <x:v>SÍ</x:v>
      </x:c>
      <x:c r="E1303" s="2" t="n">
        <x:f>WORKDAY.INTL(A1303-1,1,1,FERIADOS!$A$2:$A$250)</x:f>
        <x:v>46959</x:v>
      </x:c>
      <x:c r="F1303" t="str">
        <x:f>IF(E1303&gt;=WORKDAY.INTL(EOMONTH(E1303,0)+1,-2,1,FERIADOS!$A$2:$A$250),"SÍ","NO")</x:f>
        <x:v>NO</x:v>
      </x:c>
      <x:c r="G1303" s="10" t="n">
        <x:f>IF(F1303="SÍ",EOMONTH(E1303,0)+1,DATE(YEAR(E1303),MONTH(E1303),1))</x:f>
        <x:v>46935</x:v>
      </x:c>
      <x:c r="H1303" t="str">
        <x:f>IF(D1303="NO",IF(C1303="SÍ","FERIADO","FIN DE SEMANA"),"LABORABLE")&amp;IF(F1303="SÍ"," + CIERRE","")</x:f>
        <x:v>LABORABLE</x:v>
      </x:c>
      <x:c r="I1303" t="str">
        <x:f>TEXT(G1303,"yyyy-mm")</x:f>
        <x:v>2028-07</x:v>
      </x:c>
    </x:row>
    <x:row r="1304" ht="19" customHeight="1">
      <x:c r="A1304" s="2" t="n">
        <x:v>46960</x:v>
      </x:c>
      <x:c r="B1304" t="str">
        <x:f>CHOOSE(WEEKDAY(A1304,2),"Lunes","Martes","Miércoles","Jueves","Viernes","Sábado","Domingo")</x:f>
        <x:v>Miércoles</x:v>
      </x:c>
      <x:c r="C1304" t="str">
        <x:f>IF(COUNTIF(FERIADOS!$A$2:$A$250,A1304)&gt;0,"SÍ","NO")</x:f>
        <x:v>NO</x:v>
      </x:c>
      <x:c r="D1304" t="str">
        <x:f>IF(AND(WEEKDAY(A1304,2)&lt;=5,C1304="NO"),"SÍ","NO")</x:f>
        <x:v>SÍ</x:v>
      </x:c>
      <x:c r="E1304" s="2" t="n">
        <x:f>WORKDAY.INTL(A1304-1,1,1,FERIADOS!$A$2:$A$250)</x:f>
        <x:v>46960</x:v>
      </x:c>
      <x:c r="F1304" t="str">
        <x:f>IF(E1304&gt;=WORKDAY.INTL(EOMONTH(E1304,0)+1,-2,1,FERIADOS!$A$2:$A$250),"SÍ","NO")</x:f>
        <x:v>NO</x:v>
      </x:c>
      <x:c r="G1304" s="10" t="n">
        <x:f>IF(F1304="SÍ",EOMONTH(E1304,0)+1,DATE(YEAR(E1304),MONTH(E1304),1))</x:f>
        <x:v>46935</x:v>
      </x:c>
      <x:c r="H1304" t="str">
        <x:f>IF(D1304="NO",IF(C1304="SÍ","FERIADO","FIN DE SEMANA"),"LABORABLE")&amp;IF(F1304="SÍ"," + CIERRE","")</x:f>
        <x:v>LABORABLE</x:v>
      </x:c>
      <x:c r="I1304" t="str">
        <x:f>TEXT(G1304,"yyyy-mm")</x:f>
        <x:v>2028-07</x:v>
      </x:c>
    </x:row>
    <x:row r="1305" ht="19" customHeight="1">
      <x:c r="A1305" s="2" t="n">
        <x:v>46961</x:v>
      </x:c>
      <x:c r="B1305" t="str">
        <x:f>CHOOSE(WEEKDAY(A1305,2),"Lunes","Martes","Miércoles","Jueves","Viernes","Sábado","Domingo")</x:f>
        <x:v>Jueves</x:v>
      </x:c>
      <x:c r="C1305" t="str">
        <x:f>IF(COUNTIF(FERIADOS!$A$2:$A$250,A1305)&gt;0,"SÍ","NO")</x:f>
        <x:v>NO</x:v>
      </x:c>
      <x:c r="D1305" t="str">
        <x:f>IF(AND(WEEKDAY(A1305,2)&lt;=5,C1305="NO"),"SÍ","NO")</x:f>
        <x:v>SÍ</x:v>
      </x:c>
      <x:c r="E1305" s="2" t="n">
        <x:f>WORKDAY.INTL(A1305-1,1,1,FERIADOS!$A$2:$A$250)</x:f>
        <x:v>46961</x:v>
      </x:c>
      <x:c r="F1305" t="str">
        <x:f>IF(E1305&gt;=WORKDAY.INTL(EOMONTH(E1305,0)+1,-2,1,FERIADOS!$A$2:$A$250),"SÍ","NO")</x:f>
        <x:v>NO</x:v>
      </x:c>
      <x:c r="G1305" s="10" t="n">
        <x:f>IF(F1305="SÍ",EOMONTH(E1305,0)+1,DATE(YEAR(E1305),MONTH(E1305),1))</x:f>
        <x:v>46935</x:v>
      </x:c>
      <x:c r="H1305" t="str">
        <x:f>IF(D1305="NO",IF(C1305="SÍ","FERIADO","FIN DE SEMANA"),"LABORABLE")&amp;IF(F1305="SÍ"," + CIERRE","")</x:f>
        <x:v>LABORABLE</x:v>
      </x:c>
      <x:c r="I1305" t="str">
        <x:f>TEXT(G1305,"yyyy-mm")</x:f>
        <x:v>2028-07</x:v>
      </x:c>
    </x:row>
    <x:row r="1306" ht="19" customHeight="1">
      <x:c r="A1306" s="2" t="n">
        <x:v>46962</x:v>
      </x:c>
      <x:c r="B1306" t="str">
        <x:f>CHOOSE(WEEKDAY(A1306,2),"Lunes","Martes","Miércoles","Jueves","Viernes","Sábado","Domingo")</x:f>
        <x:v>Viernes</x:v>
      </x:c>
      <x:c r="C1306" t="str">
        <x:f>IF(COUNTIF(FERIADOS!$A$2:$A$250,A1306)&gt;0,"SÍ","NO")</x:f>
        <x:v>NO</x:v>
      </x:c>
      <x:c r="D1306" t="str">
        <x:f>IF(AND(WEEKDAY(A1306,2)&lt;=5,C1306="NO"),"SÍ","NO")</x:f>
        <x:v>SÍ</x:v>
      </x:c>
      <x:c r="E1306" s="2" t="n">
        <x:f>WORKDAY.INTL(A1306-1,1,1,FERIADOS!$A$2:$A$250)</x:f>
        <x:v>46962</x:v>
      </x:c>
      <x:c r="F1306" t="str">
        <x:f>IF(E1306&gt;=WORKDAY.INTL(EOMONTH(E1306,0)+1,-2,1,FERIADOS!$A$2:$A$250),"SÍ","NO")</x:f>
        <x:v>SÍ</x:v>
      </x:c>
      <x:c r="G1306" s="10" t="n">
        <x:f>IF(F1306="SÍ",EOMONTH(E1306,0)+1,DATE(YEAR(E1306),MONTH(E1306),1))</x:f>
        <x:v>46966</x:v>
      </x:c>
      <x:c r="H1306" t="str">
        <x:f>IF(D1306="NO",IF(C1306="SÍ","FERIADO","FIN DE SEMANA"),"LABORABLE")&amp;IF(F1306="SÍ"," + CIERRE","")</x:f>
        <x:v>LABORABLE + CIERRE</x:v>
      </x:c>
      <x:c r="I1306" t="str">
        <x:f>TEXT(G1306,"yyyy-mm")</x:f>
        <x:v>2028-08</x:v>
      </x:c>
    </x:row>
    <x:row r="1307" ht="19" customHeight="1">
      <x:c r="A1307" s="2" t="n">
        <x:v>46963</x:v>
      </x:c>
      <x:c r="B1307" t="str">
        <x:f>CHOOSE(WEEKDAY(A1307,2),"Lunes","Martes","Miércoles","Jueves","Viernes","Sábado","Domingo")</x:f>
        <x:v>Sábado</x:v>
      </x:c>
      <x:c r="C1307" t="str">
        <x:f>IF(COUNTIF(FERIADOS!$A$2:$A$250,A1307)&gt;0,"SÍ","NO")</x:f>
        <x:v>NO</x:v>
      </x:c>
      <x:c r="D1307" t="str">
        <x:f>IF(AND(WEEKDAY(A1307,2)&lt;=5,C1307="NO"),"SÍ","NO")</x:f>
        <x:v>NO</x:v>
      </x:c>
      <x:c r="E1307" s="2" t="n">
        <x:f>WORKDAY.INTL(A1307-1,1,1,FERIADOS!$A$2:$A$250)</x:f>
        <x:v>46965</x:v>
      </x:c>
      <x:c r="F1307" t="str">
        <x:f>IF(E1307&gt;=WORKDAY.INTL(EOMONTH(E1307,0)+1,-2,1,FERIADOS!$A$2:$A$250),"SÍ","NO")</x:f>
        <x:v>SÍ</x:v>
      </x:c>
      <x:c r="G1307" s="10" t="n">
        <x:f>IF(F1307="SÍ",EOMONTH(E1307,0)+1,DATE(YEAR(E1307),MONTH(E1307),1))</x:f>
        <x:v>46966</x:v>
      </x:c>
      <x:c r="H1307" t="str">
        <x:f>IF(D1307="NO",IF(C1307="SÍ","FERIADO","FIN DE SEMANA"),"LABORABLE")&amp;IF(F1307="SÍ"," + CIERRE","")</x:f>
        <x:v>FIN DE SEMANA + CIERRE</x:v>
      </x:c>
      <x:c r="I1307" t="str">
        <x:f>TEXT(G1307,"yyyy-mm")</x:f>
        <x:v>2028-08</x:v>
      </x:c>
    </x:row>
    <x:row r="1308" ht="19" customHeight="1">
      <x:c r="A1308" s="2" t="n">
        <x:v>46964</x:v>
      </x:c>
      <x:c r="B1308" t="str">
        <x:f>CHOOSE(WEEKDAY(A1308,2),"Lunes","Martes","Miércoles","Jueves","Viernes","Sábado","Domingo")</x:f>
        <x:v>Domingo</x:v>
      </x:c>
      <x:c r="C1308" t="str">
        <x:f>IF(COUNTIF(FERIADOS!$A$2:$A$250,A1308)&gt;0,"SÍ","NO")</x:f>
        <x:v>NO</x:v>
      </x:c>
      <x:c r="D1308" t="str">
        <x:f>IF(AND(WEEKDAY(A1308,2)&lt;=5,C1308="NO"),"SÍ","NO")</x:f>
        <x:v>NO</x:v>
      </x:c>
      <x:c r="E1308" s="2" t="n">
        <x:f>WORKDAY.INTL(A1308-1,1,1,FERIADOS!$A$2:$A$250)</x:f>
        <x:v>46965</x:v>
      </x:c>
      <x:c r="F1308" t="str">
        <x:f>IF(E1308&gt;=WORKDAY.INTL(EOMONTH(E1308,0)+1,-2,1,FERIADOS!$A$2:$A$250),"SÍ","NO")</x:f>
        <x:v>SÍ</x:v>
      </x:c>
      <x:c r="G1308" s="10" t="n">
        <x:f>IF(F1308="SÍ",EOMONTH(E1308,0)+1,DATE(YEAR(E1308),MONTH(E1308),1))</x:f>
        <x:v>46966</x:v>
      </x:c>
      <x:c r="H1308" t="str">
        <x:f>IF(D1308="NO",IF(C1308="SÍ","FERIADO","FIN DE SEMANA"),"LABORABLE")&amp;IF(F1308="SÍ"," + CIERRE","")</x:f>
        <x:v>FIN DE SEMANA + CIERRE</x:v>
      </x:c>
      <x:c r="I1308" t="str">
        <x:f>TEXT(G1308,"yyyy-mm")</x:f>
        <x:v>2028-08</x:v>
      </x:c>
    </x:row>
    <x:row r="1309" ht="19" customHeight="1">
      <x:c r="A1309" s="2" t="n">
        <x:v>46965</x:v>
      </x:c>
      <x:c r="B1309" t="str">
        <x:f>CHOOSE(WEEKDAY(A1309,2),"Lunes","Martes","Miércoles","Jueves","Viernes","Sábado","Domingo")</x:f>
        <x:v>Lunes</x:v>
      </x:c>
      <x:c r="C1309" t="str">
        <x:f>IF(COUNTIF(FERIADOS!$A$2:$A$250,A1309)&gt;0,"SÍ","NO")</x:f>
        <x:v>NO</x:v>
      </x:c>
      <x:c r="D1309" t="str">
        <x:f>IF(AND(WEEKDAY(A1309,2)&lt;=5,C1309="NO"),"SÍ","NO")</x:f>
        <x:v>SÍ</x:v>
      </x:c>
      <x:c r="E1309" s="2" t="n">
        <x:f>WORKDAY.INTL(A1309-1,1,1,FERIADOS!$A$2:$A$250)</x:f>
        <x:v>46965</x:v>
      </x:c>
      <x:c r="F1309" t="str">
        <x:f>IF(E1309&gt;=WORKDAY.INTL(EOMONTH(E1309,0)+1,-2,1,FERIADOS!$A$2:$A$250),"SÍ","NO")</x:f>
        <x:v>SÍ</x:v>
      </x:c>
      <x:c r="G1309" s="10" t="n">
        <x:f>IF(F1309="SÍ",EOMONTH(E1309,0)+1,DATE(YEAR(E1309),MONTH(E1309),1))</x:f>
        <x:v>46966</x:v>
      </x:c>
      <x:c r="H1309" t="str">
        <x:f>IF(D1309="NO",IF(C1309="SÍ","FERIADO","FIN DE SEMANA"),"LABORABLE")&amp;IF(F1309="SÍ"," + CIERRE","")</x:f>
        <x:v>LABORABLE + CIERRE</x:v>
      </x:c>
      <x:c r="I1309" t="str">
        <x:f>TEXT(G1309,"yyyy-mm")</x:f>
        <x:v>2028-08</x:v>
      </x:c>
    </x:row>
    <x:row r="1310" ht="19" customHeight="1">
      <x:c r="A1310" s="2" t="n">
        <x:v>46966</x:v>
      </x:c>
      <x:c r="B1310" t="str">
        <x:f>CHOOSE(WEEKDAY(A1310,2),"Lunes","Martes","Miércoles","Jueves","Viernes","Sábado","Domingo")</x:f>
        <x:v>Martes</x:v>
      </x:c>
      <x:c r="C1310" t="str">
        <x:f>IF(COUNTIF(FERIADOS!$A$2:$A$250,A1310)&gt;0,"SÍ","NO")</x:f>
        <x:v>NO</x:v>
      </x:c>
      <x:c r="D1310" t="str">
        <x:f>IF(AND(WEEKDAY(A1310,2)&lt;=5,C1310="NO"),"SÍ","NO")</x:f>
        <x:v>SÍ</x:v>
      </x:c>
      <x:c r="E1310" s="2" t="n">
        <x:f>WORKDAY.INTL(A1310-1,1,1,FERIADOS!$A$2:$A$250)</x:f>
        <x:v>46966</x:v>
      </x:c>
      <x:c r="F1310" t="str">
        <x:f>IF(E1310&gt;=WORKDAY.INTL(EOMONTH(E1310,0)+1,-2,1,FERIADOS!$A$2:$A$250),"SÍ","NO")</x:f>
        <x:v>NO</x:v>
      </x:c>
      <x:c r="G1310" s="10" t="n">
        <x:f>IF(F1310="SÍ",EOMONTH(E1310,0)+1,DATE(YEAR(E1310),MONTH(E1310),1))</x:f>
        <x:v>46966</x:v>
      </x:c>
      <x:c r="H1310" t="str">
        <x:f>IF(D1310="NO",IF(C1310="SÍ","FERIADO","FIN DE SEMANA"),"LABORABLE")&amp;IF(F1310="SÍ"," + CIERRE","")</x:f>
        <x:v>LABORABLE</x:v>
      </x:c>
      <x:c r="I1310" t="str">
        <x:f>TEXT(G1310,"yyyy-mm")</x:f>
        <x:v>2028-08</x:v>
      </x:c>
    </x:row>
    <x:row r="1311" ht="19" customHeight="1">
      <x:c r="A1311" s="2" t="n">
        <x:v>46967</x:v>
      </x:c>
      <x:c r="B1311" t="str">
        <x:f>CHOOSE(WEEKDAY(A1311,2),"Lunes","Martes","Miércoles","Jueves","Viernes","Sábado","Domingo")</x:f>
        <x:v>Miércoles</x:v>
      </x:c>
      <x:c r="C1311" t="str">
        <x:f>IF(COUNTIF(FERIADOS!$A$2:$A$250,A1311)&gt;0,"SÍ","NO")</x:f>
        <x:v>NO</x:v>
      </x:c>
      <x:c r="D1311" t="str">
        <x:f>IF(AND(WEEKDAY(A1311,2)&lt;=5,C1311="NO"),"SÍ","NO")</x:f>
        <x:v>SÍ</x:v>
      </x:c>
      <x:c r="E1311" s="2" t="n">
        <x:f>WORKDAY.INTL(A1311-1,1,1,FERIADOS!$A$2:$A$250)</x:f>
        <x:v>46967</x:v>
      </x:c>
      <x:c r="F1311" t="str">
        <x:f>IF(E1311&gt;=WORKDAY.INTL(EOMONTH(E1311,0)+1,-2,1,FERIADOS!$A$2:$A$250),"SÍ","NO")</x:f>
        <x:v>NO</x:v>
      </x:c>
      <x:c r="G1311" s="10" t="n">
        <x:f>IF(F1311="SÍ",EOMONTH(E1311,0)+1,DATE(YEAR(E1311),MONTH(E1311),1))</x:f>
        <x:v>46966</x:v>
      </x:c>
      <x:c r="H1311" t="str">
        <x:f>IF(D1311="NO",IF(C1311="SÍ","FERIADO","FIN DE SEMANA"),"LABORABLE")&amp;IF(F1311="SÍ"," + CIERRE","")</x:f>
        <x:v>LABORABLE</x:v>
      </x:c>
      <x:c r="I1311" t="str">
        <x:f>TEXT(G1311,"yyyy-mm")</x:f>
        <x:v>2028-08</x:v>
      </x:c>
    </x:row>
    <x:row r="1312" ht="19" customHeight="1">
      <x:c r="A1312" s="2" t="n">
        <x:v>46968</x:v>
      </x:c>
      <x:c r="B1312" t="str">
        <x:f>CHOOSE(WEEKDAY(A1312,2),"Lunes","Martes","Miércoles","Jueves","Viernes","Sábado","Domingo")</x:f>
        <x:v>Jueves</x:v>
      </x:c>
      <x:c r="C1312" t="str">
        <x:f>IF(COUNTIF(FERIADOS!$A$2:$A$250,A1312)&gt;0,"SÍ","NO")</x:f>
        <x:v>NO</x:v>
      </x:c>
      <x:c r="D1312" t="str">
        <x:f>IF(AND(WEEKDAY(A1312,2)&lt;=5,C1312="NO"),"SÍ","NO")</x:f>
        <x:v>SÍ</x:v>
      </x:c>
      <x:c r="E1312" s="2" t="n">
        <x:f>WORKDAY.INTL(A1312-1,1,1,FERIADOS!$A$2:$A$250)</x:f>
        <x:v>46968</x:v>
      </x:c>
      <x:c r="F1312" t="str">
        <x:f>IF(E1312&gt;=WORKDAY.INTL(EOMONTH(E1312,0)+1,-2,1,FERIADOS!$A$2:$A$250),"SÍ","NO")</x:f>
        <x:v>NO</x:v>
      </x:c>
      <x:c r="G1312" s="10" t="n">
        <x:f>IF(F1312="SÍ",EOMONTH(E1312,0)+1,DATE(YEAR(E1312),MONTH(E1312),1))</x:f>
        <x:v>46966</x:v>
      </x:c>
      <x:c r="H1312" t="str">
        <x:f>IF(D1312="NO",IF(C1312="SÍ","FERIADO","FIN DE SEMANA"),"LABORABLE")&amp;IF(F1312="SÍ"," + CIERRE","")</x:f>
        <x:v>LABORABLE</x:v>
      </x:c>
      <x:c r="I1312" t="str">
        <x:f>TEXT(G1312,"yyyy-mm")</x:f>
        <x:v>2028-08</x:v>
      </x:c>
    </x:row>
    <x:row r="1313" ht="19" customHeight="1">
      <x:c r="A1313" s="2" t="n">
        <x:v>46969</x:v>
      </x:c>
      <x:c r="B1313" t="str">
        <x:f>CHOOSE(WEEKDAY(A1313,2),"Lunes","Martes","Miércoles","Jueves","Viernes","Sábado","Domingo")</x:f>
        <x:v>Viernes</x:v>
      </x:c>
      <x:c r="C1313" t="str">
        <x:f>IF(COUNTIF(FERIADOS!$A$2:$A$250,A1313)&gt;0,"SÍ","NO")</x:f>
        <x:v>NO</x:v>
      </x:c>
      <x:c r="D1313" t="str">
        <x:f>IF(AND(WEEKDAY(A1313,2)&lt;=5,C1313="NO"),"SÍ","NO")</x:f>
        <x:v>SÍ</x:v>
      </x:c>
      <x:c r="E1313" s="2" t="n">
        <x:f>WORKDAY.INTL(A1313-1,1,1,FERIADOS!$A$2:$A$250)</x:f>
        <x:v>46969</x:v>
      </x:c>
      <x:c r="F1313" t="str">
        <x:f>IF(E1313&gt;=WORKDAY.INTL(EOMONTH(E1313,0)+1,-2,1,FERIADOS!$A$2:$A$250),"SÍ","NO")</x:f>
        <x:v>NO</x:v>
      </x:c>
      <x:c r="G1313" s="10" t="n">
        <x:f>IF(F1313="SÍ",EOMONTH(E1313,0)+1,DATE(YEAR(E1313),MONTH(E1313),1))</x:f>
        <x:v>46966</x:v>
      </x:c>
      <x:c r="H1313" t="str">
        <x:f>IF(D1313="NO",IF(C1313="SÍ","FERIADO","FIN DE SEMANA"),"LABORABLE")&amp;IF(F1313="SÍ"," + CIERRE","")</x:f>
        <x:v>LABORABLE</x:v>
      </x:c>
      <x:c r="I1313" t="str">
        <x:f>TEXT(G1313,"yyyy-mm")</x:f>
        <x:v>2028-08</x:v>
      </x:c>
    </x:row>
    <x:row r="1314" ht="19" customHeight="1">
      <x:c r="A1314" s="2" t="n">
        <x:v>46970</x:v>
      </x:c>
      <x:c r="B1314" t="str">
        <x:f>CHOOSE(WEEKDAY(A1314,2),"Lunes","Martes","Miércoles","Jueves","Viernes","Sábado","Domingo")</x:f>
        <x:v>Sábado</x:v>
      </x:c>
      <x:c r="C1314" t="str">
        <x:f>IF(COUNTIF(FERIADOS!$A$2:$A$250,A1314)&gt;0,"SÍ","NO")</x:f>
        <x:v>NO</x:v>
      </x:c>
      <x:c r="D1314" t="str">
        <x:f>IF(AND(WEEKDAY(A1314,2)&lt;=5,C1314="NO"),"SÍ","NO")</x:f>
        <x:v>NO</x:v>
      </x:c>
      <x:c r="E1314" s="2" t="n">
        <x:f>WORKDAY.INTL(A1314-1,1,1,FERIADOS!$A$2:$A$250)</x:f>
        <x:v>46972</x:v>
      </x:c>
      <x:c r="F1314" t="str">
        <x:f>IF(E1314&gt;=WORKDAY.INTL(EOMONTH(E1314,0)+1,-2,1,FERIADOS!$A$2:$A$250),"SÍ","NO")</x:f>
        <x:v>NO</x:v>
      </x:c>
      <x:c r="G1314" s="10" t="n">
        <x:f>IF(F1314="SÍ",EOMONTH(E1314,0)+1,DATE(YEAR(E1314),MONTH(E1314),1))</x:f>
        <x:v>46966</x:v>
      </x:c>
      <x:c r="H1314" t="str">
        <x:f>IF(D1314="NO",IF(C1314="SÍ","FERIADO","FIN DE SEMANA"),"LABORABLE")&amp;IF(F1314="SÍ"," + CIERRE","")</x:f>
        <x:v>FIN DE SEMANA</x:v>
      </x:c>
      <x:c r="I1314" t="str">
        <x:f>TEXT(G1314,"yyyy-mm")</x:f>
        <x:v>2028-08</x:v>
      </x:c>
    </x:row>
    <x:row r="1315" ht="19" customHeight="1">
      <x:c r="A1315" s="2" t="n">
        <x:v>46971</x:v>
      </x:c>
      <x:c r="B1315" t="str">
        <x:f>CHOOSE(WEEKDAY(A1315,2),"Lunes","Martes","Miércoles","Jueves","Viernes","Sábado","Domingo")</x:f>
        <x:v>Domingo</x:v>
      </x:c>
      <x:c r="C1315" t="str">
        <x:f>IF(COUNTIF(FERIADOS!$A$2:$A$250,A1315)&gt;0,"SÍ","NO")</x:f>
        <x:v>NO</x:v>
      </x:c>
      <x:c r="D1315" t="str">
        <x:f>IF(AND(WEEKDAY(A1315,2)&lt;=5,C1315="NO"),"SÍ","NO")</x:f>
        <x:v>NO</x:v>
      </x:c>
      <x:c r="E1315" s="2" t="n">
        <x:f>WORKDAY.INTL(A1315-1,1,1,FERIADOS!$A$2:$A$250)</x:f>
        <x:v>46972</x:v>
      </x:c>
      <x:c r="F1315" t="str">
        <x:f>IF(E1315&gt;=WORKDAY.INTL(EOMONTH(E1315,0)+1,-2,1,FERIADOS!$A$2:$A$250),"SÍ","NO")</x:f>
        <x:v>NO</x:v>
      </x:c>
      <x:c r="G1315" s="10" t="n">
        <x:f>IF(F1315="SÍ",EOMONTH(E1315,0)+1,DATE(YEAR(E1315),MONTH(E1315),1))</x:f>
        <x:v>46966</x:v>
      </x:c>
      <x:c r="H1315" t="str">
        <x:f>IF(D1315="NO",IF(C1315="SÍ","FERIADO","FIN DE SEMANA"),"LABORABLE")&amp;IF(F1315="SÍ"," + CIERRE","")</x:f>
        <x:v>FIN DE SEMANA</x:v>
      </x:c>
      <x:c r="I1315" t="str">
        <x:f>TEXT(G1315,"yyyy-mm")</x:f>
        <x:v>2028-08</x:v>
      </x:c>
    </x:row>
    <x:row r="1316" ht="19" customHeight="1">
      <x:c r="A1316" s="2" t="n">
        <x:v>46972</x:v>
      </x:c>
      <x:c r="B1316" t="str">
        <x:f>CHOOSE(WEEKDAY(A1316,2),"Lunes","Martes","Miércoles","Jueves","Viernes","Sábado","Domingo")</x:f>
        <x:v>Lunes</x:v>
      </x:c>
      <x:c r="C1316" t="str">
        <x:f>IF(COUNTIF(FERIADOS!$A$2:$A$250,A1316)&gt;0,"SÍ","NO")</x:f>
        <x:v>NO</x:v>
      </x:c>
      <x:c r="D1316" t="str">
        <x:f>IF(AND(WEEKDAY(A1316,2)&lt;=5,C1316="NO"),"SÍ","NO")</x:f>
        <x:v>SÍ</x:v>
      </x:c>
      <x:c r="E1316" s="2" t="n">
        <x:f>WORKDAY.INTL(A1316-1,1,1,FERIADOS!$A$2:$A$250)</x:f>
        <x:v>46972</x:v>
      </x:c>
      <x:c r="F1316" t="str">
        <x:f>IF(E1316&gt;=WORKDAY.INTL(EOMONTH(E1316,0)+1,-2,1,FERIADOS!$A$2:$A$250),"SÍ","NO")</x:f>
        <x:v>NO</x:v>
      </x:c>
      <x:c r="G1316" s="10" t="n">
        <x:f>IF(F1316="SÍ",EOMONTH(E1316,0)+1,DATE(YEAR(E1316),MONTH(E1316),1))</x:f>
        <x:v>46966</x:v>
      </x:c>
      <x:c r="H1316" t="str">
        <x:f>IF(D1316="NO",IF(C1316="SÍ","FERIADO","FIN DE SEMANA"),"LABORABLE")&amp;IF(F1316="SÍ"," + CIERRE","")</x:f>
        <x:v>LABORABLE</x:v>
      </x:c>
      <x:c r="I1316" t="str">
        <x:f>TEXT(G1316,"yyyy-mm")</x:f>
        <x:v>2028-08</x:v>
      </x:c>
    </x:row>
    <x:row r="1317" ht="19" customHeight="1">
      <x:c r="A1317" s="2" t="n">
        <x:v>46973</x:v>
      </x:c>
      <x:c r="B1317" t="str">
        <x:f>CHOOSE(WEEKDAY(A1317,2),"Lunes","Martes","Miércoles","Jueves","Viernes","Sábado","Domingo")</x:f>
        <x:v>Martes</x:v>
      </x:c>
      <x:c r="C1317" t="str">
        <x:f>IF(COUNTIF(FERIADOS!$A$2:$A$250,A1317)&gt;0,"SÍ","NO")</x:f>
        <x:v>NO</x:v>
      </x:c>
      <x:c r="D1317" t="str">
        <x:f>IF(AND(WEEKDAY(A1317,2)&lt;=5,C1317="NO"),"SÍ","NO")</x:f>
        <x:v>SÍ</x:v>
      </x:c>
      <x:c r="E1317" s="2" t="n">
        <x:f>WORKDAY.INTL(A1317-1,1,1,FERIADOS!$A$2:$A$250)</x:f>
        <x:v>46973</x:v>
      </x:c>
      <x:c r="F1317" t="str">
        <x:f>IF(E1317&gt;=WORKDAY.INTL(EOMONTH(E1317,0)+1,-2,1,FERIADOS!$A$2:$A$250),"SÍ","NO")</x:f>
        <x:v>NO</x:v>
      </x:c>
      <x:c r="G1317" s="10" t="n">
        <x:f>IF(F1317="SÍ",EOMONTH(E1317,0)+1,DATE(YEAR(E1317),MONTH(E1317),1))</x:f>
        <x:v>46966</x:v>
      </x:c>
      <x:c r="H1317" t="str">
        <x:f>IF(D1317="NO",IF(C1317="SÍ","FERIADO","FIN DE SEMANA"),"LABORABLE")&amp;IF(F1317="SÍ"," + CIERRE","")</x:f>
        <x:v>LABORABLE</x:v>
      </x:c>
      <x:c r="I1317" t="str">
        <x:f>TEXT(G1317,"yyyy-mm")</x:f>
        <x:v>2028-08</x:v>
      </x:c>
    </x:row>
    <x:row r="1318" ht="19" customHeight="1">
      <x:c r="A1318" s="2" t="n">
        <x:v>46974</x:v>
      </x:c>
      <x:c r="B1318" t="str">
        <x:f>CHOOSE(WEEKDAY(A1318,2),"Lunes","Martes","Miércoles","Jueves","Viernes","Sábado","Domingo")</x:f>
        <x:v>Miércoles</x:v>
      </x:c>
      <x:c r="C1318" t="str">
        <x:f>IF(COUNTIF(FERIADOS!$A$2:$A$250,A1318)&gt;0,"SÍ","NO")</x:f>
        <x:v>NO</x:v>
      </x:c>
      <x:c r="D1318" t="str">
        <x:f>IF(AND(WEEKDAY(A1318,2)&lt;=5,C1318="NO"),"SÍ","NO")</x:f>
        <x:v>SÍ</x:v>
      </x:c>
      <x:c r="E1318" s="2" t="n">
        <x:f>WORKDAY.INTL(A1318-1,1,1,FERIADOS!$A$2:$A$250)</x:f>
        <x:v>46974</x:v>
      </x:c>
      <x:c r="F1318" t="str">
        <x:f>IF(E1318&gt;=WORKDAY.INTL(EOMONTH(E1318,0)+1,-2,1,FERIADOS!$A$2:$A$250),"SÍ","NO")</x:f>
        <x:v>NO</x:v>
      </x:c>
      <x:c r="G1318" s="10" t="n">
        <x:f>IF(F1318="SÍ",EOMONTH(E1318,0)+1,DATE(YEAR(E1318),MONTH(E1318),1))</x:f>
        <x:v>46966</x:v>
      </x:c>
      <x:c r="H1318" t="str">
        <x:f>IF(D1318="NO",IF(C1318="SÍ","FERIADO","FIN DE SEMANA"),"LABORABLE")&amp;IF(F1318="SÍ"," + CIERRE","")</x:f>
        <x:v>LABORABLE</x:v>
      </x:c>
      <x:c r="I1318" t="str">
        <x:f>TEXT(G1318,"yyyy-mm")</x:f>
        <x:v>2028-08</x:v>
      </x:c>
    </x:row>
    <x:row r="1319" ht="19" customHeight="1">
      <x:c r="A1319" s="2" t="n">
        <x:v>46975</x:v>
      </x:c>
      <x:c r="B1319" t="str">
        <x:f>CHOOSE(WEEKDAY(A1319,2),"Lunes","Martes","Miércoles","Jueves","Viernes","Sábado","Domingo")</x:f>
        <x:v>Jueves</x:v>
      </x:c>
      <x:c r="C1319" t="str">
        <x:f>IF(COUNTIF(FERIADOS!$A$2:$A$250,A1319)&gt;0,"SÍ","NO")</x:f>
        <x:v>NO</x:v>
      </x:c>
      <x:c r="D1319" t="str">
        <x:f>IF(AND(WEEKDAY(A1319,2)&lt;=5,C1319="NO"),"SÍ","NO")</x:f>
        <x:v>SÍ</x:v>
      </x:c>
      <x:c r="E1319" s="2" t="n">
        <x:f>WORKDAY.INTL(A1319-1,1,1,FERIADOS!$A$2:$A$250)</x:f>
        <x:v>46975</x:v>
      </x:c>
      <x:c r="F1319" t="str">
        <x:f>IF(E1319&gt;=WORKDAY.INTL(EOMONTH(E1319,0)+1,-2,1,FERIADOS!$A$2:$A$250),"SÍ","NO")</x:f>
        <x:v>NO</x:v>
      </x:c>
      <x:c r="G1319" s="10" t="n">
        <x:f>IF(F1319="SÍ",EOMONTH(E1319,0)+1,DATE(YEAR(E1319),MONTH(E1319),1))</x:f>
        <x:v>46966</x:v>
      </x:c>
      <x:c r="H1319" t="str">
        <x:f>IF(D1319="NO",IF(C1319="SÍ","FERIADO","FIN DE SEMANA"),"LABORABLE")&amp;IF(F1319="SÍ"," + CIERRE","")</x:f>
        <x:v>LABORABLE</x:v>
      </x:c>
      <x:c r="I1319" t="str">
        <x:f>TEXT(G1319,"yyyy-mm")</x:f>
        <x:v>2028-08</x:v>
      </x:c>
    </x:row>
    <x:row r="1320" ht="19" customHeight="1">
      <x:c r="A1320" s="2" t="n">
        <x:v>46976</x:v>
      </x:c>
      <x:c r="B1320" t="str">
        <x:f>CHOOSE(WEEKDAY(A1320,2),"Lunes","Martes","Miércoles","Jueves","Viernes","Sábado","Domingo")</x:f>
        <x:v>Viernes</x:v>
      </x:c>
      <x:c r="C1320" t="str">
        <x:f>IF(COUNTIF(FERIADOS!$A$2:$A$250,A1320)&gt;0,"SÍ","NO")</x:f>
        <x:v>SÍ</x:v>
      </x:c>
      <x:c r="D1320" t="str">
        <x:f>IF(AND(WEEKDAY(A1320,2)&lt;=5,C1320="NO"),"SÍ","NO")</x:f>
        <x:v>NO</x:v>
      </x:c>
      <x:c r="E1320" s="2" t="n">
        <x:f>WORKDAY.INTL(A1320-1,1,1,FERIADOS!$A$2:$A$250)</x:f>
        <x:v>46979</x:v>
      </x:c>
      <x:c r="F1320" t="str">
        <x:f>IF(E1320&gt;=WORKDAY.INTL(EOMONTH(E1320,0)+1,-2,1,FERIADOS!$A$2:$A$250),"SÍ","NO")</x:f>
        <x:v>NO</x:v>
      </x:c>
      <x:c r="G1320" s="10" t="n">
        <x:f>IF(F1320="SÍ",EOMONTH(E1320,0)+1,DATE(YEAR(E1320),MONTH(E1320),1))</x:f>
        <x:v>46966</x:v>
      </x:c>
      <x:c r="H1320" t="str">
        <x:f>IF(D1320="NO",IF(C1320="SÍ","FERIADO","FIN DE SEMANA"),"LABORABLE")&amp;IF(F1320="SÍ"," + CIERRE","")</x:f>
        <x:v>FERIADO</x:v>
      </x:c>
      <x:c r="I1320" t="str">
        <x:f>TEXT(G1320,"yyyy-mm")</x:f>
        <x:v>2028-08</x:v>
      </x:c>
    </x:row>
    <x:row r="1321" ht="19" customHeight="1">
      <x:c r="A1321" s="2" t="n">
        <x:v>46977</x:v>
      </x:c>
      <x:c r="B1321" t="str">
        <x:f>CHOOSE(WEEKDAY(A1321,2),"Lunes","Martes","Miércoles","Jueves","Viernes","Sábado","Domingo")</x:f>
        <x:v>Sábado</x:v>
      </x:c>
      <x:c r="C1321" t="str">
        <x:f>IF(COUNTIF(FERIADOS!$A$2:$A$250,A1321)&gt;0,"SÍ","NO")</x:f>
        <x:v>NO</x:v>
      </x:c>
      <x:c r="D1321" t="str">
        <x:f>IF(AND(WEEKDAY(A1321,2)&lt;=5,C1321="NO"),"SÍ","NO")</x:f>
        <x:v>NO</x:v>
      </x:c>
      <x:c r="E1321" s="2" t="n">
        <x:f>WORKDAY.INTL(A1321-1,1,1,FERIADOS!$A$2:$A$250)</x:f>
        <x:v>46979</x:v>
      </x:c>
      <x:c r="F1321" t="str">
        <x:f>IF(E1321&gt;=WORKDAY.INTL(EOMONTH(E1321,0)+1,-2,1,FERIADOS!$A$2:$A$250),"SÍ","NO")</x:f>
        <x:v>NO</x:v>
      </x:c>
      <x:c r="G1321" s="10" t="n">
        <x:f>IF(F1321="SÍ",EOMONTH(E1321,0)+1,DATE(YEAR(E1321),MONTH(E1321),1))</x:f>
        <x:v>46966</x:v>
      </x:c>
      <x:c r="H1321" t="str">
        <x:f>IF(D1321="NO",IF(C1321="SÍ","FERIADO","FIN DE SEMANA"),"LABORABLE")&amp;IF(F1321="SÍ"," + CIERRE","")</x:f>
        <x:v>FIN DE SEMANA</x:v>
      </x:c>
      <x:c r="I1321" t="str">
        <x:f>TEXT(G1321,"yyyy-mm")</x:f>
        <x:v>2028-08</x:v>
      </x:c>
    </x:row>
    <x:row r="1322" ht="19" customHeight="1">
      <x:c r="A1322" s="2" t="n">
        <x:v>46978</x:v>
      </x:c>
      <x:c r="B1322" t="str">
        <x:f>CHOOSE(WEEKDAY(A1322,2),"Lunes","Martes","Miércoles","Jueves","Viernes","Sábado","Domingo")</x:f>
        <x:v>Domingo</x:v>
      </x:c>
      <x:c r="C1322" t="str">
        <x:f>IF(COUNTIF(FERIADOS!$A$2:$A$250,A1322)&gt;0,"SÍ","NO")</x:f>
        <x:v>NO</x:v>
      </x:c>
      <x:c r="D1322" t="str">
        <x:f>IF(AND(WEEKDAY(A1322,2)&lt;=5,C1322="NO"),"SÍ","NO")</x:f>
        <x:v>NO</x:v>
      </x:c>
      <x:c r="E1322" s="2" t="n">
        <x:f>WORKDAY.INTL(A1322-1,1,1,FERIADOS!$A$2:$A$250)</x:f>
        <x:v>46979</x:v>
      </x:c>
      <x:c r="F1322" t="str">
        <x:f>IF(E1322&gt;=WORKDAY.INTL(EOMONTH(E1322,0)+1,-2,1,FERIADOS!$A$2:$A$250),"SÍ","NO")</x:f>
        <x:v>NO</x:v>
      </x:c>
      <x:c r="G1322" s="10" t="n">
        <x:f>IF(F1322="SÍ",EOMONTH(E1322,0)+1,DATE(YEAR(E1322),MONTH(E1322),1))</x:f>
        <x:v>46966</x:v>
      </x:c>
      <x:c r="H1322" t="str">
        <x:f>IF(D1322="NO",IF(C1322="SÍ","FERIADO","FIN DE SEMANA"),"LABORABLE")&amp;IF(F1322="SÍ"," + CIERRE","")</x:f>
        <x:v>FIN DE SEMANA</x:v>
      </x:c>
      <x:c r="I1322" t="str">
        <x:f>TEXT(G1322,"yyyy-mm")</x:f>
        <x:v>2028-08</x:v>
      </x:c>
    </x:row>
    <x:row r="1323" ht="19" customHeight="1">
      <x:c r="A1323" s="2" t="n">
        <x:v>46979</x:v>
      </x:c>
      <x:c r="B1323" t="str">
        <x:f>CHOOSE(WEEKDAY(A1323,2),"Lunes","Martes","Miércoles","Jueves","Viernes","Sábado","Domingo")</x:f>
        <x:v>Lunes</x:v>
      </x:c>
      <x:c r="C1323" t="str">
        <x:f>IF(COUNTIF(FERIADOS!$A$2:$A$250,A1323)&gt;0,"SÍ","NO")</x:f>
        <x:v>NO</x:v>
      </x:c>
      <x:c r="D1323" t="str">
        <x:f>IF(AND(WEEKDAY(A1323,2)&lt;=5,C1323="NO"),"SÍ","NO")</x:f>
        <x:v>SÍ</x:v>
      </x:c>
      <x:c r="E1323" s="2" t="n">
        <x:f>WORKDAY.INTL(A1323-1,1,1,FERIADOS!$A$2:$A$250)</x:f>
        <x:v>46979</x:v>
      </x:c>
      <x:c r="F1323" t="str">
        <x:f>IF(E1323&gt;=WORKDAY.INTL(EOMONTH(E1323,0)+1,-2,1,FERIADOS!$A$2:$A$250),"SÍ","NO")</x:f>
        <x:v>NO</x:v>
      </x:c>
      <x:c r="G1323" s="10" t="n">
        <x:f>IF(F1323="SÍ",EOMONTH(E1323,0)+1,DATE(YEAR(E1323),MONTH(E1323),1))</x:f>
        <x:v>46966</x:v>
      </x:c>
      <x:c r="H1323" t="str">
        <x:f>IF(D1323="NO",IF(C1323="SÍ","FERIADO","FIN DE SEMANA"),"LABORABLE")&amp;IF(F1323="SÍ"," + CIERRE","")</x:f>
        <x:v>LABORABLE</x:v>
      </x:c>
      <x:c r="I1323" t="str">
        <x:f>TEXT(G1323,"yyyy-mm")</x:f>
        <x:v>2028-08</x:v>
      </x:c>
    </x:row>
    <x:row r="1324" ht="19" customHeight="1">
      <x:c r="A1324" s="2" t="n">
        <x:v>46980</x:v>
      </x:c>
      <x:c r="B1324" t="str">
        <x:f>CHOOSE(WEEKDAY(A1324,2),"Lunes","Martes","Miércoles","Jueves","Viernes","Sábado","Domingo")</x:f>
        <x:v>Martes</x:v>
      </x:c>
      <x:c r="C1324" t="str">
        <x:f>IF(COUNTIF(FERIADOS!$A$2:$A$250,A1324)&gt;0,"SÍ","NO")</x:f>
        <x:v>NO</x:v>
      </x:c>
      <x:c r="D1324" t="str">
        <x:f>IF(AND(WEEKDAY(A1324,2)&lt;=5,C1324="NO"),"SÍ","NO")</x:f>
        <x:v>SÍ</x:v>
      </x:c>
      <x:c r="E1324" s="2" t="n">
        <x:f>WORKDAY.INTL(A1324-1,1,1,FERIADOS!$A$2:$A$250)</x:f>
        <x:v>46980</x:v>
      </x:c>
      <x:c r="F1324" t="str">
        <x:f>IF(E1324&gt;=WORKDAY.INTL(EOMONTH(E1324,0)+1,-2,1,FERIADOS!$A$2:$A$250),"SÍ","NO")</x:f>
        <x:v>NO</x:v>
      </x:c>
      <x:c r="G1324" s="10" t="n">
        <x:f>IF(F1324="SÍ",EOMONTH(E1324,0)+1,DATE(YEAR(E1324),MONTH(E1324),1))</x:f>
        <x:v>46966</x:v>
      </x:c>
      <x:c r="H1324" t="str">
        <x:f>IF(D1324="NO",IF(C1324="SÍ","FERIADO","FIN DE SEMANA"),"LABORABLE")&amp;IF(F1324="SÍ"," + CIERRE","")</x:f>
        <x:v>LABORABLE</x:v>
      </x:c>
      <x:c r="I1324" t="str">
        <x:f>TEXT(G1324,"yyyy-mm")</x:f>
        <x:v>2028-08</x:v>
      </x:c>
    </x:row>
    <x:row r="1325" ht="19" customHeight="1">
      <x:c r="A1325" s="2" t="n">
        <x:v>46981</x:v>
      </x:c>
      <x:c r="B1325" t="str">
        <x:f>CHOOSE(WEEKDAY(A1325,2),"Lunes","Martes","Miércoles","Jueves","Viernes","Sábado","Domingo")</x:f>
        <x:v>Miércoles</x:v>
      </x:c>
      <x:c r="C1325" t="str">
        <x:f>IF(COUNTIF(FERIADOS!$A$2:$A$250,A1325)&gt;0,"SÍ","NO")</x:f>
        <x:v>NO</x:v>
      </x:c>
      <x:c r="D1325" t="str">
        <x:f>IF(AND(WEEKDAY(A1325,2)&lt;=5,C1325="NO"),"SÍ","NO")</x:f>
        <x:v>SÍ</x:v>
      </x:c>
      <x:c r="E1325" s="2" t="n">
        <x:f>WORKDAY.INTL(A1325-1,1,1,FERIADOS!$A$2:$A$250)</x:f>
        <x:v>46981</x:v>
      </x:c>
      <x:c r="F1325" t="str">
        <x:f>IF(E1325&gt;=WORKDAY.INTL(EOMONTH(E1325,0)+1,-2,1,FERIADOS!$A$2:$A$250),"SÍ","NO")</x:f>
        <x:v>NO</x:v>
      </x:c>
      <x:c r="G1325" s="10" t="n">
        <x:f>IF(F1325="SÍ",EOMONTH(E1325,0)+1,DATE(YEAR(E1325),MONTH(E1325),1))</x:f>
        <x:v>46966</x:v>
      </x:c>
      <x:c r="H1325" t="str">
        <x:f>IF(D1325="NO",IF(C1325="SÍ","FERIADO","FIN DE SEMANA"),"LABORABLE")&amp;IF(F1325="SÍ"," + CIERRE","")</x:f>
        <x:v>LABORABLE</x:v>
      </x:c>
      <x:c r="I1325" t="str">
        <x:f>TEXT(G1325,"yyyy-mm")</x:f>
        <x:v>2028-08</x:v>
      </x:c>
    </x:row>
    <x:row r="1326" ht="19" customHeight="1">
      <x:c r="A1326" s="2" t="n">
        <x:v>46982</x:v>
      </x:c>
      <x:c r="B1326" t="str">
        <x:f>CHOOSE(WEEKDAY(A1326,2),"Lunes","Martes","Miércoles","Jueves","Viernes","Sábado","Domingo")</x:f>
        <x:v>Jueves</x:v>
      </x:c>
      <x:c r="C1326" t="str">
        <x:f>IF(COUNTIF(FERIADOS!$A$2:$A$250,A1326)&gt;0,"SÍ","NO")</x:f>
        <x:v>NO</x:v>
      </x:c>
      <x:c r="D1326" t="str">
        <x:f>IF(AND(WEEKDAY(A1326,2)&lt;=5,C1326="NO"),"SÍ","NO")</x:f>
        <x:v>SÍ</x:v>
      </x:c>
      <x:c r="E1326" s="2" t="n">
        <x:f>WORKDAY.INTL(A1326-1,1,1,FERIADOS!$A$2:$A$250)</x:f>
        <x:v>46982</x:v>
      </x:c>
      <x:c r="F1326" t="str">
        <x:f>IF(E1326&gt;=WORKDAY.INTL(EOMONTH(E1326,0)+1,-2,1,FERIADOS!$A$2:$A$250),"SÍ","NO")</x:f>
        <x:v>NO</x:v>
      </x:c>
      <x:c r="G1326" s="10" t="n">
        <x:f>IF(F1326="SÍ",EOMONTH(E1326,0)+1,DATE(YEAR(E1326),MONTH(E1326),1))</x:f>
        <x:v>46966</x:v>
      </x:c>
      <x:c r="H1326" t="str">
        <x:f>IF(D1326="NO",IF(C1326="SÍ","FERIADO","FIN DE SEMANA"),"LABORABLE")&amp;IF(F1326="SÍ"," + CIERRE","")</x:f>
        <x:v>LABORABLE</x:v>
      </x:c>
      <x:c r="I1326" t="str">
        <x:f>TEXT(G1326,"yyyy-mm")</x:f>
        <x:v>2028-08</x:v>
      </x:c>
    </x:row>
    <x:row r="1327" ht="19" customHeight="1">
      <x:c r="A1327" s="2" t="n">
        <x:v>46983</x:v>
      </x:c>
      <x:c r="B1327" t="str">
        <x:f>CHOOSE(WEEKDAY(A1327,2),"Lunes","Martes","Miércoles","Jueves","Viernes","Sábado","Domingo")</x:f>
        <x:v>Viernes</x:v>
      </x:c>
      <x:c r="C1327" t="str">
        <x:f>IF(COUNTIF(FERIADOS!$A$2:$A$250,A1327)&gt;0,"SÍ","NO")</x:f>
        <x:v>NO</x:v>
      </x:c>
      <x:c r="D1327" t="str">
        <x:f>IF(AND(WEEKDAY(A1327,2)&lt;=5,C1327="NO"),"SÍ","NO")</x:f>
        <x:v>SÍ</x:v>
      </x:c>
      <x:c r="E1327" s="2" t="n">
        <x:f>WORKDAY.INTL(A1327-1,1,1,FERIADOS!$A$2:$A$250)</x:f>
        <x:v>46983</x:v>
      </x:c>
      <x:c r="F1327" t="str">
        <x:f>IF(E1327&gt;=WORKDAY.INTL(EOMONTH(E1327,0)+1,-2,1,FERIADOS!$A$2:$A$250),"SÍ","NO")</x:f>
        <x:v>NO</x:v>
      </x:c>
      <x:c r="G1327" s="10" t="n">
        <x:f>IF(F1327="SÍ",EOMONTH(E1327,0)+1,DATE(YEAR(E1327),MONTH(E1327),1))</x:f>
        <x:v>46966</x:v>
      </x:c>
      <x:c r="H1327" t="str">
        <x:f>IF(D1327="NO",IF(C1327="SÍ","FERIADO","FIN DE SEMANA"),"LABORABLE")&amp;IF(F1327="SÍ"," + CIERRE","")</x:f>
        <x:v>LABORABLE</x:v>
      </x:c>
      <x:c r="I1327" t="str">
        <x:f>TEXT(G1327,"yyyy-mm")</x:f>
        <x:v>2028-08</x:v>
      </x:c>
    </x:row>
    <x:row r="1328" ht="19" customHeight="1">
      <x:c r="A1328" s="2" t="n">
        <x:v>46984</x:v>
      </x:c>
      <x:c r="B1328" t="str">
        <x:f>CHOOSE(WEEKDAY(A1328,2),"Lunes","Martes","Miércoles","Jueves","Viernes","Sábado","Domingo")</x:f>
        <x:v>Sábado</x:v>
      </x:c>
      <x:c r="C1328" t="str">
        <x:f>IF(COUNTIF(FERIADOS!$A$2:$A$250,A1328)&gt;0,"SÍ","NO")</x:f>
        <x:v>NO</x:v>
      </x:c>
      <x:c r="D1328" t="str">
        <x:f>IF(AND(WEEKDAY(A1328,2)&lt;=5,C1328="NO"),"SÍ","NO")</x:f>
        <x:v>NO</x:v>
      </x:c>
      <x:c r="E1328" s="2" t="n">
        <x:f>WORKDAY.INTL(A1328-1,1,1,FERIADOS!$A$2:$A$250)</x:f>
        <x:v>46986</x:v>
      </x:c>
      <x:c r="F1328" t="str">
        <x:f>IF(E1328&gt;=WORKDAY.INTL(EOMONTH(E1328,0)+1,-2,1,FERIADOS!$A$2:$A$250),"SÍ","NO")</x:f>
        <x:v>NO</x:v>
      </x:c>
      <x:c r="G1328" s="10" t="n">
        <x:f>IF(F1328="SÍ",EOMONTH(E1328,0)+1,DATE(YEAR(E1328),MONTH(E1328),1))</x:f>
        <x:v>46966</x:v>
      </x:c>
      <x:c r="H1328" t="str">
        <x:f>IF(D1328="NO",IF(C1328="SÍ","FERIADO","FIN DE SEMANA"),"LABORABLE")&amp;IF(F1328="SÍ"," + CIERRE","")</x:f>
        <x:v>FIN DE SEMANA</x:v>
      </x:c>
      <x:c r="I1328" t="str">
        <x:f>TEXT(G1328,"yyyy-mm")</x:f>
        <x:v>2028-08</x:v>
      </x:c>
    </x:row>
    <x:row r="1329" ht="19" customHeight="1">
      <x:c r="A1329" s="2" t="n">
        <x:v>46985</x:v>
      </x:c>
      <x:c r="B1329" t="str">
        <x:f>CHOOSE(WEEKDAY(A1329,2),"Lunes","Martes","Miércoles","Jueves","Viernes","Sábado","Domingo")</x:f>
        <x:v>Domingo</x:v>
      </x:c>
      <x:c r="C1329" t="str">
        <x:f>IF(COUNTIF(FERIADOS!$A$2:$A$250,A1329)&gt;0,"SÍ","NO")</x:f>
        <x:v>NO</x:v>
      </x:c>
      <x:c r="D1329" t="str">
        <x:f>IF(AND(WEEKDAY(A1329,2)&lt;=5,C1329="NO"),"SÍ","NO")</x:f>
        <x:v>NO</x:v>
      </x:c>
      <x:c r="E1329" s="2" t="n">
        <x:f>WORKDAY.INTL(A1329-1,1,1,FERIADOS!$A$2:$A$250)</x:f>
        <x:v>46986</x:v>
      </x:c>
      <x:c r="F1329" t="str">
        <x:f>IF(E1329&gt;=WORKDAY.INTL(EOMONTH(E1329,0)+1,-2,1,FERIADOS!$A$2:$A$250),"SÍ","NO")</x:f>
        <x:v>NO</x:v>
      </x:c>
      <x:c r="G1329" s="10" t="n">
        <x:f>IF(F1329="SÍ",EOMONTH(E1329,0)+1,DATE(YEAR(E1329),MONTH(E1329),1))</x:f>
        <x:v>46966</x:v>
      </x:c>
      <x:c r="H1329" t="str">
        <x:f>IF(D1329="NO",IF(C1329="SÍ","FERIADO","FIN DE SEMANA"),"LABORABLE")&amp;IF(F1329="SÍ"," + CIERRE","")</x:f>
        <x:v>FIN DE SEMANA</x:v>
      </x:c>
      <x:c r="I1329" t="str">
        <x:f>TEXT(G1329,"yyyy-mm")</x:f>
        <x:v>2028-08</x:v>
      </x:c>
    </x:row>
    <x:row r="1330" ht="19" customHeight="1">
      <x:c r="A1330" s="2" t="n">
        <x:v>46986</x:v>
      </x:c>
      <x:c r="B1330" t="str">
        <x:f>CHOOSE(WEEKDAY(A1330,2),"Lunes","Martes","Miércoles","Jueves","Viernes","Sábado","Domingo")</x:f>
        <x:v>Lunes</x:v>
      </x:c>
      <x:c r="C1330" t="str">
        <x:f>IF(COUNTIF(FERIADOS!$A$2:$A$250,A1330)&gt;0,"SÍ","NO")</x:f>
        <x:v>NO</x:v>
      </x:c>
      <x:c r="D1330" t="str">
        <x:f>IF(AND(WEEKDAY(A1330,2)&lt;=5,C1330="NO"),"SÍ","NO")</x:f>
        <x:v>SÍ</x:v>
      </x:c>
      <x:c r="E1330" s="2" t="n">
        <x:f>WORKDAY.INTL(A1330-1,1,1,FERIADOS!$A$2:$A$250)</x:f>
        <x:v>46986</x:v>
      </x:c>
      <x:c r="F1330" t="str">
        <x:f>IF(E1330&gt;=WORKDAY.INTL(EOMONTH(E1330,0)+1,-2,1,FERIADOS!$A$2:$A$250),"SÍ","NO")</x:f>
        <x:v>NO</x:v>
      </x:c>
      <x:c r="G1330" s="10" t="n">
        <x:f>IF(F1330="SÍ",EOMONTH(E1330,0)+1,DATE(YEAR(E1330),MONTH(E1330),1))</x:f>
        <x:v>46966</x:v>
      </x:c>
      <x:c r="H1330" t="str">
        <x:f>IF(D1330="NO",IF(C1330="SÍ","FERIADO","FIN DE SEMANA"),"LABORABLE")&amp;IF(F1330="SÍ"," + CIERRE","")</x:f>
        <x:v>LABORABLE</x:v>
      </x:c>
      <x:c r="I1330" t="str">
        <x:f>TEXT(G1330,"yyyy-mm")</x:f>
        <x:v>2028-08</x:v>
      </x:c>
    </x:row>
    <x:row r="1331" ht="19" customHeight="1">
      <x:c r="A1331" s="2" t="n">
        <x:v>46987</x:v>
      </x:c>
      <x:c r="B1331" t="str">
        <x:f>CHOOSE(WEEKDAY(A1331,2),"Lunes","Martes","Miércoles","Jueves","Viernes","Sábado","Domingo")</x:f>
        <x:v>Martes</x:v>
      </x:c>
      <x:c r="C1331" t="str">
        <x:f>IF(COUNTIF(FERIADOS!$A$2:$A$250,A1331)&gt;0,"SÍ","NO")</x:f>
        <x:v>NO</x:v>
      </x:c>
      <x:c r="D1331" t="str">
        <x:f>IF(AND(WEEKDAY(A1331,2)&lt;=5,C1331="NO"),"SÍ","NO")</x:f>
        <x:v>SÍ</x:v>
      </x:c>
      <x:c r="E1331" s="2" t="n">
        <x:f>WORKDAY.INTL(A1331-1,1,1,FERIADOS!$A$2:$A$250)</x:f>
        <x:v>46987</x:v>
      </x:c>
      <x:c r="F1331" t="str">
        <x:f>IF(E1331&gt;=WORKDAY.INTL(EOMONTH(E1331,0)+1,-2,1,FERIADOS!$A$2:$A$250),"SÍ","NO")</x:f>
        <x:v>NO</x:v>
      </x:c>
      <x:c r="G1331" s="10" t="n">
        <x:f>IF(F1331="SÍ",EOMONTH(E1331,0)+1,DATE(YEAR(E1331),MONTH(E1331),1))</x:f>
        <x:v>46966</x:v>
      </x:c>
      <x:c r="H1331" t="str">
        <x:f>IF(D1331="NO",IF(C1331="SÍ","FERIADO","FIN DE SEMANA"),"LABORABLE")&amp;IF(F1331="SÍ"," + CIERRE","")</x:f>
        <x:v>LABORABLE</x:v>
      </x:c>
      <x:c r="I1331" t="str">
        <x:f>TEXT(G1331,"yyyy-mm")</x:f>
        <x:v>2028-08</x:v>
      </x:c>
    </x:row>
    <x:row r="1332" ht="19" customHeight="1">
      <x:c r="A1332" s="2" t="n">
        <x:v>46988</x:v>
      </x:c>
      <x:c r="B1332" t="str">
        <x:f>CHOOSE(WEEKDAY(A1332,2),"Lunes","Martes","Miércoles","Jueves","Viernes","Sábado","Domingo")</x:f>
        <x:v>Miércoles</x:v>
      </x:c>
      <x:c r="C1332" t="str">
        <x:f>IF(COUNTIF(FERIADOS!$A$2:$A$250,A1332)&gt;0,"SÍ","NO")</x:f>
        <x:v>NO</x:v>
      </x:c>
      <x:c r="D1332" t="str">
        <x:f>IF(AND(WEEKDAY(A1332,2)&lt;=5,C1332="NO"),"SÍ","NO")</x:f>
        <x:v>SÍ</x:v>
      </x:c>
      <x:c r="E1332" s="2" t="n">
        <x:f>WORKDAY.INTL(A1332-1,1,1,FERIADOS!$A$2:$A$250)</x:f>
        <x:v>46988</x:v>
      </x:c>
      <x:c r="F1332" t="str">
        <x:f>IF(E1332&gt;=WORKDAY.INTL(EOMONTH(E1332,0)+1,-2,1,FERIADOS!$A$2:$A$250),"SÍ","NO")</x:f>
        <x:v>NO</x:v>
      </x:c>
      <x:c r="G1332" s="10" t="n">
        <x:f>IF(F1332="SÍ",EOMONTH(E1332,0)+1,DATE(YEAR(E1332),MONTH(E1332),1))</x:f>
        <x:v>46966</x:v>
      </x:c>
      <x:c r="H1332" t="str">
        <x:f>IF(D1332="NO",IF(C1332="SÍ","FERIADO","FIN DE SEMANA"),"LABORABLE")&amp;IF(F1332="SÍ"," + CIERRE","")</x:f>
        <x:v>LABORABLE</x:v>
      </x:c>
      <x:c r="I1332" t="str">
        <x:f>TEXT(G1332,"yyyy-mm")</x:f>
        <x:v>2028-08</x:v>
      </x:c>
    </x:row>
    <x:row r="1333" ht="19" customHeight="1">
      <x:c r="A1333" s="2" t="n">
        <x:v>46989</x:v>
      </x:c>
      <x:c r="B1333" t="str">
        <x:f>CHOOSE(WEEKDAY(A1333,2),"Lunes","Martes","Miércoles","Jueves","Viernes","Sábado","Domingo")</x:f>
        <x:v>Jueves</x:v>
      </x:c>
      <x:c r="C1333" t="str">
        <x:f>IF(COUNTIF(FERIADOS!$A$2:$A$250,A1333)&gt;0,"SÍ","NO")</x:f>
        <x:v>NO</x:v>
      </x:c>
      <x:c r="D1333" t="str">
        <x:f>IF(AND(WEEKDAY(A1333,2)&lt;=5,C1333="NO"),"SÍ","NO")</x:f>
        <x:v>SÍ</x:v>
      </x:c>
      <x:c r="E1333" s="2" t="n">
        <x:f>WORKDAY.INTL(A1333-1,1,1,FERIADOS!$A$2:$A$250)</x:f>
        <x:v>46989</x:v>
      </x:c>
      <x:c r="F1333" t="str">
        <x:f>IF(E1333&gt;=WORKDAY.INTL(EOMONTH(E1333,0)+1,-2,1,FERIADOS!$A$2:$A$250),"SÍ","NO")</x:f>
        <x:v>NO</x:v>
      </x:c>
      <x:c r="G1333" s="10" t="n">
        <x:f>IF(F1333="SÍ",EOMONTH(E1333,0)+1,DATE(YEAR(E1333),MONTH(E1333),1))</x:f>
        <x:v>46966</x:v>
      </x:c>
      <x:c r="H1333" t="str">
        <x:f>IF(D1333="NO",IF(C1333="SÍ","FERIADO","FIN DE SEMANA"),"LABORABLE")&amp;IF(F1333="SÍ"," + CIERRE","")</x:f>
        <x:v>LABORABLE</x:v>
      </x:c>
      <x:c r="I1333" t="str">
        <x:f>TEXT(G1333,"yyyy-mm")</x:f>
        <x:v>2028-08</x:v>
      </x:c>
    </x:row>
    <x:row r="1334" ht="19" customHeight="1">
      <x:c r="A1334" s="2" t="n">
        <x:v>46990</x:v>
      </x:c>
      <x:c r="B1334" t="str">
        <x:f>CHOOSE(WEEKDAY(A1334,2),"Lunes","Martes","Miércoles","Jueves","Viernes","Sábado","Domingo")</x:f>
        <x:v>Viernes</x:v>
      </x:c>
      <x:c r="C1334" t="str">
        <x:f>IF(COUNTIF(FERIADOS!$A$2:$A$250,A1334)&gt;0,"SÍ","NO")</x:f>
        <x:v>NO</x:v>
      </x:c>
      <x:c r="D1334" t="str">
        <x:f>IF(AND(WEEKDAY(A1334,2)&lt;=5,C1334="NO"),"SÍ","NO")</x:f>
        <x:v>SÍ</x:v>
      </x:c>
      <x:c r="E1334" s="2" t="n">
        <x:f>WORKDAY.INTL(A1334-1,1,1,FERIADOS!$A$2:$A$250)</x:f>
        <x:v>46990</x:v>
      </x:c>
      <x:c r="F1334" t="str">
        <x:f>IF(E1334&gt;=WORKDAY.INTL(EOMONTH(E1334,0)+1,-2,1,FERIADOS!$A$2:$A$250),"SÍ","NO")</x:f>
        <x:v>NO</x:v>
      </x:c>
      <x:c r="G1334" s="10" t="n">
        <x:f>IF(F1334="SÍ",EOMONTH(E1334,0)+1,DATE(YEAR(E1334),MONTH(E1334),1))</x:f>
        <x:v>46966</x:v>
      </x:c>
      <x:c r="H1334" t="str">
        <x:f>IF(D1334="NO",IF(C1334="SÍ","FERIADO","FIN DE SEMANA"),"LABORABLE")&amp;IF(F1334="SÍ"," + CIERRE","")</x:f>
        <x:v>LABORABLE</x:v>
      </x:c>
      <x:c r="I1334" t="str">
        <x:f>TEXT(G1334,"yyyy-mm")</x:f>
        <x:v>2028-08</x:v>
      </x:c>
    </x:row>
    <x:row r="1335" ht="19" customHeight="1">
      <x:c r="A1335" s="2" t="n">
        <x:v>46991</x:v>
      </x:c>
      <x:c r="B1335" t="str">
        <x:f>CHOOSE(WEEKDAY(A1335,2),"Lunes","Martes","Miércoles","Jueves","Viernes","Sábado","Domingo")</x:f>
        <x:v>Sábado</x:v>
      </x:c>
      <x:c r="C1335" t="str">
        <x:f>IF(COUNTIF(FERIADOS!$A$2:$A$250,A1335)&gt;0,"SÍ","NO")</x:f>
        <x:v>NO</x:v>
      </x:c>
      <x:c r="D1335" t="str">
        <x:f>IF(AND(WEEKDAY(A1335,2)&lt;=5,C1335="NO"),"SÍ","NO")</x:f>
        <x:v>NO</x:v>
      </x:c>
      <x:c r="E1335" s="2" t="n">
        <x:f>WORKDAY.INTL(A1335-1,1,1,FERIADOS!$A$2:$A$250)</x:f>
        <x:v>46993</x:v>
      </x:c>
      <x:c r="F1335" t="str">
        <x:f>IF(E1335&gt;=WORKDAY.INTL(EOMONTH(E1335,0)+1,-2,1,FERIADOS!$A$2:$A$250),"SÍ","NO")</x:f>
        <x:v>NO</x:v>
      </x:c>
      <x:c r="G1335" s="10" t="n">
        <x:f>IF(F1335="SÍ",EOMONTH(E1335,0)+1,DATE(YEAR(E1335),MONTH(E1335),1))</x:f>
        <x:v>46966</x:v>
      </x:c>
      <x:c r="H1335" t="str">
        <x:f>IF(D1335="NO",IF(C1335="SÍ","FERIADO","FIN DE SEMANA"),"LABORABLE")&amp;IF(F1335="SÍ"," + CIERRE","")</x:f>
        <x:v>FIN DE SEMANA</x:v>
      </x:c>
      <x:c r="I1335" t="str">
        <x:f>TEXT(G1335,"yyyy-mm")</x:f>
        <x:v>2028-08</x:v>
      </x:c>
    </x:row>
    <x:row r="1336" ht="19" customHeight="1">
      <x:c r="A1336" s="2" t="n">
        <x:v>46992</x:v>
      </x:c>
      <x:c r="B1336" t="str">
        <x:f>CHOOSE(WEEKDAY(A1336,2),"Lunes","Martes","Miércoles","Jueves","Viernes","Sábado","Domingo")</x:f>
        <x:v>Domingo</x:v>
      </x:c>
      <x:c r="C1336" t="str">
        <x:f>IF(COUNTIF(FERIADOS!$A$2:$A$250,A1336)&gt;0,"SÍ","NO")</x:f>
        <x:v>NO</x:v>
      </x:c>
      <x:c r="D1336" t="str">
        <x:f>IF(AND(WEEKDAY(A1336,2)&lt;=5,C1336="NO"),"SÍ","NO")</x:f>
        <x:v>NO</x:v>
      </x:c>
      <x:c r="E1336" s="2" t="n">
        <x:f>WORKDAY.INTL(A1336-1,1,1,FERIADOS!$A$2:$A$250)</x:f>
        <x:v>46993</x:v>
      </x:c>
      <x:c r="F1336" t="str">
        <x:f>IF(E1336&gt;=WORKDAY.INTL(EOMONTH(E1336,0)+1,-2,1,FERIADOS!$A$2:$A$250),"SÍ","NO")</x:f>
        <x:v>NO</x:v>
      </x:c>
      <x:c r="G1336" s="10" t="n">
        <x:f>IF(F1336="SÍ",EOMONTH(E1336,0)+1,DATE(YEAR(E1336),MONTH(E1336),1))</x:f>
        <x:v>46966</x:v>
      </x:c>
      <x:c r="H1336" t="str">
        <x:f>IF(D1336="NO",IF(C1336="SÍ","FERIADO","FIN DE SEMANA"),"LABORABLE")&amp;IF(F1336="SÍ"," + CIERRE","")</x:f>
        <x:v>FIN DE SEMANA</x:v>
      </x:c>
      <x:c r="I1336" t="str">
        <x:f>TEXT(G1336,"yyyy-mm")</x:f>
        <x:v>2028-08</x:v>
      </x:c>
    </x:row>
    <x:row r="1337" ht="19" customHeight="1">
      <x:c r="A1337" s="2" t="n">
        <x:v>46993</x:v>
      </x:c>
      <x:c r="B1337" t="str">
        <x:f>CHOOSE(WEEKDAY(A1337,2),"Lunes","Martes","Miércoles","Jueves","Viernes","Sábado","Domingo")</x:f>
        <x:v>Lunes</x:v>
      </x:c>
      <x:c r="C1337" t="str">
        <x:f>IF(COUNTIF(FERIADOS!$A$2:$A$250,A1337)&gt;0,"SÍ","NO")</x:f>
        <x:v>NO</x:v>
      </x:c>
      <x:c r="D1337" t="str">
        <x:f>IF(AND(WEEKDAY(A1337,2)&lt;=5,C1337="NO"),"SÍ","NO")</x:f>
        <x:v>SÍ</x:v>
      </x:c>
      <x:c r="E1337" s="2" t="n">
        <x:f>WORKDAY.INTL(A1337-1,1,1,FERIADOS!$A$2:$A$250)</x:f>
        <x:v>46993</x:v>
      </x:c>
      <x:c r="F1337" t="str">
        <x:f>IF(E1337&gt;=WORKDAY.INTL(EOMONTH(E1337,0)+1,-2,1,FERIADOS!$A$2:$A$250),"SÍ","NO")</x:f>
        <x:v>NO</x:v>
      </x:c>
      <x:c r="G1337" s="10" t="n">
        <x:f>IF(F1337="SÍ",EOMONTH(E1337,0)+1,DATE(YEAR(E1337),MONTH(E1337),1))</x:f>
        <x:v>46966</x:v>
      </x:c>
      <x:c r="H1337" t="str">
        <x:f>IF(D1337="NO",IF(C1337="SÍ","FERIADO","FIN DE SEMANA"),"LABORABLE")&amp;IF(F1337="SÍ"," + CIERRE","")</x:f>
        <x:v>LABORABLE</x:v>
      </x:c>
      <x:c r="I1337" t="str">
        <x:f>TEXT(G1337,"yyyy-mm")</x:f>
        <x:v>2028-08</x:v>
      </x:c>
    </x:row>
    <x:row r="1338" ht="19" customHeight="1">
      <x:c r="A1338" s="2" t="n">
        <x:v>46994</x:v>
      </x:c>
      <x:c r="B1338" t="str">
        <x:f>CHOOSE(WEEKDAY(A1338,2),"Lunes","Martes","Miércoles","Jueves","Viernes","Sábado","Domingo")</x:f>
        <x:v>Martes</x:v>
      </x:c>
      <x:c r="C1338" t="str">
        <x:f>IF(COUNTIF(FERIADOS!$A$2:$A$250,A1338)&gt;0,"SÍ","NO")</x:f>
        <x:v>NO</x:v>
      </x:c>
      <x:c r="D1338" t="str">
        <x:f>IF(AND(WEEKDAY(A1338,2)&lt;=5,C1338="NO"),"SÍ","NO")</x:f>
        <x:v>SÍ</x:v>
      </x:c>
      <x:c r="E1338" s="2" t="n">
        <x:f>WORKDAY.INTL(A1338-1,1,1,FERIADOS!$A$2:$A$250)</x:f>
        <x:v>46994</x:v>
      </x:c>
      <x:c r="F1338" t="str">
        <x:f>IF(E1338&gt;=WORKDAY.INTL(EOMONTH(E1338,0)+1,-2,1,FERIADOS!$A$2:$A$250),"SÍ","NO")</x:f>
        <x:v>NO</x:v>
      </x:c>
      <x:c r="G1338" s="10" t="n">
        <x:f>IF(F1338="SÍ",EOMONTH(E1338,0)+1,DATE(YEAR(E1338),MONTH(E1338),1))</x:f>
        <x:v>46966</x:v>
      </x:c>
      <x:c r="H1338" t="str">
        <x:f>IF(D1338="NO",IF(C1338="SÍ","FERIADO","FIN DE SEMANA"),"LABORABLE")&amp;IF(F1338="SÍ"," + CIERRE","")</x:f>
        <x:v>LABORABLE</x:v>
      </x:c>
      <x:c r="I1338" t="str">
        <x:f>TEXT(G1338,"yyyy-mm")</x:f>
        <x:v>2028-08</x:v>
      </x:c>
    </x:row>
    <x:row r="1339" ht="19" customHeight="1">
      <x:c r="A1339" s="2" t="n">
        <x:v>46995</x:v>
      </x:c>
      <x:c r="B1339" t="str">
        <x:f>CHOOSE(WEEKDAY(A1339,2),"Lunes","Martes","Miércoles","Jueves","Viernes","Sábado","Domingo")</x:f>
        <x:v>Miércoles</x:v>
      </x:c>
      <x:c r="C1339" t="str">
        <x:f>IF(COUNTIF(FERIADOS!$A$2:$A$250,A1339)&gt;0,"SÍ","NO")</x:f>
        <x:v>NO</x:v>
      </x:c>
      <x:c r="D1339" t="str">
        <x:f>IF(AND(WEEKDAY(A1339,2)&lt;=5,C1339="NO"),"SÍ","NO")</x:f>
        <x:v>SÍ</x:v>
      </x:c>
      <x:c r="E1339" s="2" t="n">
        <x:f>WORKDAY.INTL(A1339-1,1,1,FERIADOS!$A$2:$A$250)</x:f>
        <x:v>46995</x:v>
      </x:c>
      <x:c r="F1339" t="str">
        <x:f>IF(E1339&gt;=WORKDAY.INTL(EOMONTH(E1339,0)+1,-2,1,FERIADOS!$A$2:$A$250),"SÍ","NO")</x:f>
        <x:v>SÍ</x:v>
      </x:c>
      <x:c r="G1339" s="10" t="n">
        <x:f>IF(F1339="SÍ",EOMONTH(E1339,0)+1,DATE(YEAR(E1339),MONTH(E1339),1))</x:f>
        <x:v>46997</x:v>
      </x:c>
      <x:c r="H1339" t="str">
        <x:f>IF(D1339="NO",IF(C1339="SÍ","FERIADO","FIN DE SEMANA"),"LABORABLE")&amp;IF(F1339="SÍ"," + CIERRE","")</x:f>
        <x:v>LABORABLE + CIERRE</x:v>
      </x:c>
      <x:c r="I1339" t="str">
        <x:f>TEXT(G1339,"yyyy-mm")</x:f>
        <x:v>2028-09</x:v>
      </x:c>
    </x:row>
    <x:row r="1340" ht="19" customHeight="1">
      <x:c r="A1340" s="2" t="n">
        <x:v>46996</x:v>
      </x:c>
      <x:c r="B1340" t="str">
        <x:f>CHOOSE(WEEKDAY(A1340,2),"Lunes","Martes","Miércoles","Jueves","Viernes","Sábado","Domingo")</x:f>
        <x:v>Jueves</x:v>
      </x:c>
      <x:c r="C1340" t="str">
        <x:f>IF(COUNTIF(FERIADOS!$A$2:$A$250,A1340)&gt;0,"SÍ","NO")</x:f>
        <x:v>NO</x:v>
      </x:c>
      <x:c r="D1340" t="str">
        <x:f>IF(AND(WEEKDAY(A1340,2)&lt;=5,C1340="NO"),"SÍ","NO")</x:f>
        <x:v>SÍ</x:v>
      </x:c>
      <x:c r="E1340" s="2" t="n">
        <x:f>WORKDAY.INTL(A1340-1,1,1,FERIADOS!$A$2:$A$250)</x:f>
        <x:v>46996</x:v>
      </x:c>
      <x:c r="F1340" t="str">
        <x:f>IF(E1340&gt;=WORKDAY.INTL(EOMONTH(E1340,0)+1,-2,1,FERIADOS!$A$2:$A$250),"SÍ","NO")</x:f>
        <x:v>SÍ</x:v>
      </x:c>
      <x:c r="G1340" s="10" t="n">
        <x:f>IF(F1340="SÍ",EOMONTH(E1340,0)+1,DATE(YEAR(E1340),MONTH(E1340),1))</x:f>
        <x:v>46997</x:v>
      </x:c>
      <x:c r="H1340" t="str">
        <x:f>IF(D1340="NO",IF(C1340="SÍ","FERIADO","FIN DE SEMANA"),"LABORABLE")&amp;IF(F1340="SÍ"," + CIERRE","")</x:f>
        <x:v>LABORABLE + CIERRE</x:v>
      </x:c>
      <x:c r="I1340" t="str">
        <x:f>TEXT(G1340,"yyyy-mm")</x:f>
        <x:v>2028-09</x:v>
      </x:c>
    </x:row>
    <x:row r="1341" ht="19" customHeight="1">
      <x:c r="A1341" s="2" t="n">
        <x:v>46997</x:v>
      </x:c>
      <x:c r="B1341" t="str">
        <x:f>CHOOSE(WEEKDAY(A1341,2),"Lunes","Martes","Miércoles","Jueves","Viernes","Sábado","Domingo")</x:f>
        <x:v>Viernes</x:v>
      </x:c>
      <x:c r="C1341" t="str">
        <x:f>IF(COUNTIF(FERIADOS!$A$2:$A$250,A1341)&gt;0,"SÍ","NO")</x:f>
        <x:v>NO</x:v>
      </x:c>
      <x:c r="D1341" t="str">
        <x:f>IF(AND(WEEKDAY(A1341,2)&lt;=5,C1341="NO"),"SÍ","NO")</x:f>
        <x:v>SÍ</x:v>
      </x:c>
      <x:c r="E1341" s="2" t="n">
        <x:f>WORKDAY.INTL(A1341-1,1,1,FERIADOS!$A$2:$A$250)</x:f>
        <x:v>46997</x:v>
      </x:c>
      <x:c r="F1341" t="str">
        <x:f>IF(E1341&gt;=WORKDAY.INTL(EOMONTH(E1341,0)+1,-2,1,FERIADOS!$A$2:$A$250),"SÍ","NO")</x:f>
        <x:v>NO</x:v>
      </x:c>
      <x:c r="G1341" s="10" t="n">
        <x:f>IF(F1341="SÍ",EOMONTH(E1341,0)+1,DATE(YEAR(E1341),MONTH(E1341),1))</x:f>
        <x:v>46997</x:v>
      </x:c>
      <x:c r="H1341" t="str">
        <x:f>IF(D1341="NO",IF(C1341="SÍ","FERIADO","FIN DE SEMANA"),"LABORABLE")&amp;IF(F1341="SÍ"," + CIERRE","")</x:f>
        <x:v>LABORABLE</x:v>
      </x:c>
      <x:c r="I1341" t="str">
        <x:f>TEXT(G1341,"yyyy-mm")</x:f>
        <x:v>2028-09</x:v>
      </x:c>
    </x:row>
    <x:row r="1342" ht="19" customHeight="1">
      <x:c r="A1342" s="2" t="n">
        <x:v>46998</x:v>
      </x:c>
      <x:c r="B1342" t="str">
        <x:f>CHOOSE(WEEKDAY(A1342,2),"Lunes","Martes","Miércoles","Jueves","Viernes","Sábado","Domingo")</x:f>
        <x:v>Sábado</x:v>
      </x:c>
      <x:c r="C1342" t="str">
        <x:f>IF(COUNTIF(FERIADOS!$A$2:$A$250,A1342)&gt;0,"SÍ","NO")</x:f>
        <x:v>NO</x:v>
      </x:c>
      <x:c r="D1342" t="str">
        <x:f>IF(AND(WEEKDAY(A1342,2)&lt;=5,C1342="NO"),"SÍ","NO")</x:f>
        <x:v>NO</x:v>
      </x:c>
      <x:c r="E1342" s="2" t="n">
        <x:f>WORKDAY.INTL(A1342-1,1,1,FERIADOS!$A$2:$A$250)</x:f>
        <x:v>47000</x:v>
      </x:c>
      <x:c r="F1342" t="str">
        <x:f>IF(E1342&gt;=WORKDAY.INTL(EOMONTH(E1342,0)+1,-2,1,FERIADOS!$A$2:$A$250),"SÍ","NO")</x:f>
        <x:v>NO</x:v>
      </x:c>
      <x:c r="G1342" s="10" t="n">
        <x:f>IF(F1342="SÍ",EOMONTH(E1342,0)+1,DATE(YEAR(E1342),MONTH(E1342),1))</x:f>
        <x:v>46997</x:v>
      </x:c>
      <x:c r="H1342" t="str">
        <x:f>IF(D1342="NO",IF(C1342="SÍ","FERIADO","FIN DE SEMANA"),"LABORABLE")&amp;IF(F1342="SÍ"," + CIERRE","")</x:f>
        <x:v>FIN DE SEMANA</x:v>
      </x:c>
      <x:c r="I1342" t="str">
        <x:f>TEXT(G1342,"yyyy-mm")</x:f>
        <x:v>2028-09</x:v>
      </x:c>
    </x:row>
    <x:row r="1343" ht="19" customHeight="1">
      <x:c r="A1343" s="2" t="n">
        <x:v>46999</x:v>
      </x:c>
      <x:c r="B1343" t="str">
        <x:f>CHOOSE(WEEKDAY(A1343,2),"Lunes","Martes","Miércoles","Jueves","Viernes","Sábado","Domingo")</x:f>
        <x:v>Domingo</x:v>
      </x:c>
      <x:c r="C1343" t="str">
        <x:f>IF(COUNTIF(FERIADOS!$A$2:$A$250,A1343)&gt;0,"SÍ","NO")</x:f>
        <x:v>NO</x:v>
      </x:c>
      <x:c r="D1343" t="str">
        <x:f>IF(AND(WEEKDAY(A1343,2)&lt;=5,C1343="NO"),"SÍ","NO")</x:f>
        <x:v>NO</x:v>
      </x:c>
      <x:c r="E1343" s="2" t="n">
        <x:f>WORKDAY.INTL(A1343-1,1,1,FERIADOS!$A$2:$A$250)</x:f>
        <x:v>47000</x:v>
      </x:c>
      <x:c r="F1343" t="str">
        <x:f>IF(E1343&gt;=WORKDAY.INTL(EOMONTH(E1343,0)+1,-2,1,FERIADOS!$A$2:$A$250),"SÍ","NO")</x:f>
        <x:v>NO</x:v>
      </x:c>
      <x:c r="G1343" s="10" t="n">
        <x:f>IF(F1343="SÍ",EOMONTH(E1343,0)+1,DATE(YEAR(E1343),MONTH(E1343),1))</x:f>
        <x:v>46997</x:v>
      </x:c>
      <x:c r="H1343" t="str">
        <x:f>IF(D1343="NO",IF(C1343="SÍ","FERIADO","FIN DE SEMANA"),"LABORABLE")&amp;IF(F1343="SÍ"," + CIERRE","")</x:f>
        <x:v>FIN DE SEMANA</x:v>
      </x:c>
      <x:c r="I1343" t="str">
        <x:f>TEXT(G1343,"yyyy-mm")</x:f>
        <x:v>2028-09</x:v>
      </x:c>
    </x:row>
    <x:row r="1344" ht="19" customHeight="1">
      <x:c r="A1344" s="2" t="n">
        <x:v>47000</x:v>
      </x:c>
      <x:c r="B1344" t="str">
        <x:f>CHOOSE(WEEKDAY(A1344,2),"Lunes","Martes","Miércoles","Jueves","Viernes","Sábado","Domingo")</x:f>
        <x:v>Lunes</x:v>
      </x:c>
      <x:c r="C1344" t="str">
        <x:f>IF(COUNTIF(FERIADOS!$A$2:$A$250,A1344)&gt;0,"SÍ","NO")</x:f>
        <x:v>NO</x:v>
      </x:c>
      <x:c r="D1344" t="str">
        <x:f>IF(AND(WEEKDAY(A1344,2)&lt;=5,C1344="NO"),"SÍ","NO")</x:f>
        <x:v>SÍ</x:v>
      </x:c>
      <x:c r="E1344" s="2" t="n">
        <x:f>WORKDAY.INTL(A1344-1,1,1,FERIADOS!$A$2:$A$250)</x:f>
        <x:v>47000</x:v>
      </x:c>
      <x:c r="F1344" t="str">
        <x:f>IF(E1344&gt;=WORKDAY.INTL(EOMONTH(E1344,0)+1,-2,1,FERIADOS!$A$2:$A$250),"SÍ","NO")</x:f>
        <x:v>NO</x:v>
      </x:c>
      <x:c r="G1344" s="10" t="n">
        <x:f>IF(F1344="SÍ",EOMONTH(E1344,0)+1,DATE(YEAR(E1344),MONTH(E1344),1))</x:f>
        <x:v>46997</x:v>
      </x:c>
      <x:c r="H1344" t="str">
        <x:f>IF(D1344="NO",IF(C1344="SÍ","FERIADO","FIN DE SEMANA"),"LABORABLE")&amp;IF(F1344="SÍ"," + CIERRE","")</x:f>
        <x:v>LABORABLE</x:v>
      </x:c>
      <x:c r="I1344" t="str">
        <x:f>TEXT(G1344,"yyyy-mm")</x:f>
        <x:v>2028-09</x:v>
      </x:c>
    </x:row>
    <x:row r="1345" ht="19" customHeight="1">
      <x:c r="A1345" s="2" t="n">
        <x:v>47001</x:v>
      </x:c>
      <x:c r="B1345" t="str">
        <x:f>CHOOSE(WEEKDAY(A1345,2),"Lunes","Martes","Miércoles","Jueves","Viernes","Sábado","Domingo")</x:f>
        <x:v>Martes</x:v>
      </x:c>
      <x:c r="C1345" t="str">
        <x:f>IF(COUNTIF(FERIADOS!$A$2:$A$250,A1345)&gt;0,"SÍ","NO")</x:f>
        <x:v>NO</x:v>
      </x:c>
      <x:c r="D1345" t="str">
        <x:f>IF(AND(WEEKDAY(A1345,2)&lt;=5,C1345="NO"),"SÍ","NO")</x:f>
        <x:v>SÍ</x:v>
      </x:c>
      <x:c r="E1345" s="2" t="n">
        <x:f>WORKDAY.INTL(A1345-1,1,1,FERIADOS!$A$2:$A$250)</x:f>
        <x:v>47001</x:v>
      </x:c>
      <x:c r="F1345" t="str">
        <x:f>IF(E1345&gt;=WORKDAY.INTL(EOMONTH(E1345,0)+1,-2,1,FERIADOS!$A$2:$A$250),"SÍ","NO")</x:f>
        <x:v>NO</x:v>
      </x:c>
      <x:c r="G1345" s="10" t="n">
        <x:f>IF(F1345="SÍ",EOMONTH(E1345,0)+1,DATE(YEAR(E1345),MONTH(E1345),1))</x:f>
        <x:v>46997</x:v>
      </x:c>
      <x:c r="H1345" t="str">
        <x:f>IF(D1345="NO",IF(C1345="SÍ","FERIADO","FIN DE SEMANA"),"LABORABLE")&amp;IF(F1345="SÍ"," + CIERRE","")</x:f>
        <x:v>LABORABLE</x:v>
      </x:c>
      <x:c r="I1345" t="str">
        <x:f>TEXT(G1345,"yyyy-mm")</x:f>
        <x:v>2028-09</x:v>
      </x:c>
    </x:row>
    <x:row r="1346" ht="19" customHeight="1">
      <x:c r="A1346" s="2" t="n">
        <x:v>47002</x:v>
      </x:c>
      <x:c r="B1346" t="str">
        <x:f>CHOOSE(WEEKDAY(A1346,2),"Lunes","Martes","Miércoles","Jueves","Viernes","Sábado","Domingo")</x:f>
        <x:v>Miércoles</x:v>
      </x:c>
      <x:c r="C1346" t="str">
        <x:f>IF(COUNTIF(FERIADOS!$A$2:$A$250,A1346)&gt;0,"SÍ","NO")</x:f>
        <x:v>NO</x:v>
      </x:c>
      <x:c r="D1346" t="str">
        <x:f>IF(AND(WEEKDAY(A1346,2)&lt;=5,C1346="NO"),"SÍ","NO")</x:f>
        <x:v>SÍ</x:v>
      </x:c>
      <x:c r="E1346" s="2" t="n">
        <x:f>WORKDAY.INTL(A1346-1,1,1,FERIADOS!$A$2:$A$250)</x:f>
        <x:v>47002</x:v>
      </x:c>
      <x:c r="F1346" t="str">
        <x:f>IF(E1346&gt;=WORKDAY.INTL(EOMONTH(E1346,0)+1,-2,1,FERIADOS!$A$2:$A$250),"SÍ","NO")</x:f>
        <x:v>NO</x:v>
      </x:c>
      <x:c r="G1346" s="10" t="n">
        <x:f>IF(F1346="SÍ",EOMONTH(E1346,0)+1,DATE(YEAR(E1346),MONTH(E1346),1))</x:f>
        <x:v>46997</x:v>
      </x:c>
      <x:c r="H1346" t="str">
        <x:f>IF(D1346="NO",IF(C1346="SÍ","FERIADO","FIN DE SEMANA"),"LABORABLE")&amp;IF(F1346="SÍ"," + CIERRE","")</x:f>
        <x:v>LABORABLE</x:v>
      </x:c>
      <x:c r="I1346" t="str">
        <x:f>TEXT(G1346,"yyyy-mm")</x:f>
        <x:v>2028-09</x:v>
      </x:c>
    </x:row>
    <x:row r="1347" ht="19" customHeight="1">
      <x:c r="A1347" s="2" t="n">
        <x:v>47003</x:v>
      </x:c>
      <x:c r="B1347" t="str">
        <x:f>CHOOSE(WEEKDAY(A1347,2),"Lunes","Martes","Miércoles","Jueves","Viernes","Sábado","Domingo")</x:f>
        <x:v>Jueves</x:v>
      </x:c>
      <x:c r="C1347" t="str">
        <x:f>IF(COUNTIF(FERIADOS!$A$2:$A$250,A1347)&gt;0,"SÍ","NO")</x:f>
        <x:v>NO</x:v>
      </x:c>
      <x:c r="D1347" t="str">
        <x:f>IF(AND(WEEKDAY(A1347,2)&lt;=5,C1347="NO"),"SÍ","NO")</x:f>
        <x:v>SÍ</x:v>
      </x:c>
      <x:c r="E1347" s="2" t="n">
        <x:f>WORKDAY.INTL(A1347-1,1,1,FERIADOS!$A$2:$A$250)</x:f>
        <x:v>47003</x:v>
      </x:c>
      <x:c r="F1347" t="str">
        <x:f>IF(E1347&gt;=WORKDAY.INTL(EOMONTH(E1347,0)+1,-2,1,FERIADOS!$A$2:$A$250),"SÍ","NO")</x:f>
        <x:v>NO</x:v>
      </x:c>
      <x:c r="G1347" s="10" t="n">
        <x:f>IF(F1347="SÍ",EOMONTH(E1347,0)+1,DATE(YEAR(E1347),MONTH(E1347),1))</x:f>
        <x:v>46997</x:v>
      </x:c>
      <x:c r="H1347" t="str">
        <x:f>IF(D1347="NO",IF(C1347="SÍ","FERIADO","FIN DE SEMANA"),"LABORABLE")&amp;IF(F1347="SÍ"," + CIERRE","")</x:f>
        <x:v>LABORABLE</x:v>
      </x:c>
      <x:c r="I1347" t="str">
        <x:f>TEXT(G1347,"yyyy-mm")</x:f>
        <x:v>2028-09</x:v>
      </x:c>
    </x:row>
    <x:row r="1348" ht="19" customHeight="1">
      <x:c r="A1348" s="2" t="n">
        <x:v>47004</x:v>
      </x:c>
      <x:c r="B1348" t="str">
        <x:f>CHOOSE(WEEKDAY(A1348,2),"Lunes","Martes","Miércoles","Jueves","Viernes","Sábado","Domingo")</x:f>
        <x:v>Viernes</x:v>
      </x:c>
      <x:c r="C1348" t="str">
        <x:f>IF(COUNTIF(FERIADOS!$A$2:$A$250,A1348)&gt;0,"SÍ","NO")</x:f>
        <x:v>NO</x:v>
      </x:c>
      <x:c r="D1348" t="str">
        <x:f>IF(AND(WEEKDAY(A1348,2)&lt;=5,C1348="NO"),"SÍ","NO")</x:f>
        <x:v>SÍ</x:v>
      </x:c>
      <x:c r="E1348" s="2" t="n">
        <x:f>WORKDAY.INTL(A1348-1,1,1,FERIADOS!$A$2:$A$250)</x:f>
        <x:v>47004</x:v>
      </x:c>
      <x:c r="F1348" t="str">
        <x:f>IF(E1348&gt;=WORKDAY.INTL(EOMONTH(E1348,0)+1,-2,1,FERIADOS!$A$2:$A$250),"SÍ","NO")</x:f>
        <x:v>NO</x:v>
      </x:c>
      <x:c r="G1348" s="10" t="n">
        <x:f>IF(F1348="SÍ",EOMONTH(E1348,0)+1,DATE(YEAR(E1348),MONTH(E1348),1))</x:f>
        <x:v>46997</x:v>
      </x:c>
      <x:c r="H1348" t="str">
        <x:f>IF(D1348="NO",IF(C1348="SÍ","FERIADO","FIN DE SEMANA"),"LABORABLE")&amp;IF(F1348="SÍ"," + CIERRE","")</x:f>
        <x:v>LABORABLE</x:v>
      </x:c>
      <x:c r="I1348" t="str">
        <x:f>TEXT(G1348,"yyyy-mm")</x:f>
        <x:v>2028-09</x:v>
      </x:c>
    </x:row>
    <x:row r="1349" ht="19" customHeight="1">
      <x:c r="A1349" s="2" t="n">
        <x:v>47005</x:v>
      </x:c>
      <x:c r="B1349" t="str">
        <x:f>CHOOSE(WEEKDAY(A1349,2),"Lunes","Martes","Miércoles","Jueves","Viernes","Sábado","Domingo")</x:f>
        <x:v>Sábado</x:v>
      </x:c>
      <x:c r="C1349" t="str">
        <x:f>IF(COUNTIF(FERIADOS!$A$2:$A$250,A1349)&gt;0,"SÍ","NO")</x:f>
        <x:v>NO</x:v>
      </x:c>
      <x:c r="D1349" t="str">
        <x:f>IF(AND(WEEKDAY(A1349,2)&lt;=5,C1349="NO"),"SÍ","NO")</x:f>
        <x:v>NO</x:v>
      </x:c>
      <x:c r="E1349" s="2" t="n">
        <x:f>WORKDAY.INTL(A1349-1,1,1,FERIADOS!$A$2:$A$250)</x:f>
        <x:v>47007</x:v>
      </x:c>
      <x:c r="F1349" t="str">
        <x:f>IF(E1349&gt;=WORKDAY.INTL(EOMONTH(E1349,0)+1,-2,1,FERIADOS!$A$2:$A$250),"SÍ","NO")</x:f>
        <x:v>NO</x:v>
      </x:c>
      <x:c r="G1349" s="10" t="n">
        <x:f>IF(F1349="SÍ",EOMONTH(E1349,0)+1,DATE(YEAR(E1349),MONTH(E1349),1))</x:f>
        <x:v>46997</x:v>
      </x:c>
      <x:c r="H1349" t="str">
        <x:f>IF(D1349="NO",IF(C1349="SÍ","FERIADO","FIN DE SEMANA"),"LABORABLE")&amp;IF(F1349="SÍ"," + CIERRE","")</x:f>
        <x:v>FIN DE SEMANA</x:v>
      </x:c>
      <x:c r="I1349" t="str">
        <x:f>TEXT(G1349,"yyyy-mm")</x:f>
        <x:v>2028-09</x:v>
      </x:c>
    </x:row>
    <x:row r="1350" ht="19" customHeight="1">
      <x:c r="A1350" s="2" t="n">
        <x:v>47006</x:v>
      </x:c>
      <x:c r="B1350" t="str">
        <x:f>CHOOSE(WEEKDAY(A1350,2),"Lunes","Martes","Miércoles","Jueves","Viernes","Sábado","Domingo")</x:f>
        <x:v>Domingo</x:v>
      </x:c>
      <x:c r="C1350" t="str">
        <x:f>IF(COUNTIF(FERIADOS!$A$2:$A$250,A1350)&gt;0,"SÍ","NO")</x:f>
        <x:v>NO</x:v>
      </x:c>
      <x:c r="D1350" t="str">
        <x:f>IF(AND(WEEKDAY(A1350,2)&lt;=5,C1350="NO"),"SÍ","NO")</x:f>
        <x:v>NO</x:v>
      </x:c>
      <x:c r="E1350" s="2" t="n">
        <x:f>WORKDAY.INTL(A1350-1,1,1,FERIADOS!$A$2:$A$250)</x:f>
        <x:v>47007</x:v>
      </x:c>
      <x:c r="F1350" t="str">
        <x:f>IF(E1350&gt;=WORKDAY.INTL(EOMONTH(E1350,0)+1,-2,1,FERIADOS!$A$2:$A$250),"SÍ","NO")</x:f>
        <x:v>NO</x:v>
      </x:c>
      <x:c r="G1350" s="10" t="n">
        <x:f>IF(F1350="SÍ",EOMONTH(E1350,0)+1,DATE(YEAR(E1350),MONTH(E1350),1))</x:f>
        <x:v>46997</x:v>
      </x:c>
      <x:c r="H1350" t="str">
        <x:f>IF(D1350="NO",IF(C1350="SÍ","FERIADO","FIN DE SEMANA"),"LABORABLE")&amp;IF(F1350="SÍ"," + CIERRE","")</x:f>
        <x:v>FIN DE SEMANA</x:v>
      </x:c>
      <x:c r="I1350" t="str">
        <x:f>TEXT(G1350,"yyyy-mm")</x:f>
        <x:v>2028-09</x:v>
      </x:c>
    </x:row>
    <x:row r="1351" ht="19" customHeight="1">
      <x:c r="A1351" s="2" t="n">
        <x:v>47007</x:v>
      </x:c>
      <x:c r="B1351" t="str">
        <x:f>CHOOSE(WEEKDAY(A1351,2),"Lunes","Martes","Miércoles","Jueves","Viernes","Sábado","Domingo")</x:f>
        <x:v>Lunes</x:v>
      </x:c>
      <x:c r="C1351" t="str">
        <x:f>IF(COUNTIF(FERIADOS!$A$2:$A$250,A1351)&gt;0,"SÍ","NO")</x:f>
        <x:v>NO</x:v>
      </x:c>
      <x:c r="D1351" t="str">
        <x:f>IF(AND(WEEKDAY(A1351,2)&lt;=5,C1351="NO"),"SÍ","NO")</x:f>
        <x:v>SÍ</x:v>
      </x:c>
      <x:c r="E1351" s="2" t="n">
        <x:f>WORKDAY.INTL(A1351-1,1,1,FERIADOS!$A$2:$A$250)</x:f>
        <x:v>47007</x:v>
      </x:c>
      <x:c r="F1351" t="str">
        <x:f>IF(E1351&gt;=WORKDAY.INTL(EOMONTH(E1351,0)+1,-2,1,FERIADOS!$A$2:$A$250),"SÍ","NO")</x:f>
        <x:v>NO</x:v>
      </x:c>
      <x:c r="G1351" s="10" t="n">
        <x:f>IF(F1351="SÍ",EOMONTH(E1351,0)+1,DATE(YEAR(E1351),MONTH(E1351),1))</x:f>
        <x:v>46997</x:v>
      </x:c>
      <x:c r="H1351" t="str">
        <x:f>IF(D1351="NO",IF(C1351="SÍ","FERIADO","FIN DE SEMANA"),"LABORABLE")&amp;IF(F1351="SÍ"," + CIERRE","")</x:f>
        <x:v>LABORABLE</x:v>
      </x:c>
      <x:c r="I1351" t="str">
        <x:f>TEXT(G1351,"yyyy-mm")</x:f>
        <x:v>2028-09</x:v>
      </x:c>
    </x:row>
    <x:row r="1352" ht="19" customHeight="1">
      <x:c r="A1352" s="2" t="n">
        <x:v>47008</x:v>
      </x:c>
      <x:c r="B1352" t="str">
        <x:f>CHOOSE(WEEKDAY(A1352,2),"Lunes","Martes","Miércoles","Jueves","Viernes","Sábado","Domingo")</x:f>
        <x:v>Martes</x:v>
      </x:c>
      <x:c r="C1352" t="str">
        <x:f>IF(COUNTIF(FERIADOS!$A$2:$A$250,A1352)&gt;0,"SÍ","NO")</x:f>
        <x:v>NO</x:v>
      </x:c>
      <x:c r="D1352" t="str">
        <x:f>IF(AND(WEEKDAY(A1352,2)&lt;=5,C1352="NO"),"SÍ","NO")</x:f>
        <x:v>SÍ</x:v>
      </x:c>
      <x:c r="E1352" s="2" t="n">
        <x:f>WORKDAY.INTL(A1352-1,1,1,FERIADOS!$A$2:$A$250)</x:f>
        <x:v>47008</x:v>
      </x:c>
      <x:c r="F1352" t="str">
        <x:f>IF(E1352&gt;=WORKDAY.INTL(EOMONTH(E1352,0)+1,-2,1,FERIADOS!$A$2:$A$250),"SÍ","NO")</x:f>
        <x:v>NO</x:v>
      </x:c>
      <x:c r="G1352" s="10" t="n">
        <x:f>IF(F1352="SÍ",EOMONTH(E1352,0)+1,DATE(YEAR(E1352),MONTH(E1352),1))</x:f>
        <x:v>46997</x:v>
      </x:c>
      <x:c r="H1352" t="str">
        <x:f>IF(D1352="NO",IF(C1352="SÍ","FERIADO","FIN DE SEMANA"),"LABORABLE")&amp;IF(F1352="SÍ"," + CIERRE","")</x:f>
        <x:v>LABORABLE</x:v>
      </x:c>
      <x:c r="I1352" t="str">
        <x:f>TEXT(G1352,"yyyy-mm")</x:f>
        <x:v>2028-09</x:v>
      </x:c>
    </x:row>
    <x:row r="1353" ht="19" customHeight="1">
      <x:c r="A1353" s="2" t="n">
        <x:v>47009</x:v>
      </x:c>
      <x:c r="B1353" t="str">
        <x:f>CHOOSE(WEEKDAY(A1353,2),"Lunes","Martes","Miércoles","Jueves","Viernes","Sábado","Domingo")</x:f>
        <x:v>Miércoles</x:v>
      </x:c>
      <x:c r="C1353" t="str">
        <x:f>IF(COUNTIF(FERIADOS!$A$2:$A$250,A1353)&gt;0,"SÍ","NO")</x:f>
        <x:v>NO</x:v>
      </x:c>
      <x:c r="D1353" t="str">
        <x:f>IF(AND(WEEKDAY(A1353,2)&lt;=5,C1353="NO"),"SÍ","NO")</x:f>
        <x:v>SÍ</x:v>
      </x:c>
      <x:c r="E1353" s="2" t="n">
        <x:f>WORKDAY.INTL(A1353-1,1,1,FERIADOS!$A$2:$A$250)</x:f>
        <x:v>47009</x:v>
      </x:c>
      <x:c r="F1353" t="str">
        <x:f>IF(E1353&gt;=WORKDAY.INTL(EOMONTH(E1353,0)+1,-2,1,FERIADOS!$A$2:$A$250),"SÍ","NO")</x:f>
        <x:v>NO</x:v>
      </x:c>
      <x:c r="G1353" s="10" t="n">
        <x:f>IF(F1353="SÍ",EOMONTH(E1353,0)+1,DATE(YEAR(E1353),MONTH(E1353),1))</x:f>
        <x:v>46997</x:v>
      </x:c>
      <x:c r="H1353" t="str">
        <x:f>IF(D1353="NO",IF(C1353="SÍ","FERIADO","FIN DE SEMANA"),"LABORABLE")&amp;IF(F1353="SÍ"," + CIERRE","")</x:f>
        <x:v>LABORABLE</x:v>
      </x:c>
      <x:c r="I1353" t="str">
        <x:f>TEXT(G1353,"yyyy-mm")</x:f>
        <x:v>2028-09</x:v>
      </x:c>
    </x:row>
    <x:row r="1354" ht="19" customHeight="1">
      <x:c r="A1354" s="2" t="n">
        <x:v>47010</x:v>
      </x:c>
      <x:c r="B1354" t="str">
        <x:f>CHOOSE(WEEKDAY(A1354,2),"Lunes","Martes","Miércoles","Jueves","Viernes","Sábado","Domingo")</x:f>
        <x:v>Jueves</x:v>
      </x:c>
      <x:c r="C1354" t="str">
        <x:f>IF(COUNTIF(FERIADOS!$A$2:$A$250,A1354)&gt;0,"SÍ","NO")</x:f>
        <x:v>NO</x:v>
      </x:c>
      <x:c r="D1354" t="str">
        <x:f>IF(AND(WEEKDAY(A1354,2)&lt;=5,C1354="NO"),"SÍ","NO")</x:f>
        <x:v>SÍ</x:v>
      </x:c>
      <x:c r="E1354" s="2" t="n">
        <x:f>WORKDAY.INTL(A1354-1,1,1,FERIADOS!$A$2:$A$250)</x:f>
        <x:v>47010</x:v>
      </x:c>
      <x:c r="F1354" t="str">
        <x:f>IF(E1354&gt;=WORKDAY.INTL(EOMONTH(E1354,0)+1,-2,1,FERIADOS!$A$2:$A$250),"SÍ","NO")</x:f>
        <x:v>NO</x:v>
      </x:c>
      <x:c r="G1354" s="10" t="n">
        <x:f>IF(F1354="SÍ",EOMONTH(E1354,0)+1,DATE(YEAR(E1354),MONTH(E1354),1))</x:f>
        <x:v>46997</x:v>
      </x:c>
      <x:c r="H1354" t="str">
        <x:f>IF(D1354="NO",IF(C1354="SÍ","FERIADO","FIN DE SEMANA"),"LABORABLE")&amp;IF(F1354="SÍ"," + CIERRE","")</x:f>
        <x:v>LABORABLE</x:v>
      </x:c>
      <x:c r="I1354" t="str">
        <x:f>TEXT(G1354,"yyyy-mm")</x:f>
        <x:v>2028-09</x:v>
      </x:c>
    </x:row>
    <x:row r="1355" ht="19" customHeight="1">
      <x:c r="A1355" s="2" t="n">
        <x:v>47011</x:v>
      </x:c>
      <x:c r="B1355" t="str">
        <x:f>CHOOSE(WEEKDAY(A1355,2),"Lunes","Martes","Miércoles","Jueves","Viernes","Sábado","Domingo")</x:f>
        <x:v>Viernes</x:v>
      </x:c>
      <x:c r="C1355" t="str">
        <x:f>IF(COUNTIF(FERIADOS!$A$2:$A$250,A1355)&gt;0,"SÍ","NO")</x:f>
        <x:v>NO</x:v>
      </x:c>
      <x:c r="D1355" t="str">
        <x:f>IF(AND(WEEKDAY(A1355,2)&lt;=5,C1355="NO"),"SÍ","NO")</x:f>
        <x:v>SÍ</x:v>
      </x:c>
      <x:c r="E1355" s="2" t="n">
        <x:f>WORKDAY.INTL(A1355-1,1,1,FERIADOS!$A$2:$A$250)</x:f>
        <x:v>47011</x:v>
      </x:c>
      <x:c r="F1355" t="str">
        <x:f>IF(E1355&gt;=WORKDAY.INTL(EOMONTH(E1355,0)+1,-2,1,FERIADOS!$A$2:$A$250),"SÍ","NO")</x:f>
        <x:v>NO</x:v>
      </x:c>
      <x:c r="G1355" s="10" t="n">
        <x:f>IF(F1355="SÍ",EOMONTH(E1355,0)+1,DATE(YEAR(E1355),MONTH(E1355),1))</x:f>
        <x:v>46997</x:v>
      </x:c>
      <x:c r="H1355" t="str">
        <x:f>IF(D1355="NO",IF(C1355="SÍ","FERIADO","FIN DE SEMANA"),"LABORABLE")&amp;IF(F1355="SÍ"," + CIERRE","")</x:f>
        <x:v>LABORABLE</x:v>
      </x:c>
      <x:c r="I1355" t="str">
        <x:f>TEXT(G1355,"yyyy-mm")</x:f>
        <x:v>2028-09</x:v>
      </x:c>
    </x:row>
    <x:row r="1356" ht="19" customHeight="1">
      <x:c r="A1356" s="2" t="n">
        <x:v>47012</x:v>
      </x:c>
      <x:c r="B1356" t="str">
        <x:f>CHOOSE(WEEKDAY(A1356,2),"Lunes","Martes","Miércoles","Jueves","Viernes","Sábado","Domingo")</x:f>
        <x:v>Sábado</x:v>
      </x:c>
      <x:c r="C1356" t="str">
        <x:f>IF(COUNTIF(FERIADOS!$A$2:$A$250,A1356)&gt;0,"SÍ","NO")</x:f>
        <x:v>NO</x:v>
      </x:c>
      <x:c r="D1356" t="str">
        <x:f>IF(AND(WEEKDAY(A1356,2)&lt;=5,C1356="NO"),"SÍ","NO")</x:f>
        <x:v>NO</x:v>
      </x:c>
      <x:c r="E1356" s="2" t="n">
        <x:f>WORKDAY.INTL(A1356-1,1,1,FERIADOS!$A$2:$A$250)</x:f>
        <x:v>47014</x:v>
      </x:c>
      <x:c r="F1356" t="str">
        <x:f>IF(E1356&gt;=WORKDAY.INTL(EOMONTH(E1356,0)+1,-2,1,FERIADOS!$A$2:$A$250),"SÍ","NO")</x:f>
        <x:v>NO</x:v>
      </x:c>
      <x:c r="G1356" s="10" t="n">
        <x:f>IF(F1356="SÍ",EOMONTH(E1356,0)+1,DATE(YEAR(E1356),MONTH(E1356),1))</x:f>
        <x:v>46997</x:v>
      </x:c>
      <x:c r="H1356" t="str">
        <x:f>IF(D1356="NO",IF(C1356="SÍ","FERIADO","FIN DE SEMANA"),"LABORABLE")&amp;IF(F1356="SÍ"," + CIERRE","")</x:f>
        <x:v>FIN DE SEMANA</x:v>
      </x:c>
      <x:c r="I1356" t="str">
        <x:f>TEXT(G1356,"yyyy-mm")</x:f>
        <x:v>2028-09</x:v>
      </x:c>
    </x:row>
    <x:row r="1357" ht="19" customHeight="1">
      <x:c r="A1357" s="2" t="n">
        <x:v>47013</x:v>
      </x:c>
      <x:c r="B1357" t="str">
        <x:f>CHOOSE(WEEKDAY(A1357,2),"Lunes","Martes","Miércoles","Jueves","Viernes","Sábado","Domingo")</x:f>
        <x:v>Domingo</x:v>
      </x:c>
      <x:c r="C1357" t="str">
        <x:f>IF(COUNTIF(FERIADOS!$A$2:$A$250,A1357)&gt;0,"SÍ","NO")</x:f>
        <x:v>NO</x:v>
      </x:c>
      <x:c r="D1357" t="str">
        <x:f>IF(AND(WEEKDAY(A1357,2)&lt;=5,C1357="NO"),"SÍ","NO")</x:f>
        <x:v>NO</x:v>
      </x:c>
      <x:c r="E1357" s="2" t="n">
        <x:f>WORKDAY.INTL(A1357-1,1,1,FERIADOS!$A$2:$A$250)</x:f>
        <x:v>47014</x:v>
      </x:c>
      <x:c r="F1357" t="str">
        <x:f>IF(E1357&gt;=WORKDAY.INTL(EOMONTH(E1357,0)+1,-2,1,FERIADOS!$A$2:$A$250),"SÍ","NO")</x:f>
        <x:v>NO</x:v>
      </x:c>
      <x:c r="G1357" s="10" t="n">
        <x:f>IF(F1357="SÍ",EOMONTH(E1357,0)+1,DATE(YEAR(E1357),MONTH(E1357),1))</x:f>
        <x:v>46997</x:v>
      </x:c>
      <x:c r="H1357" t="str">
        <x:f>IF(D1357="NO",IF(C1357="SÍ","FERIADO","FIN DE SEMANA"),"LABORABLE")&amp;IF(F1357="SÍ"," + CIERRE","")</x:f>
        <x:v>FIN DE SEMANA</x:v>
      </x:c>
      <x:c r="I1357" t="str">
        <x:f>TEXT(G1357,"yyyy-mm")</x:f>
        <x:v>2028-09</x:v>
      </x:c>
    </x:row>
    <x:row r="1358" ht="19" customHeight="1">
      <x:c r="A1358" s="2" t="n">
        <x:v>47014</x:v>
      </x:c>
      <x:c r="B1358" t="str">
        <x:f>CHOOSE(WEEKDAY(A1358,2),"Lunes","Martes","Miércoles","Jueves","Viernes","Sábado","Domingo")</x:f>
        <x:v>Lunes</x:v>
      </x:c>
      <x:c r="C1358" t="str">
        <x:f>IF(COUNTIF(FERIADOS!$A$2:$A$250,A1358)&gt;0,"SÍ","NO")</x:f>
        <x:v>NO</x:v>
      </x:c>
      <x:c r="D1358" t="str">
        <x:f>IF(AND(WEEKDAY(A1358,2)&lt;=5,C1358="NO"),"SÍ","NO")</x:f>
        <x:v>SÍ</x:v>
      </x:c>
      <x:c r="E1358" s="2" t="n">
        <x:f>WORKDAY.INTL(A1358-1,1,1,FERIADOS!$A$2:$A$250)</x:f>
        <x:v>47014</x:v>
      </x:c>
      <x:c r="F1358" t="str">
        <x:f>IF(E1358&gt;=WORKDAY.INTL(EOMONTH(E1358,0)+1,-2,1,FERIADOS!$A$2:$A$250),"SÍ","NO")</x:f>
        <x:v>NO</x:v>
      </x:c>
      <x:c r="G1358" s="10" t="n">
        <x:f>IF(F1358="SÍ",EOMONTH(E1358,0)+1,DATE(YEAR(E1358),MONTH(E1358),1))</x:f>
        <x:v>46997</x:v>
      </x:c>
      <x:c r="H1358" t="str">
        <x:f>IF(D1358="NO",IF(C1358="SÍ","FERIADO","FIN DE SEMANA"),"LABORABLE")&amp;IF(F1358="SÍ"," + CIERRE","")</x:f>
        <x:v>LABORABLE</x:v>
      </x:c>
      <x:c r="I1358" t="str">
        <x:f>TEXT(G1358,"yyyy-mm")</x:f>
        <x:v>2028-09</x:v>
      </x:c>
    </x:row>
    <x:row r="1359" ht="19" customHeight="1">
      <x:c r="A1359" s="2" t="n">
        <x:v>47015</x:v>
      </x:c>
      <x:c r="B1359" t="str">
        <x:f>CHOOSE(WEEKDAY(A1359,2),"Lunes","Martes","Miércoles","Jueves","Viernes","Sábado","Domingo")</x:f>
        <x:v>Martes</x:v>
      </x:c>
      <x:c r="C1359" t="str">
        <x:f>IF(COUNTIF(FERIADOS!$A$2:$A$250,A1359)&gt;0,"SÍ","NO")</x:f>
        <x:v>NO</x:v>
      </x:c>
      <x:c r="D1359" t="str">
        <x:f>IF(AND(WEEKDAY(A1359,2)&lt;=5,C1359="NO"),"SÍ","NO")</x:f>
        <x:v>SÍ</x:v>
      </x:c>
      <x:c r="E1359" s="2" t="n">
        <x:f>WORKDAY.INTL(A1359-1,1,1,FERIADOS!$A$2:$A$250)</x:f>
        <x:v>47015</x:v>
      </x:c>
      <x:c r="F1359" t="str">
        <x:f>IF(E1359&gt;=WORKDAY.INTL(EOMONTH(E1359,0)+1,-2,1,FERIADOS!$A$2:$A$250),"SÍ","NO")</x:f>
        <x:v>NO</x:v>
      </x:c>
      <x:c r="G1359" s="10" t="n">
        <x:f>IF(F1359="SÍ",EOMONTH(E1359,0)+1,DATE(YEAR(E1359),MONTH(E1359),1))</x:f>
        <x:v>46997</x:v>
      </x:c>
      <x:c r="H1359" t="str">
        <x:f>IF(D1359="NO",IF(C1359="SÍ","FERIADO","FIN DE SEMANA"),"LABORABLE")&amp;IF(F1359="SÍ"," + CIERRE","")</x:f>
        <x:v>LABORABLE</x:v>
      </x:c>
      <x:c r="I1359" t="str">
        <x:f>TEXT(G1359,"yyyy-mm")</x:f>
        <x:v>2028-09</x:v>
      </x:c>
    </x:row>
    <x:row r="1360" ht="19" customHeight="1">
      <x:c r="A1360" s="2" t="n">
        <x:v>47016</x:v>
      </x:c>
      <x:c r="B1360" t="str">
        <x:f>CHOOSE(WEEKDAY(A1360,2),"Lunes","Martes","Miércoles","Jueves","Viernes","Sábado","Domingo")</x:f>
        <x:v>Miércoles</x:v>
      </x:c>
      <x:c r="C1360" t="str">
        <x:f>IF(COUNTIF(FERIADOS!$A$2:$A$250,A1360)&gt;0,"SÍ","NO")</x:f>
        <x:v>NO</x:v>
      </x:c>
      <x:c r="D1360" t="str">
        <x:f>IF(AND(WEEKDAY(A1360,2)&lt;=5,C1360="NO"),"SÍ","NO")</x:f>
        <x:v>SÍ</x:v>
      </x:c>
      <x:c r="E1360" s="2" t="n">
        <x:f>WORKDAY.INTL(A1360-1,1,1,FERIADOS!$A$2:$A$250)</x:f>
        <x:v>47016</x:v>
      </x:c>
      <x:c r="F1360" t="str">
        <x:f>IF(E1360&gt;=WORKDAY.INTL(EOMONTH(E1360,0)+1,-2,1,FERIADOS!$A$2:$A$250),"SÍ","NO")</x:f>
        <x:v>NO</x:v>
      </x:c>
      <x:c r="G1360" s="10" t="n">
        <x:f>IF(F1360="SÍ",EOMONTH(E1360,0)+1,DATE(YEAR(E1360),MONTH(E1360),1))</x:f>
        <x:v>46997</x:v>
      </x:c>
      <x:c r="H1360" t="str">
        <x:f>IF(D1360="NO",IF(C1360="SÍ","FERIADO","FIN DE SEMANA"),"LABORABLE")&amp;IF(F1360="SÍ"," + CIERRE","")</x:f>
        <x:v>LABORABLE</x:v>
      </x:c>
      <x:c r="I1360" t="str">
        <x:f>TEXT(G1360,"yyyy-mm")</x:f>
        <x:v>2028-09</x:v>
      </x:c>
    </x:row>
    <x:row r="1361" ht="19" customHeight="1">
      <x:c r="A1361" s="2" t="n">
        <x:v>47017</x:v>
      </x:c>
      <x:c r="B1361" t="str">
        <x:f>CHOOSE(WEEKDAY(A1361,2),"Lunes","Martes","Miércoles","Jueves","Viernes","Sábado","Domingo")</x:f>
        <x:v>Jueves</x:v>
      </x:c>
      <x:c r="C1361" t="str">
        <x:f>IF(COUNTIF(FERIADOS!$A$2:$A$250,A1361)&gt;0,"SÍ","NO")</x:f>
        <x:v>NO</x:v>
      </x:c>
      <x:c r="D1361" t="str">
        <x:f>IF(AND(WEEKDAY(A1361,2)&lt;=5,C1361="NO"),"SÍ","NO")</x:f>
        <x:v>SÍ</x:v>
      </x:c>
      <x:c r="E1361" s="2" t="n">
        <x:f>WORKDAY.INTL(A1361-1,1,1,FERIADOS!$A$2:$A$250)</x:f>
        <x:v>47017</x:v>
      </x:c>
      <x:c r="F1361" t="str">
        <x:f>IF(E1361&gt;=WORKDAY.INTL(EOMONTH(E1361,0)+1,-2,1,FERIADOS!$A$2:$A$250),"SÍ","NO")</x:f>
        <x:v>NO</x:v>
      </x:c>
      <x:c r="G1361" s="10" t="n">
        <x:f>IF(F1361="SÍ",EOMONTH(E1361,0)+1,DATE(YEAR(E1361),MONTH(E1361),1))</x:f>
        <x:v>46997</x:v>
      </x:c>
      <x:c r="H1361" t="str">
        <x:f>IF(D1361="NO",IF(C1361="SÍ","FERIADO","FIN DE SEMANA"),"LABORABLE")&amp;IF(F1361="SÍ"," + CIERRE","")</x:f>
        <x:v>LABORABLE</x:v>
      </x:c>
      <x:c r="I1361" t="str">
        <x:f>TEXT(G1361,"yyyy-mm")</x:f>
        <x:v>2028-09</x:v>
      </x:c>
    </x:row>
    <x:row r="1362" ht="19" customHeight="1">
      <x:c r="A1362" s="2" t="n">
        <x:v>47018</x:v>
      </x:c>
      <x:c r="B1362" t="str">
        <x:f>CHOOSE(WEEKDAY(A1362,2),"Lunes","Martes","Miércoles","Jueves","Viernes","Sábado","Domingo")</x:f>
        <x:v>Viernes</x:v>
      </x:c>
      <x:c r="C1362" t="str">
        <x:f>IF(COUNTIF(FERIADOS!$A$2:$A$250,A1362)&gt;0,"SÍ","NO")</x:f>
        <x:v>NO</x:v>
      </x:c>
      <x:c r="D1362" t="str">
        <x:f>IF(AND(WEEKDAY(A1362,2)&lt;=5,C1362="NO"),"SÍ","NO")</x:f>
        <x:v>SÍ</x:v>
      </x:c>
      <x:c r="E1362" s="2" t="n">
        <x:f>WORKDAY.INTL(A1362-1,1,1,FERIADOS!$A$2:$A$250)</x:f>
        <x:v>47018</x:v>
      </x:c>
      <x:c r="F1362" t="str">
        <x:f>IF(E1362&gt;=WORKDAY.INTL(EOMONTH(E1362,0)+1,-2,1,FERIADOS!$A$2:$A$250),"SÍ","NO")</x:f>
        <x:v>NO</x:v>
      </x:c>
      <x:c r="G1362" s="10" t="n">
        <x:f>IF(F1362="SÍ",EOMONTH(E1362,0)+1,DATE(YEAR(E1362),MONTH(E1362),1))</x:f>
        <x:v>46997</x:v>
      </x:c>
      <x:c r="H1362" t="str">
        <x:f>IF(D1362="NO",IF(C1362="SÍ","FERIADO","FIN DE SEMANA"),"LABORABLE")&amp;IF(F1362="SÍ"," + CIERRE","")</x:f>
        <x:v>LABORABLE</x:v>
      </x:c>
      <x:c r="I1362" t="str">
        <x:f>TEXT(G1362,"yyyy-mm")</x:f>
        <x:v>2028-09</x:v>
      </x:c>
    </x:row>
    <x:row r="1363" ht="19" customHeight="1">
      <x:c r="A1363" s="2" t="n">
        <x:v>47019</x:v>
      </x:c>
      <x:c r="B1363" t="str">
        <x:f>CHOOSE(WEEKDAY(A1363,2),"Lunes","Martes","Miércoles","Jueves","Viernes","Sábado","Domingo")</x:f>
        <x:v>Sábado</x:v>
      </x:c>
      <x:c r="C1363" t="str">
        <x:f>IF(COUNTIF(FERIADOS!$A$2:$A$250,A1363)&gt;0,"SÍ","NO")</x:f>
        <x:v>NO</x:v>
      </x:c>
      <x:c r="D1363" t="str">
        <x:f>IF(AND(WEEKDAY(A1363,2)&lt;=5,C1363="NO"),"SÍ","NO")</x:f>
        <x:v>NO</x:v>
      </x:c>
      <x:c r="E1363" s="2" t="n">
        <x:f>WORKDAY.INTL(A1363-1,1,1,FERIADOS!$A$2:$A$250)</x:f>
        <x:v>47021</x:v>
      </x:c>
      <x:c r="F1363" t="str">
        <x:f>IF(E1363&gt;=WORKDAY.INTL(EOMONTH(E1363,0)+1,-2,1,FERIADOS!$A$2:$A$250),"SÍ","NO")</x:f>
        <x:v>NO</x:v>
      </x:c>
      <x:c r="G1363" s="10" t="n">
        <x:f>IF(F1363="SÍ",EOMONTH(E1363,0)+1,DATE(YEAR(E1363),MONTH(E1363),1))</x:f>
        <x:v>46997</x:v>
      </x:c>
      <x:c r="H1363" t="str">
        <x:f>IF(D1363="NO",IF(C1363="SÍ","FERIADO","FIN DE SEMANA"),"LABORABLE")&amp;IF(F1363="SÍ"," + CIERRE","")</x:f>
        <x:v>FIN DE SEMANA</x:v>
      </x:c>
      <x:c r="I1363" t="str">
        <x:f>TEXT(G1363,"yyyy-mm")</x:f>
        <x:v>2028-09</x:v>
      </x:c>
    </x:row>
    <x:row r="1364" ht="19" customHeight="1">
      <x:c r="A1364" s="2" t="n">
        <x:v>47020</x:v>
      </x:c>
      <x:c r="B1364" t="str">
        <x:f>CHOOSE(WEEKDAY(A1364,2),"Lunes","Martes","Miércoles","Jueves","Viernes","Sábado","Domingo")</x:f>
        <x:v>Domingo</x:v>
      </x:c>
      <x:c r="C1364" t="str">
        <x:f>IF(COUNTIF(FERIADOS!$A$2:$A$250,A1364)&gt;0,"SÍ","NO")</x:f>
        <x:v>NO</x:v>
      </x:c>
      <x:c r="D1364" t="str">
        <x:f>IF(AND(WEEKDAY(A1364,2)&lt;=5,C1364="NO"),"SÍ","NO")</x:f>
        <x:v>NO</x:v>
      </x:c>
      <x:c r="E1364" s="2" t="n">
        <x:f>WORKDAY.INTL(A1364-1,1,1,FERIADOS!$A$2:$A$250)</x:f>
        <x:v>47021</x:v>
      </x:c>
      <x:c r="F1364" t="str">
        <x:f>IF(E1364&gt;=WORKDAY.INTL(EOMONTH(E1364,0)+1,-2,1,FERIADOS!$A$2:$A$250),"SÍ","NO")</x:f>
        <x:v>NO</x:v>
      </x:c>
      <x:c r="G1364" s="10" t="n">
        <x:f>IF(F1364="SÍ",EOMONTH(E1364,0)+1,DATE(YEAR(E1364),MONTH(E1364),1))</x:f>
        <x:v>46997</x:v>
      </x:c>
      <x:c r="H1364" t="str">
        <x:f>IF(D1364="NO",IF(C1364="SÍ","FERIADO","FIN DE SEMANA"),"LABORABLE")&amp;IF(F1364="SÍ"," + CIERRE","")</x:f>
        <x:v>FIN DE SEMANA</x:v>
      </x:c>
      <x:c r="I1364" t="str">
        <x:f>TEXT(G1364,"yyyy-mm")</x:f>
        <x:v>2028-09</x:v>
      </x:c>
    </x:row>
    <x:row r="1365" ht="19" customHeight="1">
      <x:c r="A1365" s="2" t="n">
        <x:v>47021</x:v>
      </x:c>
      <x:c r="B1365" t="str">
        <x:f>CHOOSE(WEEKDAY(A1365,2),"Lunes","Martes","Miércoles","Jueves","Viernes","Sábado","Domingo")</x:f>
        <x:v>Lunes</x:v>
      </x:c>
      <x:c r="C1365" t="str">
        <x:f>IF(COUNTIF(FERIADOS!$A$2:$A$250,A1365)&gt;0,"SÍ","NO")</x:f>
        <x:v>NO</x:v>
      </x:c>
      <x:c r="D1365" t="str">
        <x:f>IF(AND(WEEKDAY(A1365,2)&lt;=5,C1365="NO"),"SÍ","NO")</x:f>
        <x:v>SÍ</x:v>
      </x:c>
      <x:c r="E1365" s="2" t="n">
        <x:f>WORKDAY.INTL(A1365-1,1,1,FERIADOS!$A$2:$A$250)</x:f>
        <x:v>47021</x:v>
      </x:c>
      <x:c r="F1365" t="str">
        <x:f>IF(E1365&gt;=WORKDAY.INTL(EOMONTH(E1365,0)+1,-2,1,FERIADOS!$A$2:$A$250),"SÍ","NO")</x:f>
        <x:v>NO</x:v>
      </x:c>
      <x:c r="G1365" s="10" t="n">
        <x:f>IF(F1365="SÍ",EOMONTH(E1365,0)+1,DATE(YEAR(E1365),MONTH(E1365),1))</x:f>
        <x:v>46997</x:v>
      </x:c>
      <x:c r="H1365" t="str">
        <x:f>IF(D1365="NO",IF(C1365="SÍ","FERIADO","FIN DE SEMANA"),"LABORABLE")&amp;IF(F1365="SÍ"," + CIERRE","")</x:f>
        <x:v>LABORABLE</x:v>
      </x:c>
      <x:c r="I1365" t="str">
        <x:f>TEXT(G1365,"yyyy-mm")</x:f>
        <x:v>2028-09</x:v>
      </x:c>
    </x:row>
    <x:row r="1366" ht="19" customHeight="1">
      <x:c r="A1366" s="2" t="n">
        <x:v>47022</x:v>
      </x:c>
      <x:c r="B1366" t="str">
        <x:f>CHOOSE(WEEKDAY(A1366,2),"Lunes","Martes","Miércoles","Jueves","Viernes","Sábado","Domingo")</x:f>
        <x:v>Martes</x:v>
      </x:c>
      <x:c r="C1366" t="str">
        <x:f>IF(COUNTIF(FERIADOS!$A$2:$A$250,A1366)&gt;0,"SÍ","NO")</x:f>
        <x:v>NO</x:v>
      </x:c>
      <x:c r="D1366" t="str">
        <x:f>IF(AND(WEEKDAY(A1366,2)&lt;=5,C1366="NO"),"SÍ","NO")</x:f>
        <x:v>SÍ</x:v>
      </x:c>
      <x:c r="E1366" s="2" t="n">
        <x:f>WORKDAY.INTL(A1366-1,1,1,FERIADOS!$A$2:$A$250)</x:f>
        <x:v>47022</x:v>
      </x:c>
      <x:c r="F1366" t="str">
        <x:f>IF(E1366&gt;=WORKDAY.INTL(EOMONTH(E1366,0)+1,-2,1,FERIADOS!$A$2:$A$250),"SÍ","NO")</x:f>
        <x:v>NO</x:v>
      </x:c>
      <x:c r="G1366" s="10" t="n">
        <x:f>IF(F1366="SÍ",EOMONTH(E1366,0)+1,DATE(YEAR(E1366),MONTH(E1366),1))</x:f>
        <x:v>46997</x:v>
      </x:c>
      <x:c r="H1366" t="str">
        <x:f>IF(D1366="NO",IF(C1366="SÍ","FERIADO","FIN DE SEMANA"),"LABORABLE")&amp;IF(F1366="SÍ"," + CIERRE","")</x:f>
        <x:v>LABORABLE</x:v>
      </x:c>
      <x:c r="I1366" t="str">
        <x:f>TEXT(G1366,"yyyy-mm")</x:f>
        <x:v>2028-09</x:v>
      </x:c>
    </x:row>
    <x:row r="1367" ht="19" customHeight="1">
      <x:c r="A1367" s="2" t="n">
        <x:v>47023</x:v>
      </x:c>
      <x:c r="B1367" t="str">
        <x:f>CHOOSE(WEEKDAY(A1367,2),"Lunes","Martes","Miércoles","Jueves","Viernes","Sábado","Domingo")</x:f>
        <x:v>Miércoles</x:v>
      </x:c>
      <x:c r="C1367" t="str">
        <x:f>IF(COUNTIF(FERIADOS!$A$2:$A$250,A1367)&gt;0,"SÍ","NO")</x:f>
        <x:v>NO</x:v>
      </x:c>
      <x:c r="D1367" t="str">
        <x:f>IF(AND(WEEKDAY(A1367,2)&lt;=5,C1367="NO"),"SÍ","NO")</x:f>
        <x:v>SÍ</x:v>
      </x:c>
      <x:c r="E1367" s="2" t="n">
        <x:f>WORKDAY.INTL(A1367-1,1,1,FERIADOS!$A$2:$A$250)</x:f>
        <x:v>47023</x:v>
      </x:c>
      <x:c r="F1367" t="str">
        <x:f>IF(E1367&gt;=WORKDAY.INTL(EOMONTH(E1367,0)+1,-2,1,FERIADOS!$A$2:$A$250),"SÍ","NO")</x:f>
        <x:v>NO</x:v>
      </x:c>
      <x:c r="G1367" s="10" t="n">
        <x:f>IF(F1367="SÍ",EOMONTH(E1367,0)+1,DATE(YEAR(E1367),MONTH(E1367),1))</x:f>
        <x:v>46997</x:v>
      </x:c>
      <x:c r="H1367" t="str">
        <x:f>IF(D1367="NO",IF(C1367="SÍ","FERIADO","FIN DE SEMANA"),"LABORABLE")&amp;IF(F1367="SÍ"," + CIERRE","")</x:f>
        <x:v>LABORABLE</x:v>
      </x:c>
      <x:c r="I1367" t="str">
        <x:f>TEXT(G1367,"yyyy-mm")</x:f>
        <x:v>2028-09</x:v>
      </x:c>
    </x:row>
    <x:row r="1368" ht="19" customHeight="1">
      <x:c r="A1368" s="2" t="n">
        <x:v>47024</x:v>
      </x:c>
      <x:c r="B1368" t="str">
        <x:f>CHOOSE(WEEKDAY(A1368,2),"Lunes","Martes","Miércoles","Jueves","Viernes","Sábado","Domingo")</x:f>
        <x:v>Jueves</x:v>
      </x:c>
      <x:c r="C1368" t="str">
        <x:f>IF(COUNTIF(FERIADOS!$A$2:$A$250,A1368)&gt;0,"SÍ","NO")</x:f>
        <x:v>NO</x:v>
      </x:c>
      <x:c r="D1368" t="str">
        <x:f>IF(AND(WEEKDAY(A1368,2)&lt;=5,C1368="NO"),"SÍ","NO")</x:f>
        <x:v>SÍ</x:v>
      </x:c>
      <x:c r="E1368" s="2" t="n">
        <x:f>WORKDAY.INTL(A1368-1,1,1,FERIADOS!$A$2:$A$250)</x:f>
        <x:v>47024</x:v>
      </x:c>
      <x:c r="F1368" t="str">
        <x:f>IF(E1368&gt;=WORKDAY.INTL(EOMONTH(E1368,0)+1,-2,1,FERIADOS!$A$2:$A$250),"SÍ","NO")</x:f>
        <x:v>SÍ</x:v>
      </x:c>
      <x:c r="G1368" s="10" t="n">
        <x:f>IF(F1368="SÍ",EOMONTH(E1368,0)+1,DATE(YEAR(E1368),MONTH(E1368),1))</x:f>
        <x:v>47027</x:v>
      </x:c>
      <x:c r="H1368" t="str">
        <x:f>IF(D1368="NO",IF(C1368="SÍ","FERIADO","FIN DE SEMANA"),"LABORABLE")&amp;IF(F1368="SÍ"," + CIERRE","")</x:f>
        <x:v>LABORABLE + CIERRE</x:v>
      </x:c>
      <x:c r="I1368" t="str">
        <x:f>TEXT(G1368,"yyyy-mm")</x:f>
        <x:v>2028-10</x:v>
      </x:c>
    </x:row>
    <x:row r="1369" ht="19" customHeight="1">
      <x:c r="A1369" s="2" t="n">
        <x:v>47025</x:v>
      </x:c>
      <x:c r="B1369" t="str">
        <x:f>CHOOSE(WEEKDAY(A1369,2),"Lunes","Martes","Miércoles","Jueves","Viernes","Sábado","Domingo")</x:f>
        <x:v>Viernes</x:v>
      </x:c>
      <x:c r="C1369" t="str">
        <x:f>IF(COUNTIF(FERIADOS!$A$2:$A$250,A1369)&gt;0,"SÍ","NO")</x:f>
        <x:v>NO</x:v>
      </x:c>
      <x:c r="D1369" t="str">
        <x:f>IF(AND(WEEKDAY(A1369,2)&lt;=5,C1369="NO"),"SÍ","NO")</x:f>
        <x:v>SÍ</x:v>
      </x:c>
      <x:c r="E1369" s="2" t="n">
        <x:f>WORKDAY.INTL(A1369-1,1,1,FERIADOS!$A$2:$A$250)</x:f>
        <x:v>47025</x:v>
      </x:c>
      <x:c r="F1369" t="str">
        <x:f>IF(E1369&gt;=WORKDAY.INTL(EOMONTH(E1369,0)+1,-2,1,FERIADOS!$A$2:$A$250),"SÍ","NO")</x:f>
        <x:v>SÍ</x:v>
      </x:c>
      <x:c r="G1369" s="10" t="n">
        <x:f>IF(F1369="SÍ",EOMONTH(E1369,0)+1,DATE(YEAR(E1369),MONTH(E1369),1))</x:f>
        <x:v>47027</x:v>
      </x:c>
      <x:c r="H1369" t="str">
        <x:f>IF(D1369="NO",IF(C1369="SÍ","FERIADO","FIN DE SEMANA"),"LABORABLE")&amp;IF(F1369="SÍ"," + CIERRE","")</x:f>
        <x:v>LABORABLE + CIERRE</x:v>
      </x:c>
      <x:c r="I1369" t="str">
        <x:f>TEXT(G1369,"yyyy-mm")</x:f>
        <x:v>2028-10</x:v>
      </x:c>
    </x:row>
    <x:row r="1370" ht="19" customHeight="1">
      <x:c r="A1370" s="2" t="n">
        <x:v>47026</x:v>
      </x:c>
      <x:c r="B1370" t="str">
        <x:f>CHOOSE(WEEKDAY(A1370,2),"Lunes","Martes","Miércoles","Jueves","Viernes","Sábado","Domingo")</x:f>
        <x:v>Sábado</x:v>
      </x:c>
      <x:c r="C1370" t="str">
        <x:f>IF(COUNTIF(FERIADOS!$A$2:$A$250,A1370)&gt;0,"SÍ","NO")</x:f>
        <x:v>NO</x:v>
      </x:c>
      <x:c r="D1370" t="str">
        <x:f>IF(AND(WEEKDAY(A1370,2)&lt;=5,C1370="NO"),"SÍ","NO")</x:f>
        <x:v>NO</x:v>
      </x:c>
      <x:c r="E1370" s="2" t="n">
        <x:f>WORKDAY.INTL(A1370-1,1,1,FERIADOS!$A$2:$A$250)</x:f>
        <x:v>47028</x:v>
      </x:c>
      <x:c r="F1370" t="str">
        <x:f>IF(E1370&gt;=WORKDAY.INTL(EOMONTH(E1370,0)+1,-2,1,FERIADOS!$A$2:$A$250),"SÍ","NO")</x:f>
        <x:v>NO</x:v>
      </x:c>
      <x:c r="G1370" s="10" t="n">
        <x:f>IF(F1370="SÍ",EOMONTH(E1370,0)+1,DATE(YEAR(E1370),MONTH(E1370),1))</x:f>
        <x:v>47027</x:v>
      </x:c>
      <x:c r="H1370" t="str">
        <x:f>IF(D1370="NO",IF(C1370="SÍ","FERIADO","FIN DE SEMANA"),"LABORABLE")&amp;IF(F1370="SÍ"," + CIERRE","")</x:f>
        <x:v>FIN DE SEMANA</x:v>
      </x:c>
      <x:c r="I1370" t="str">
        <x:f>TEXT(G1370,"yyyy-mm")</x:f>
        <x:v>2028-10</x:v>
      </x:c>
    </x:row>
    <x:row r="1371" ht="19" customHeight="1">
      <x:c r="A1371" s="2" t="n">
        <x:v>47027</x:v>
      </x:c>
      <x:c r="B1371" t="str">
        <x:f>CHOOSE(WEEKDAY(A1371,2),"Lunes","Martes","Miércoles","Jueves","Viernes","Sábado","Domingo")</x:f>
        <x:v>Domingo</x:v>
      </x:c>
      <x:c r="C1371" t="str">
        <x:f>IF(COUNTIF(FERIADOS!$A$2:$A$250,A1371)&gt;0,"SÍ","NO")</x:f>
        <x:v>NO</x:v>
      </x:c>
      <x:c r="D1371" t="str">
        <x:f>IF(AND(WEEKDAY(A1371,2)&lt;=5,C1371="NO"),"SÍ","NO")</x:f>
        <x:v>NO</x:v>
      </x:c>
      <x:c r="E1371" s="2" t="n">
        <x:f>WORKDAY.INTL(A1371-1,1,1,FERIADOS!$A$2:$A$250)</x:f>
        <x:v>47028</x:v>
      </x:c>
      <x:c r="F1371" t="str">
        <x:f>IF(E1371&gt;=WORKDAY.INTL(EOMONTH(E1371,0)+1,-2,1,FERIADOS!$A$2:$A$250),"SÍ","NO")</x:f>
        <x:v>NO</x:v>
      </x:c>
      <x:c r="G1371" s="10" t="n">
        <x:f>IF(F1371="SÍ",EOMONTH(E1371,0)+1,DATE(YEAR(E1371),MONTH(E1371),1))</x:f>
        <x:v>47027</x:v>
      </x:c>
      <x:c r="H1371" t="str">
        <x:f>IF(D1371="NO",IF(C1371="SÍ","FERIADO","FIN DE SEMANA"),"LABORABLE")&amp;IF(F1371="SÍ"," + CIERRE","")</x:f>
        <x:v>FIN DE SEMANA</x:v>
      </x:c>
      <x:c r="I1371" t="str">
        <x:f>TEXT(G1371,"yyyy-mm")</x:f>
        <x:v>2028-10</x:v>
      </x:c>
    </x:row>
    <x:row r="1372" ht="19" customHeight="1">
      <x:c r="A1372" s="2" t="n">
        <x:v>47028</x:v>
      </x:c>
      <x:c r="B1372" t="str">
        <x:f>CHOOSE(WEEKDAY(A1372,2),"Lunes","Martes","Miércoles","Jueves","Viernes","Sábado","Domingo")</x:f>
        <x:v>Lunes</x:v>
      </x:c>
      <x:c r="C1372" t="str">
        <x:f>IF(COUNTIF(FERIADOS!$A$2:$A$250,A1372)&gt;0,"SÍ","NO")</x:f>
        <x:v>NO</x:v>
      </x:c>
      <x:c r="D1372" t="str">
        <x:f>IF(AND(WEEKDAY(A1372,2)&lt;=5,C1372="NO"),"SÍ","NO")</x:f>
        <x:v>SÍ</x:v>
      </x:c>
      <x:c r="E1372" s="2" t="n">
        <x:f>WORKDAY.INTL(A1372-1,1,1,FERIADOS!$A$2:$A$250)</x:f>
        <x:v>47028</x:v>
      </x:c>
      <x:c r="F1372" t="str">
        <x:f>IF(E1372&gt;=WORKDAY.INTL(EOMONTH(E1372,0)+1,-2,1,FERIADOS!$A$2:$A$250),"SÍ","NO")</x:f>
        <x:v>NO</x:v>
      </x:c>
      <x:c r="G1372" s="10" t="n">
        <x:f>IF(F1372="SÍ",EOMONTH(E1372,0)+1,DATE(YEAR(E1372),MONTH(E1372),1))</x:f>
        <x:v>47027</x:v>
      </x:c>
      <x:c r="H1372" t="str">
        <x:f>IF(D1372="NO",IF(C1372="SÍ","FERIADO","FIN DE SEMANA"),"LABORABLE")&amp;IF(F1372="SÍ"," + CIERRE","")</x:f>
        <x:v>LABORABLE</x:v>
      </x:c>
      <x:c r="I1372" t="str">
        <x:f>TEXT(G1372,"yyyy-mm")</x:f>
        <x:v>2028-10</x:v>
      </x:c>
    </x:row>
    <x:row r="1373" ht="19" customHeight="1">
      <x:c r="A1373" s="2" t="n">
        <x:v>47029</x:v>
      </x:c>
      <x:c r="B1373" t="str">
        <x:f>CHOOSE(WEEKDAY(A1373,2),"Lunes","Martes","Miércoles","Jueves","Viernes","Sábado","Domingo")</x:f>
        <x:v>Martes</x:v>
      </x:c>
      <x:c r="C1373" t="str">
        <x:f>IF(COUNTIF(FERIADOS!$A$2:$A$250,A1373)&gt;0,"SÍ","NO")</x:f>
        <x:v>NO</x:v>
      </x:c>
      <x:c r="D1373" t="str">
        <x:f>IF(AND(WEEKDAY(A1373,2)&lt;=5,C1373="NO"),"SÍ","NO")</x:f>
        <x:v>SÍ</x:v>
      </x:c>
      <x:c r="E1373" s="2" t="n">
        <x:f>WORKDAY.INTL(A1373-1,1,1,FERIADOS!$A$2:$A$250)</x:f>
        <x:v>47029</x:v>
      </x:c>
      <x:c r="F1373" t="str">
        <x:f>IF(E1373&gt;=WORKDAY.INTL(EOMONTH(E1373,0)+1,-2,1,FERIADOS!$A$2:$A$250),"SÍ","NO")</x:f>
        <x:v>NO</x:v>
      </x:c>
      <x:c r="G1373" s="10" t="n">
        <x:f>IF(F1373="SÍ",EOMONTH(E1373,0)+1,DATE(YEAR(E1373),MONTH(E1373),1))</x:f>
        <x:v>47027</x:v>
      </x:c>
      <x:c r="H1373" t="str">
        <x:f>IF(D1373="NO",IF(C1373="SÍ","FERIADO","FIN DE SEMANA"),"LABORABLE")&amp;IF(F1373="SÍ"," + CIERRE","")</x:f>
        <x:v>LABORABLE</x:v>
      </x:c>
      <x:c r="I1373" t="str">
        <x:f>TEXT(G1373,"yyyy-mm")</x:f>
        <x:v>2028-10</x:v>
      </x:c>
    </x:row>
    <x:row r="1374" ht="19" customHeight="1">
      <x:c r="A1374" s="2" t="n">
        <x:v>47030</x:v>
      </x:c>
      <x:c r="B1374" t="str">
        <x:f>CHOOSE(WEEKDAY(A1374,2),"Lunes","Martes","Miércoles","Jueves","Viernes","Sábado","Domingo")</x:f>
        <x:v>Miércoles</x:v>
      </x:c>
      <x:c r="C1374" t="str">
        <x:f>IF(COUNTIF(FERIADOS!$A$2:$A$250,A1374)&gt;0,"SÍ","NO")</x:f>
        <x:v>NO</x:v>
      </x:c>
      <x:c r="D1374" t="str">
        <x:f>IF(AND(WEEKDAY(A1374,2)&lt;=5,C1374="NO"),"SÍ","NO")</x:f>
        <x:v>SÍ</x:v>
      </x:c>
      <x:c r="E1374" s="2" t="n">
        <x:f>WORKDAY.INTL(A1374-1,1,1,FERIADOS!$A$2:$A$250)</x:f>
        <x:v>47030</x:v>
      </x:c>
      <x:c r="F1374" t="str">
        <x:f>IF(E1374&gt;=WORKDAY.INTL(EOMONTH(E1374,0)+1,-2,1,FERIADOS!$A$2:$A$250),"SÍ","NO")</x:f>
        <x:v>NO</x:v>
      </x:c>
      <x:c r="G1374" s="10" t="n">
        <x:f>IF(F1374="SÍ",EOMONTH(E1374,0)+1,DATE(YEAR(E1374),MONTH(E1374),1))</x:f>
        <x:v>47027</x:v>
      </x:c>
      <x:c r="H1374" t="str">
        <x:f>IF(D1374="NO",IF(C1374="SÍ","FERIADO","FIN DE SEMANA"),"LABORABLE")&amp;IF(F1374="SÍ"," + CIERRE","")</x:f>
        <x:v>LABORABLE</x:v>
      </x:c>
      <x:c r="I1374" t="str">
        <x:f>TEXT(G1374,"yyyy-mm")</x:f>
        <x:v>2028-10</x:v>
      </x:c>
    </x:row>
    <x:row r="1375" ht="19" customHeight="1">
      <x:c r="A1375" s="2" t="n">
        <x:v>47031</x:v>
      </x:c>
      <x:c r="B1375" t="str">
        <x:f>CHOOSE(WEEKDAY(A1375,2),"Lunes","Martes","Miércoles","Jueves","Viernes","Sábado","Domingo")</x:f>
        <x:v>Jueves</x:v>
      </x:c>
      <x:c r="C1375" t="str">
        <x:f>IF(COUNTIF(FERIADOS!$A$2:$A$250,A1375)&gt;0,"SÍ","NO")</x:f>
        <x:v>NO</x:v>
      </x:c>
      <x:c r="D1375" t="str">
        <x:f>IF(AND(WEEKDAY(A1375,2)&lt;=5,C1375="NO"),"SÍ","NO")</x:f>
        <x:v>SÍ</x:v>
      </x:c>
      <x:c r="E1375" s="2" t="n">
        <x:f>WORKDAY.INTL(A1375-1,1,1,FERIADOS!$A$2:$A$250)</x:f>
        <x:v>47031</x:v>
      </x:c>
      <x:c r="F1375" t="str">
        <x:f>IF(E1375&gt;=WORKDAY.INTL(EOMONTH(E1375,0)+1,-2,1,FERIADOS!$A$2:$A$250),"SÍ","NO")</x:f>
        <x:v>NO</x:v>
      </x:c>
      <x:c r="G1375" s="10" t="n">
        <x:f>IF(F1375="SÍ",EOMONTH(E1375,0)+1,DATE(YEAR(E1375),MONTH(E1375),1))</x:f>
        <x:v>47027</x:v>
      </x:c>
      <x:c r="H1375" t="str">
        <x:f>IF(D1375="NO",IF(C1375="SÍ","FERIADO","FIN DE SEMANA"),"LABORABLE")&amp;IF(F1375="SÍ"," + CIERRE","")</x:f>
        <x:v>LABORABLE</x:v>
      </x:c>
      <x:c r="I1375" t="str">
        <x:f>TEXT(G1375,"yyyy-mm")</x:f>
        <x:v>2028-10</x:v>
      </x:c>
    </x:row>
    <x:row r="1376" ht="19" customHeight="1">
      <x:c r="A1376" s="2" t="n">
        <x:v>47032</x:v>
      </x:c>
      <x:c r="B1376" t="str">
        <x:f>CHOOSE(WEEKDAY(A1376,2),"Lunes","Martes","Miércoles","Jueves","Viernes","Sábado","Domingo")</x:f>
        <x:v>Viernes</x:v>
      </x:c>
      <x:c r="C1376" t="str">
        <x:f>IF(COUNTIF(FERIADOS!$A$2:$A$250,A1376)&gt;0,"SÍ","NO")</x:f>
        <x:v>NO</x:v>
      </x:c>
      <x:c r="D1376" t="str">
        <x:f>IF(AND(WEEKDAY(A1376,2)&lt;=5,C1376="NO"),"SÍ","NO")</x:f>
        <x:v>SÍ</x:v>
      </x:c>
      <x:c r="E1376" s="2" t="n">
        <x:f>WORKDAY.INTL(A1376-1,1,1,FERIADOS!$A$2:$A$250)</x:f>
        <x:v>47032</x:v>
      </x:c>
      <x:c r="F1376" t="str">
        <x:f>IF(E1376&gt;=WORKDAY.INTL(EOMONTH(E1376,0)+1,-2,1,FERIADOS!$A$2:$A$250),"SÍ","NO")</x:f>
        <x:v>NO</x:v>
      </x:c>
      <x:c r="G1376" s="10" t="n">
        <x:f>IF(F1376="SÍ",EOMONTH(E1376,0)+1,DATE(YEAR(E1376),MONTH(E1376),1))</x:f>
        <x:v>47027</x:v>
      </x:c>
      <x:c r="H1376" t="str">
        <x:f>IF(D1376="NO",IF(C1376="SÍ","FERIADO","FIN DE SEMANA"),"LABORABLE")&amp;IF(F1376="SÍ"," + CIERRE","")</x:f>
        <x:v>LABORABLE</x:v>
      </x:c>
      <x:c r="I1376" t="str">
        <x:f>TEXT(G1376,"yyyy-mm")</x:f>
        <x:v>2028-10</x:v>
      </x:c>
    </x:row>
    <x:row r="1377" ht="19" customHeight="1">
      <x:c r="A1377" s="2" t="n">
        <x:v>47033</x:v>
      </x:c>
      <x:c r="B1377" t="str">
        <x:f>CHOOSE(WEEKDAY(A1377,2),"Lunes","Martes","Miércoles","Jueves","Viernes","Sábado","Domingo")</x:f>
        <x:v>Sábado</x:v>
      </x:c>
      <x:c r="C1377" t="str">
        <x:f>IF(COUNTIF(FERIADOS!$A$2:$A$250,A1377)&gt;0,"SÍ","NO")</x:f>
        <x:v>NO</x:v>
      </x:c>
      <x:c r="D1377" t="str">
        <x:f>IF(AND(WEEKDAY(A1377,2)&lt;=5,C1377="NO"),"SÍ","NO")</x:f>
        <x:v>NO</x:v>
      </x:c>
      <x:c r="E1377" s="2" t="n">
        <x:f>WORKDAY.INTL(A1377-1,1,1,FERIADOS!$A$2:$A$250)</x:f>
        <x:v>47036</x:v>
      </x:c>
      <x:c r="F1377" t="str">
        <x:f>IF(E1377&gt;=WORKDAY.INTL(EOMONTH(E1377,0)+1,-2,1,FERIADOS!$A$2:$A$250),"SÍ","NO")</x:f>
        <x:v>NO</x:v>
      </x:c>
      <x:c r="G1377" s="10" t="n">
        <x:f>IF(F1377="SÍ",EOMONTH(E1377,0)+1,DATE(YEAR(E1377),MONTH(E1377),1))</x:f>
        <x:v>47027</x:v>
      </x:c>
      <x:c r="H1377" t="str">
        <x:f>IF(D1377="NO",IF(C1377="SÍ","FERIADO","FIN DE SEMANA"),"LABORABLE")&amp;IF(F1377="SÍ"," + CIERRE","")</x:f>
        <x:v>FIN DE SEMANA</x:v>
      </x:c>
      <x:c r="I1377" t="str">
        <x:f>TEXT(G1377,"yyyy-mm")</x:f>
        <x:v>2028-10</x:v>
      </x:c>
    </x:row>
    <x:row r="1378" ht="19" customHeight="1">
      <x:c r="A1378" s="2" t="n">
        <x:v>47034</x:v>
      </x:c>
      <x:c r="B1378" t="str">
        <x:f>CHOOSE(WEEKDAY(A1378,2),"Lunes","Martes","Miércoles","Jueves","Viernes","Sábado","Domingo")</x:f>
        <x:v>Domingo</x:v>
      </x:c>
      <x:c r="C1378" t="str">
        <x:f>IF(COUNTIF(FERIADOS!$A$2:$A$250,A1378)&gt;0,"SÍ","NO")</x:f>
        <x:v>NO</x:v>
      </x:c>
      <x:c r="D1378" t="str">
        <x:f>IF(AND(WEEKDAY(A1378,2)&lt;=5,C1378="NO"),"SÍ","NO")</x:f>
        <x:v>NO</x:v>
      </x:c>
      <x:c r="E1378" s="2" t="n">
        <x:f>WORKDAY.INTL(A1378-1,1,1,FERIADOS!$A$2:$A$250)</x:f>
        <x:v>47036</x:v>
      </x:c>
      <x:c r="F1378" t="str">
        <x:f>IF(E1378&gt;=WORKDAY.INTL(EOMONTH(E1378,0)+1,-2,1,FERIADOS!$A$2:$A$250),"SÍ","NO")</x:f>
        <x:v>NO</x:v>
      </x:c>
      <x:c r="G1378" s="10" t="n">
        <x:f>IF(F1378="SÍ",EOMONTH(E1378,0)+1,DATE(YEAR(E1378),MONTH(E1378),1))</x:f>
        <x:v>47027</x:v>
      </x:c>
      <x:c r="H1378" t="str">
        <x:f>IF(D1378="NO",IF(C1378="SÍ","FERIADO","FIN DE SEMANA"),"LABORABLE")&amp;IF(F1378="SÍ"," + CIERRE","")</x:f>
        <x:v>FIN DE SEMANA</x:v>
      </x:c>
      <x:c r="I1378" t="str">
        <x:f>TEXT(G1378,"yyyy-mm")</x:f>
        <x:v>2028-10</x:v>
      </x:c>
    </x:row>
    <x:row r="1379" ht="19" customHeight="1">
      <x:c r="A1379" s="2" t="n">
        <x:v>47035</x:v>
      </x:c>
      <x:c r="B1379" t="str">
        <x:f>CHOOSE(WEEKDAY(A1379,2),"Lunes","Martes","Miércoles","Jueves","Viernes","Sábado","Domingo")</x:f>
        <x:v>Lunes</x:v>
      </x:c>
      <x:c r="C1379" t="str">
        <x:f>IF(COUNTIF(FERIADOS!$A$2:$A$250,A1379)&gt;0,"SÍ","NO")</x:f>
        <x:v>SÍ</x:v>
      </x:c>
      <x:c r="D1379" t="str">
        <x:f>IF(AND(WEEKDAY(A1379,2)&lt;=5,C1379="NO"),"SÍ","NO")</x:f>
        <x:v>NO</x:v>
      </x:c>
      <x:c r="E1379" s="2" t="n">
        <x:f>WORKDAY.INTL(A1379-1,1,1,FERIADOS!$A$2:$A$250)</x:f>
        <x:v>47036</x:v>
      </x:c>
      <x:c r="F1379" t="str">
        <x:f>IF(E1379&gt;=WORKDAY.INTL(EOMONTH(E1379,0)+1,-2,1,FERIADOS!$A$2:$A$250),"SÍ","NO")</x:f>
        <x:v>NO</x:v>
      </x:c>
      <x:c r="G1379" s="10" t="n">
        <x:f>IF(F1379="SÍ",EOMONTH(E1379,0)+1,DATE(YEAR(E1379),MONTH(E1379),1))</x:f>
        <x:v>47027</x:v>
      </x:c>
      <x:c r="H1379" t="str">
        <x:f>IF(D1379="NO",IF(C1379="SÍ","FERIADO","FIN DE SEMANA"),"LABORABLE")&amp;IF(F1379="SÍ"," + CIERRE","")</x:f>
        <x:v>FERIADO</x:v>
      </x:c>
      <x:c r="I1379" t="str">
        <x:f>TEXT(G1379,"yyyy-mm")</x:f>
        <x:v>2028-10</x:v>
      </x:c>
    </x:row>
    <x:row r="1380" ht="19" customHeight="1">
      <x:c r="A1380" s="2" t="n">
        <x:v>47036</x:v>
      </x:c>
      <x:c r="B1380" t="str">
        <x:f>CHOOSE(WEEKDAY(A1380,2),"Lunes","Martes","Miércoles","Jueves","Viernes","Sábado","Domingo")</x:f>
        <x:v>Martes</x:v>
      </x:c>
      <x:c r="C1380" t="str">
        <x:f>IF(COUNTIF(FERIADOS!$A$2:$A$250,A1380)&gt;0,"SÍ","NO")</x:f>
        <x:v>NO</x:v>
      </x:c>
      <x:c r="D1380" t="str">
        <x:f>IF(AND(WEEKDAY(A1380,2)&lt;=5,C1380="NO"),"SÍ","NO")</x:f>
        <x:v>SÍ</x:v>
      </x:c>
      <x:c r="E1380" s="2" t="n">
        <x:f>WORKDAY.INTL(A1380-1,1,1,FERIADOS!$A$2:$A$250)</x:f>
        <x:v>47036</x:v>
      </x:c>
      <x:c r="F1380" t="str">
        <x:f>IF(E1380&gt;=WORKDAY.INTL(EOMONTH(E1380,0)+1,-2,1,FERIADOS!$A$2:$A$250),"SÍ","NO")</x:f>
        <x:v>NO</x:v>
      </x:c>
      <x:c r="G1380" s="10" t="n">
        <x:f>IF(F1380="SÍ",EOMONTH(E1380,0)+1,DATE(YEAR(E1380),MONTH(E1380),1))</x:f>
        <x:v>47027</x:v>
      </x:c>
      <x:c r="H1380" t="str">
        <x:f>IF(D1380="NO",IF(C1380="SÍ","FERIADO","FIN DE SEMANA"),"LABORABLE")&amp;IF(F1380="SÍ"," + CIERRE","")</x:f>
        <x:v>LABORABLE</x:v>
      </x:c>
      <x:c r="I1380" t="str">
        <x:f>TEXT(G1380,"yyyy-mm")</x:f>
        <x:v>2028-10</x:v>
      </x:c>
    </x:row>
    <x:row r="1381" ht="19" customHeight="1">
      <x:c r="A1381" s="2" t="n">
        <x:v>47037</x:v>
      </x:c>
      <x:c r="B1381" t="str">
        <x:f>CHOOSE(WEEKDAY(A1381,2),"Lunes","Martes","Miércoles","Jueves","Viernes","Sábado","Domingo")</x:f>
        <x:v>Miércoles</x:v>
      </x:c>
      <x:c r="C1381" t="str">
        <x:f>IF(COUNTIF(FERIADOS!$A$2:$A$250,A1381)&gt;0,"SÍ","NO")</x:f>
        <x:v>NO</x:v>
      </x:c>
      <x:c r="D1381" t="str">
        <x:f>IF(AND(WEEKDAY(A1381,2)&lt;=5,C1381="NO"),"SÍ","NO")</x:f>
        <x:v>SÍ</x:v>
      </x:c>
      <x:c r="E1381" s="2" t="n">
        <x:f>WORKDAY.INTL(A1381-1,1,1,FERIADOS!$A$2:$A$250)</x:f>
        <x:v>47037</x:v>
      </x:c>
      <x:c r="F1381" t="str">
        <x:f>IF(E1381&gt;=WORKDAY.INTL(EOMONTH(E1381,0)+1,-2,1,FERIADOS!$A$2:$A$250),"SÍ","NO")</x:f>
        <x:v>NO</x:v>
      </x:c>
      <x:c r="G1381" s="10" t="n">
        <x:f>IF(F1381="SÍ",EOMONTH(E1381,0)+1,DATE(YEAR(E1381),MONTH(E1381),1))</x:f>
        <x:v>47027</x:v>
      </x:c>
      <x:c r="H1381" t="str">
        <x:f>IF(D1381="NO",IF(C1381="SÍ","FERIADO","FIN DE SEMANA"),"LABORABLE")&amp;IF(F1381="SÍ"," + CIERRE","")</x:f>
        <x:v>LABORABLE</x:v>
      </x:c>
      <x:c r="I1381" t="str">
        <x:f>TEXT(G1381,"yyyy-mm")</x:f>
        <x:v>2028-10</x:v>
      </x:c>
    </x:row>
    <x:row r="1382" ht="19" customHeight="1">
      <x:c r="A1382" s="2" t="n">
        <x:v>47038</x:v>
      </x:c>
      <x:c r="B1382" t="str">
        <x:f>CHOOSE(WEEKDAY(A1382,2),"Lunes","Martes","Miércoles","Jueves","Viernes","Sábado","Domingo")</x:f>
        <x:v>Jueves</x:v>
      </x:c>
      <x:c r="C1382" t="str">
        <x:f>IF(COUNTIF(FERIADOS!$A$2:$A$250,A1382)&gt;0,"SÍ","NO")</x:f>
        <x:v>NO</x:v>
      </x:c>
      <x:c r="D1382" t="str">
        <x:f>IF(AND(WEEKDAY(A1382,2)&lt;=5,C1382="NO"),"SÍ","NO")</x:f>
        <x:v>SÍ</x:v>
      </x:c>
      <x:c r="E1382" s="2" t="n">
        <x:f>WORKDAY.INTL(A1382-1,1,1,FERIADOS!$A$2:$A$250)</x:f>
        <x:v>47038</x:v>
      </x:c>
      <x:c r="F1382" t="str">
        <x:f>IF(E1382&gt;=WORKDAY.INTL(EOMONTH(E1382,0)+1,-2,1,FERIADOS!$A$2:$A$250),"SÍ","NO")</x:f>
        <x:v>NO</x:v>
      </x:c>
      <x:c r="G1382" s="10" t="n">
        <x:f>IF(F1382="SÍ",EOMONTH(E1382,0)+1,DATE(YEAR(E1382),MONTH(E1382),1))</x:f>
        <x:v>47027</x:v>
      </x:c>
      <x:c r="H1382" t="str">
        <x:f>IF(D1382="NO",IF(C1382="SÍ","FERIADO","FIN DE SEMANA"),"LABORABLE")&amp;IF(F1382="SÍ"," + CIERRE","")</x:f>
        <x:v>LABORABLE</x:v>
      </x:c>
      <x:c r="I1382" t="str">
        <x:f>TEXT(G1382,"yyyy-mm")</x:f>
        <x:v>2028-10</x:v>
      </x:c>
    </x:row>
    <x:row r="1383" ht="19" customHeight="1">
      <x:c r="A1383" s="2" t="n">
        <x:v>47039</x:v>
      </x:c>
      <x:c r="B1383" t="str">
        <x:f>CHOOSE(WEEKDAY(A1383,2),"Lunes","Martes","Miércoles","Jueves","Viernes","Sábado","Domingo")</x:f>
        <x:v>Viernes</x:v>
      </x:c>
      <x:c r="C1383" t="str">
        <x:f>IF(COUNTIF(FERIADOS!$A$2:$A$250,A1383)&gt;0,"SÍ","NO")</x:f>
        <x:v>NO</x:v>
      </x:c>
      <x:c r="D1383" t="str">
        <x:f>IF(AND(WEEKDAY(A1383,2)&lt;=5,C1383="NO"),"SÍ","NO")</x:f>
        <x:v>SÍ</x:v>
      </x:c>
      <x:c r="E1383" s="2" t="n">
        <x:f>WORKDAY.INTL(A1383-1,1,1,FERIADOS!$A$2:$A$250)</x:f>
        <x:v>47039</x:v>
      </x:c>
      <x:c r="F1383" t="str">
        <x:f>IF(E1383&gt;=WORKDAY.INTL(EOMONTH(E1383,0)+1,-2,1,FERIADOS!$A$2:$A$250),"SÍ","NO")</x:f>
        <x:v>NO</x:v>
      </x:c>
      <x:c r="G1383" s="10" t="n">
        <x:f>IF(F1383="SÍ",EOMONTH(E1383,0)+1,DATE(YEAR(E1383),MONTH(E1383),1))</x:f>
        <x:v>47027</x:v>
      </x:c>
      <x:c r="H1383" t="str">
        <x:f>IF(D1383="NO",IF(C1383="SÍ","FERIADO","FIN DE SEMANA"),"LABORABLE")&amp;IF(F1383="SÍ"," + CIERRE","")</x:f>
        <x:v>LABORABLE</x:v>
      </x:c>
      <x:c r="I1383" t="str">
        <x:f>TEXT(G1383,"yyyy-mm")</x:f>
        <x:v>2028-10</x:v>
      </x:c>
    </x:row>
    <x:row r="1384" ht="19" customHeight="1">
      <x:c r="A1384" s="2" t="n">
        <x:v>47040</x:v>
      </x:c>
      <x:c r="B1384" t="str">
        <x:f>CHOOSE(WEEKDAY(A1384,2),"Lunes","Martes","Miércoles","Jueves","Viernes","Sábado","Domingo")</x:f>
        <x:v>Sábado</x:v>
      </x:c>
      <x:c r="C1384" t="str">
        <x:f>IF(COUNTIF(FERIADOS!$A$2:$A$250,A1384)&gt;0,"SÍ","NO")</x:f>
        <x:v>NO</x:v>
      </x:c>
      <x:c r="D1384" t="str">
        <x:f>IF(AND(WEEKDAY(A1384,2)&lt;=5,C1384="NO"),"SÍ","NO")</x:f>
        <x:v>NO</x:v>
      </x:c>
      <x:c r="E1384" s="2" t="n">
        <x:f>WORKDAY.INTL(A1384-1,1,1,FERIADOS!$A$2:$A$250)</x:f>
        <x:v>47042</x:v>
      </x:c>
      <x:c r="F1384" t="str">
        <x:f>IF(E1384&gt;=WORKDAY.INTL(EOMONTH(E1384,0)+1,-2,1,FERIADOS!$A$2:$A$250),"SÍ","NO")</x:f>
        <x:v>NO</x:v>
      </x:c>
      <x:c r="G1384" s="10" t="n">
        <x:f>IF(F1384="SÍ",EOMONTH(E1384,0)+1,DATE(YEAR(E1384),MONTH(E1384),1))</x:f>
        <x:v>47027</x:v>
      </x:c>
      <x:c r="H1384" t="str">
        <x:f>IF(D1384="NO",IF(C1384="SÍ","FERIADO","FIN DE SEMANA"),"LABORABLE")&amp;IF(F1384="SÍ"," + CIERRE","")</x:f>
        <x:v>FIN DE SEMANA</x:v>
      </x:c>
      <x:c r="I1384" t="str">
        <x:f>TEXT(G1384,"yyyy-mm")</x:f>
        <x:v>2028-10</x:v>
      </x:c>
    </x:row>
    <x:row r="1385" ht="19" customHeight="1">
      <x:c r="A1385" s="2" t="n">
        <x:v>47041</x:v>
      </x:c>
      <x:c r="B1385" t="str">
        <x:f>CHOOSE(WEEKDAY(A1385,2),"Lunes","Martes","Miércoles","Jueves","Viernes","Sábado","Domingo")</x:f>
        <x:v>Domingo</x:v>
      </x:c>
      <x:c r="C1385" t="str">
        <x:f>IF(COUNTIF(FERIADOS!$A$2:$A$250,A1385)&gt;0,"SÍ","NO")</x:f>
        <x:v>NO</x:v>
      </x:c>
      <x:c r="D1385" t="str">
        <x:f>IF(AND(WEEKDAY(A1385,2)&lt;=5,C1385="NO"),"SÍ","NO")</x:f>
        <x:v>NO</x:v>
      </x:c>
      <x:c r="E1385" s="2" t="n">
        <x:f>WORKDAY.INTL(A1385-1,1,1,FERIADOS!$A$2:$A$250)</x:f>
        <x:v>47042</x:v>
      </x:c>
      <x:c r="F1385" t="str">
        <x:f>IF(E1385&gt;=WORKDAY.INTL(EOMONTH(E1385,0)+1,-2,1,FERIADOS!$A$2:$A$250),"SÍ","NO")</x:f>
        <x:v>NO</x:v>
      </x:c>
      <x:c r="G1385" s="10" t="n">
        <x:f>IF(F1385="SÍ",EOMONTH(E1385,0)+1,DATE(YEAR(E1385),MONTH(E1385),1))</x:f>
        <x:v>47027</x:v>
      </x:c>
      <x:c r="H1385" t="str">
        <x:f>IF(D1385="NO",IF(C1385="SÍ","FERIADO","FIN DE SEMANA"),"LABORABLE")&amp;IF(F1385="SÍ"," + CIERRE","")</x:f>
        <x:v>FIN DE SEMANA</x:v>
      </x:c>
      <x:c r="I1385" t="str">
        <x:f>TEXT(G1385,"yyyy-mm")</x:f>
        <x:v>2028-10</x:v>
      </x:c>
    </x:row>
    <x:row r="1386" ht="19" customHeight="1">
      <x:c r="A1386" s="2" t="n">
        <x:v>47042</x:v>
      </x:c>
      <x:c r="B1386" t="str">
        <x:f>CHOOSE(WEEKDAY(A1386,2),"Lunes","Martes","Miércoles","Jueves","Viernes","Sábado","Domingo")</x:f>
        <x:v>Lunes</x:v>
      </x:c>
      <x:c r="C1386" t="str">
        <x:f>IF(COUNTIF(FERIADOS!$A$2:$A$250,A1386)&gt;0,"SÍ","NO")</x:f>
        <x:v>NO</x:v>
      </x:c>
      <x:c r="D1386" t="str">
        <x:f>IF(AND(WEEKDAY(A1386,2)&lt;=5,C1386="NO"),"SÍ","NO")</x:f>
        <x:v>SÍ</x:v>
      </x:c>
      <x:c r="E1386" s="2" t="n">
        <x:f>WORKDAY.INTL(A1386-1,1,1,FERIADOS!$A$2:$A$250)</x:f>
        <x:v>47042</x:v>
      </x:c>
      <x:c r="F1386" t="str">
        <x:f>IF(E1386&gt;=WORKDAY.INTL(EOMONTH(E1386,0)+1,-2,1,FERIADOS!$A$2:$A$250),"SÍ","NO")</x:f>
        <x:v>NO</x:v>
      </x:c>
      <x:c r="G1386" s="10" t="n">
        <x:f>IF(F1386="SÍ",EOMONTH(E1386,0)+1,DATE(YEAR(E1386),MONTH(E1386),1))</x:f>
        <x:v>47027</x:v>
      </x:c>
      <x:c r="H1386" t="str">
        <x:f>IF(D1386="NO",IF(C1386="SÍ","FERIADO","FIN DE SEMANA"),"LABORABLE")&amp;IF(F1386="SÍ"," + CIERRE","")</x:f>
        <x:v>LABORABLE</x:v>
      </x:c>
      <x:c r="I1386" t="str">
        <x:f>TEXT(G1386,"yyyy-mm")</x:f>
        <x:v>2028-10</x:v>
      </x:c>
    </x:row>
    <x:row r="1387" ht="19" customHeight="1">
      <x:c r="A1387" s="2" t="n">
        <x:v>47043</x:v>
      </x:c>
      <x:c r="B1387" t="str">
        <x:f>CHOOSE(WEEKDAY(A1387,2),"Lunes","Martes","Miércoles","Jueves","Viernes","Sábado","Domingo")</x:f>
        <x:v>Martes</x:v>
      </x:c>
      <x:c r="C1387" t="str">
        <x:f>IF(COUNTIF(FERIADOS!$A$2:$A$250,A1387)&gt;0,"SÍ","NO")</x:f>
        <x:v>NO</x:v>
      </x:c>
      <x:c r="D1387" t="str">
        <x:f>IF(AND(WEEKDAY(A1387,2)&lt;=5,C1387="NO"),"SÍ","NO")</x:f>
        <x:v>SÍ</x:v>
      </x:c>
      <x:c r="E1387" s="2" t="n">
        <x:f>WORKDAY.INTL(A1387-1,1,1,FERIADOS!$A$2:$A$250)</x:f>
        <x:v>47043</x:v>
      </x:c>
      <x:c r="F1387" t="str">
        <x:f>IF(E1387&gt;=WORKDAY.INTL(EOMONTH(E1387,0)+1,-2,1,FERIADOS!$A$2:$A$250),"SÍ","NO")</x:f>
        <x:v>NO</x:v>
      </x:c>
      <x:c r="G1387" s="10" t="n">
        <x:f>IF(F1387="SÍ",EOMONTH(E1387,0)+1,DATE(YEAR(E1387),MONTH(E1387),1))</x:f>
        <x:v>47027</x:v>
      </x:c>
      <x:c r="H1387" t="str">
        <x:f>IF(D1387="NO",IF(C1387="SÍ","FERIADO","FIN DE SEMANA"),"LABORABLE")&amp;IF(F1387="SÍ"," + CIERRE","")</x:f>
        <x:v>LABORABLE</x:v>
      </x:c>
      <x:c r="I1387" t="str">
        <x:f>TEXT(G1387,"yyyy-mm")</x:f>
        <x:v>2028-10</x:v>
      </x:c>
    </x:row>
    <x:row r="1388" ht="19" customHeight="1">
      <x:c r="A1388" s="2" t="n">
        <x:v>47044</x:v>
      </x:c>
      <x:c r="B1388" t="str">
        <x:f>CHOOSE(WEEKDAY(A1388,2),"Lunes","Martes","Miércoles","Jueves","Viernes","Sábado","Domingo")</x:f>
        <x:v>Miércoles</x:v>
      </x:c>
      <x:c r="C1388" t="str">
        <x:f>IF(COUNTIF(FERIADOS!$A$2:$A$250,A1388)&gt;0,"SÍ","NO")</x:f>
        <x:v>NO</x:v>
      </x:c>
      <x:c r="D1388" t="str">
        <x:f>IF(AND(WEEKDAY(A1388,2)&lt;=5,C1388="NO"),"SÍ","NO")</x:f>
        <x:v>SÍ</x:v>
      </x:c>
      <x:c r="E1388" s="2" t="n">
        <x:f>WORKDAY.INTL(A1388-1,1,1,FERIADOS!$A$2:$A$250)</x:f>
        <x:v>47044</x:v>
      </x:c>
      <x:c r="F1388" t="str">
        <x:f>IF(E1388&gt;=WORKDAY.INTL(EOMONTH(E1388,0)+1,-2,1,FERIADOS!$A$2:$A$250),"SÍ","NO")</x:f>
        <x:v>NO</x:v>
      </x:c>
      <x:c r="G1388" s="10" t="n">
        <x:f>IF(F1388="SÍ",EOMONTH(E1388,0)+1,DATE(YEAR(E1388),MONTH(E1388),1))</x:f>
        <x:v>47027</x:v>
      </x:c>
      <x:c r="H1388" t="str">
        <x:f>IF(D1388="NO",IF(C1388="SÍ","FERIADO","FIN DE SEMANA"),"LABORABLE")&amp;IF(F1388="SÍ"," + CIERRE","")</x:f>
        <x:v>LABORABLE</x:v>
      </x:c>
      <x:c r="I1388" t="str">
        <x:f>TEXT(G1388,"yyyy-mm")</x:f>
        <x:v>2028-10</x:v>
      </x:c>
    </x:row>
    <x:row r="1389" ht="19" customHeight="1">
      <x:c r="A1389" s="2" t="n">
        <x:v>47045</x:v>
      </x:c>
      <x:c r="B1389" t="str">
        <x:f>CHOOSE(WEEKDAY(A1389,2),"Lunes","Martes","Miércoles","Jueves","Viernes","Sábado","Domingo")</x:f>
        <x:v>Jueves</x:v>
      </x:c>
      <x:c r="C1389" t="str">
        <x:f>IF(COUNTIF(FERIADOS!$A$2:$A$250,A1389)&gt;0,"SÍ","NO")</x:f>
        <x:v>NO</x:v>
      </x:c>
      <x:c r="D1389" t="str">
        <x:f>IF(AND(WEEKDAY(A1389,2)&lt;=5,C1389="NO"),"SÍ","NO")</x:f>
        <x:v>SÍ</x:v>
      </x:c>
      <x:c r="E1389" s="2" t="n">
        <x:f>WORKDAY.INTL(A1389-1,1,1,FERIADOS!$A$2:$A$250)</x:f>
        <x:v>47045</x:v>
      </x:c>
      <x:c r="F1389" t="str">
        <x:f>IF(E1389&gt;=WORKDAY.INTL(EOMONTH(E1389,0)+1,-2,1,FERIADOS!$A$2:$A$250),"SÍ","NO")</x:f>
        <x:v>NO</x:v>
      </x:c>
      <x:c r="G1389" s="10" t="n">
        <x:f>IF(F1389="SÍ",EOMONTH(E1389,0)+1,DATE(YEAR(E1389),MONTH(E1389),1))</x:f>
        <x:v>47027</x:v>
      </x:c>
      <x:c r="H1389" t="str">
        <x:f>IF(D1389="NO",IF(C1389="SÍ","FERIADO","FIN DE SEMANA"),"LABORABLE")&amp;IF(F1389="SÍ"," + CIERRE","")</x:f>
        <x:v>LABORABLE</x:v>
      </x:c>
      <x:c r="I1389" t="str">
        <x:f>TEXT(G1389,"yyyy-mm")</x:f>
        <x:v>2028-10</x:v>
      </x:c>
    </x:row>
    <x:row r="1390" ht="19" customHeight="1">
      <x:c r="A1390" s="2" t="n">
        <x:v>47046</x:v>
      </x:c>
      <x:c r="B1390" t="str">
        <x:f>CHOOSE(WEEKDAY(A1390,2),"Lunes","Martes","Miércoles","Jueves","Viernes","Sábado","Domingo")</x:f>
        <x:v>Viernes</x:v>
      </x:c>
      <x:c r="C1390" t="str">
        <x:f>IF(COUNTIF(FERIADOS!$A$2:$A$250,A1390)&gt;0,"SÍ","NO")</x:f>
        <x:v>NO</x:v>
      </x:c>
      <x:c r="D1390" t="str">
        <x:f>IF(AND(WEEKDAY(A1390,2)&lt;=5,C1390="NO"),"SÍ","NO")</x:f>
        <x:v>SÍ</x:v>
      </x:c>
      <x:c r="E1390" s="2" t="n">
        <x:f>WORKDAY.INTL(A1390-1,1,1,FERIADOS!$A$2:$A$250)</x:f>
        <x:v>47046</x:v>
      </x:c>
      <x:c r="F1390" t="str">
        <x:f>IF(E1390&gt;=WORKDAY.INTL(EOMONTH(E1390,0)+1,-2,1,FERIADOS!$A$2:$A$250),"SÍ","NO")</x:f>
        <x:v>NO</x:v>
      </x:c>
      <x:c r="G1390" s="10" t="n">
        <x:f>IF(F1390="SÍ",EOMONTH(E1390,0)+1,DATE(YEAR(E1390),MONTH(E1390),1))</x:f>
        <x:v>47027</x:v>
      </x:c>
      <x:c r="H1390" t="str">
        <x:f>IF(D1390="NO",IF(C1390="SÍ","FERIADO","FIN DE SEMANA"),"LABORABLE")&amp;IF(F1390="SÍ"," + CIERRE","")</x:f>
        <x:v>LABORABLE</x:v>
      </x:c>
      <x:c r="I1390" t="str">
        <x:f>TEXT(G1390,"yyyy-mm")</x:f>
        <x:v>2028-10</x:v>
      </x:c>
    </x:row>
    <x:row r="1391" ht="19" customHeight="1">
      <x:c r="A1391" s="2" t="n">
        <x:v>47047</x:v>
      </x:c>
      <x:c r="B1391" t="str">
        <x:f>CHOOSE(WEEKDAY(A1391,2),"Lunes","Martes","Miércoles","Jueves","Viernes","Sábado","Domingo")</x:f>
        <x:v>Sábado</x:v>
      </x:c>
      <x:c r="C1391" t="str">
        <x:f>IF(COUNTIF(FERIADOS!$A$2:$A$250,A1391)&gt;0,"SÍ","NO")</x:f>
        <x:v>NO</x:v>
      </x:c>
      <x:c r="D1391" t="str">
        <x:f>IF(AND(WEEKDAY(A1391,2)&lt;=5,C1391="NO"),"SÍ","NO")</x:f>
        <x:v>NO</x:v>
      </x:c>
      <x:c r="E1391" s="2" t="n">
        <x:f>WORKDAY.INTL(A1391-1,1,1,FERIADOS!$A$2:$A$250)</x:f>
        <x:v>47049</x:v>
      </x:c>
      <x:c r="F1391" t="str">
        <x:f>IF(E1391&gt;=WORKDAY.INTL(EOMONTH(E1391,0)+1,-2,1,FERIADOS!$A$2:$A$250),"SÍ","NO")</x:f>
        <x:v>NO</x:v>
      </x:c>
      <x:c r="G1391" s="10" t="n">
        <x:f>IF(F1391="SÍ",EOMONTH(E1391,0)+1,DATE(YEAR(E1391),MONTH(E1391),1))</x:f>
        <x:v>47027</x:v>
      </x:c>
      <x:c r="H1391" t="str">
        <x:f>IF(D1391="NO",IF(C1391="SÍ","FERIADO","FIN DE SEMANA"),"LABORABLE")&amp;IF(F1391="SÍ"," + CIERRE","")</x:f>
        <x:v>FIN DE SEMANA</x:v>
      </x:c>
      <x:c r="I1391" t="str">
        <x:f>TEXT(G1391,"yyyy-mm")</x:f>
        <x:v>2028-10</x:v>
      </x:c>
    </x:row>
    <x:row r="1392" ht="19" customHeight="1">
      <x:c r="A1392" s="2" t="n">
        <x:v>47048</x:v>
      </x:c>
      <x:c r="B1392" t="str">
        <x:f>CHOOSE(WEEKDAY(A1392,2),"Lunes","Martes","Miércoles","Jueves","Viernes","Sábado","Domingo")</x:f>
        <x:v>Domingo</x:v>
      </x:c>
      <x:c r="C1392" t="str">
        <x:f>IF(COUNTIF(FERIADOS!$A$2:$A$250,A1392)&gt;0,"SÍ","NO")</x:f>
        <x:v>NO</x:v>
      </x:c>
      <x:c r="D1392" t="str">
        <x:f>IF(AND(WEEKDAY(A1392,2)&lt;=5,C1392="NO"),"SÍ","NO")</x:f>
        <x:v>NO</x:v>
      </x:c>
      <x:c r="E1392" s="2" t="n">
        <x:f>WORKDAY.INTL(A1392-1,1,1,FERIADOS!$A$2:$A$250)</x:f>
        <x:v>47049</x:v>
      </x:c>
      <x:c r="F1392" t="str">
        <x:f>IF(E1392&gt;=WORKDAY.INTL(EOMONTH(E1392,0)+1,-2,1,FERIADOS!$A$2:$A$250),"SÍ","NO")</x:f>
        <x:v>NO</x:v>
      </x:c>
      <x:c r="G1392" s="10" t="n">
        <x:f>IF(F1392="SÍ",EOMONTH(E1392,0)+1,DATE(YEAR(E1392),MONTH(E1392),1))</x:f>
        <x:v>47027</x:v>
      </x:c>
      <x:c r="H1392" t="str">
        <x:f>IF(D1392="NO",IF(C1392="SÍ","FERIADO","FIN DE SEMANA"),"LABORABLE")&amp;IF(F1392="SÍ"," + CIERRE","")</x:f>
        <x:v>FIN DE SEMANA</x:v>
      </x:c>
      <x:c r="I1392" t="str">
        <x:f>TEXT(G1392,"yyyy-mm")</x:f>
        <x:v>2028-10</x:v>
      </x:c>
    </x:row>
    <x:row r="1393" ht="19" customHeight="1">
      <x:c r="A1393" s="2" t="n">
        <x:v>47049</x:v>
      </x:c>
      <x:c r="B1393" t="str">
        <x:f>CHOOSE(WEEKDAY(A1393,2),"Lunes","Martes","Miércoles","Jueves","Viernes","Sábado","Domingo")</x:f>
        <x:v>Lunes</x:v>
      </x:c>
      <x:c r="C1393" t="str">
        <x:f>IF(COUNTIF(FERIADOS!$A$2:$A$250,A1393)&gt;0,"SÍ","NO")</x:f>
        <x:v>NO</x:v>
      </x:c>
      <x:c r="D1393" t="str">
        <x:f>IF(AND(WEEKDAY(A1393,2)&lt;=5,C1393="NO"),"SÍ","NO")</x:f>
        <x:v>SÍ</x:v>
      </x:c>
      <x:c r="E1393" s="2" t="n">
        <x:f>WORKDAY.INTL(A1393-1,1,1,FERIADOS!$A$2:$A$250)</x:f>
        <x:v>47049</x:v>
      </x:c>
      <x:c r="F1393" t="str">
        <x:f>IF(E1393&gt;=WORKDAY.INTL(EOMONTH(E1393,0)+1,-2,1,FERIADOS!$A$2:$A$250),"SÍ","NO")</x:f>
        <x:v>NO</x:v>
      </x:c>
      <x:c r="G1393" s="10" t="n">
        <x:f>IF(F1393="SÍ",EOMONTH(E1393,0)+1,DATE(YEAR(E1393),MONTH(E1393),1))</x:f>
        <x:v>47027</x:v>
      </x:c>
      <x:c r="H1393" t="str">
        <x:f>IF(D1393="NO",IF(C1393="SÍ","FERIADO","FIN DE SEMANA"),"LABORABLE")&amp;IF(F1393="SÍ"," + CIERRE","")</x:f>
        <x:v>LABORABLE</x:v>
      </x:c>
      <x:c r="I1393" t="str">
        <x:f>TEXT(G1393,"yyyy-mm")</x:f>
        <x:v>2028-10</x:v>
      </x:c>
    </x:row>
    <x:row r="1394" ht="19" customHeight="1">
      <x:c r="A1394" s="2" t="n">
        <x:v>47050</x:v>
      </x:c>
      <x:c r="B1394" t="str">
        <x:f>CHOOSE(WEEKDAY(A1394,2),"Lunes","Martes","Miércoles","Jueves","Viernes","Sábado","Domingo")</x:f>
        <x:v>Martes</x:v>
      </x:c>
      <x:c r="C1394" t="str">
        <x:f>IF(COUNTIF(FERIADOS!$A$2:$A$250,A1394)&gt;0,"SÍ","NO")</x:f>
        <x:v>NO</x:v>
      </x:c>
      <x:c r="D1394" t="str">
        <x:f>IF(AND(WEEKDAY(A1394,2)&lt;=5,C1394="NO"),"SÍ","NO")</x:f>
        <x:v>SÍ</x:v>
      </x:c>
      <x:c r="E1394" s="2" t="n">
        <x:f>WORKDAY.INTL(A1394-1,1,1,FERIADOS!$A$2:$A$250)</x:f>
        <x:v>47050</x:v>
      </x:c>
      <x:c r="F1394" t="str">
        <x:f>IF(E1394&gt;=WORKDAY.INTL(EOMONTH(E1394,0)+1,-2,1,FERIADOS!$A$2:$A$250),"SÍ","NO")</x:f>
        <x:v>NO</x:v>
      </x:c>
      <x:c r="G1394" s="10" t="n">
        <x:f>IF(F1394="SÍ",EOMONTH(E1394,0)+1,DATE(YEAR(E1394),MONTH(E1394),1))</x:f>
        <x:v>47027</x:v>
      </x:c>
      <x:c r="H1394" t="str">
        <x:f>IF(D1394="NO",IF(C1394="SÍ","FERIADO","FIN DE SEMANA"),"LABORABLE")&amp;IF(F1394="SÍ"," + CIERRE","")</x:f>
        <x:v>LABORABLE</x:v>
      </x:c>
      <x:c r="I1394" t="str">
        <x:f>TEXT(G1394,"yyyy-mm")</x:f>
        <x:v>2028-10</x:v>
      </x:c>
    </x:row>
    <x:row r="1395" ht="19" customHeight="1">
      <x:c r="A1395" s="2" t="n">
        <x:v>47051</x:v>
      </x:c>
      <x:c r="B1395" t="str">
        <x:f>CHOOSE(WEEKDAY(A1395,2),"Lunes","Martes","Miércoles","Jueves","Viernes","Sábado","Domingo")</x:f>
        <x:v>Miércoles</x:v>
      </x:c>
      <x:c r="C1395" t="str">
        <x:f>IF(COUNTIF(FERIADOS!$A$2:$A$250,A1395)&gt;0,"SÍ","NO")</x:f>
        <x:v>NO</x:v>
      </x:c>
      <x:c r="D1395" t="str">
        <x:f>IF(AND(WEEKDAY(A1395,2)&lt;=5,C1395="NO"),"SÍ","NO")</x:f>
        <x:v>SÍ</x:v>
      </x:c>
      <x:c r="E1395" s="2" t="n">
        <x:f>WORKDAY.INTL(A1395-1,1,1,FERIADOS!$A$2:$A$250)</x:f>
        <x:v>47051</x:v>
      </x:c>
      <x:c r="F1395" t="str">
        <x:f>IF(E1395&gt;=WORKDAY.INTL(EOMONTH(E1395,0)+1,-2,1,FERIADOS!$A$2:$A$250),"SÍ","NO")</x:f>
        <x:v>NO</x:v>
      </x:c>
      <x:c r="G1395" s="10" t="n">
        <x:f>IF(F1395="SÍ",EOMONTH(E1395,0)+1,DATE(YEAR(E1395),MONTH(E1395),1))</x:f>
        <x:v>47027</x:v>
      </x:c>
      <x:c r="H1395" t="str">
        <x:f>IF(D1395="NO",IF(C1395="SÍ","FERIADO","FIN DE SEMANA"),"LABORABLE")&amp;IF(F1395="SÍ"," + CIERRE","")</x:f>
        <x:v>LABORABLE</x:v>
      </x:c>
      <x:c r="I1395" t="str">
        <x:f>TEXT(G1395,"yyyy-mm")</x:f>
        <x:v>2028-10</x:v>
      </x:c>
    </x:row>
    <x:row r="1396" ht="19" customHeight="1">
      <x:c r="A1396" s="2" t="n">
        <x:v>47052</x:v>
      </x:c>
      <x:c r="B1396" t="str">
        <x:f>CHOOSE(WEEKDAY(A1396,2),"Lunes","Martes","Miércoles","Jueves","Viernes","Sábado","Domingo")</x:f>
        <x:v>Jueves</x:v>
      </x:c>
      <x:c r="C1396" t="str">
        <x:f>IF(COUNTIF(FERIADOS!$A$2:$A$250,A1396)&gt;0,"SÍ","NO")</x:f>
        <x:v>NO</x:v>
      </x:c>
      <x:c r="D1396" t="str">
        <x:f>IF(AND(WEEKDAY(A1396,2)&lt;=5,C1396="NO"),"SÍ","NO")</x:f>
        <x:v>SÍ</x:v>
      </x:c>
      <x:c r="E1396" s="2" t="n">
        <x:f>WORKDAY.INTL(A1396-1,1,1,FERIADOS!$A$2:$A$250)</x:f>
        <x:v>47052</x:v>
      </x:c>
      <x:c r="F1396" t="str">
        <x:f>IF(E1396&gt;=WORKDAY.INTL(EOMONTH(E1396,0)+1,-2,1,FERIADOS!$A$2:$A$250),"SÍ","NO")</x:f>
        <x:v>NO</x:v>
      </x:c>
      <x:c r="G1396" s="10" t="n">
        <x:f>IF(F1396="SÍ",EOMONTH(E1396,0)+1,DATE(YEAR(E1396),MONTH(E1396),1))</x:f>
        <x:v>47027</x:v>
      </x:c>
      <x:c r="H1396" t="str">
        <x:f>IF(D1396="NO",IF(C1396="SÍ","FERIADO","FIN DE SEMANA"),"LABORABLE")&amp;IF(F1396="SÍ"," + CIERRE","")</x:f>
        <x:v>LABORABLE</x:v>
      </x:c>
      <x:c r="I1396" t="str">
        <x:f>TEXT(G1396,"yyyy-mm")</x:f>
        <x:v>2028-10</x:v>
      </x:c>
    </x:row>
    <x:row r="1397" ht="19" customHeight="1">
      <x:c r="A1397" s="2" t="n">
        <x:v>47053</x:v>
      </x:c>
      <x:c r="B1397" t="str">
        <x:f>CHOOSE(WEEKDAY(A1397,2),"Lunes","Martes","Miércoles","Jueves","Viernes","Sábado","Domingo")</x:f>
        <x:v>Viernes</x:v>
      </x:c>
      <x:c r="C1397" t="str">
        <x:f>IF(COUNTIF(FERIADOS!$A$2:$A$250,A1397)&gt;0,"SÍ","NO")</x:f>
        <x:v>NO</x:v>
      </x:c>
      <x:c r="D1397" t="str">
        <x:f>IF(AND(WEEKDAY(A1397,2)&lt;=5,C1397="NO"),"SÍ","NO")</x:f>
        <x:v>SÍ</x:v>
      </x:c>
      <x:c r="E1397" s="2" t="n">
        <x:f>WORKDAY.INTL(A1397-1,1,1,FERIADOS!$A$2:$A$250)</x:f>
        <x:v>47053</x:v>
      </x:c>
      <x:c r="F1397" t="str">
        <x:f>IF(E1397&gt;=WORKDAY.INTL(EOMONTH(E1397,0)+1,-2,1,FERIADOS!$A$2:$A$250),"SÍ","NO")</x:f>
        <x:v>NO</x:v>
      </x:c>
      <x:c r="G1397" s="10" t="n">
        <x:f>IF(F1397="SÍ",EOMONTH(E1397,0)+1,DATE(YEAR(E1397),MONTH(E1397),1))</x:f>
        <x:v>47027</x:v>
      </x:c>
      <x:c r="H1397" t="str">
        <x:f>IF(D1397="NO",IF(C1397="SÍ","FERIADO","FIN DE SEMANA"),"LABORABLE")&amp;IF(F1397="SÍ"," + CIERRE","")</x:f>
        <x:v>LABORABLE</x:v>
      </x:c>
      <x:c r="I1397" t="str">
        <x:f>TEXT(G1397,"yyyy-mm")</x:f>
        <x:v>2028-10</x:v>
      </x:c>
    </x:row>
    <x:row r="1398" ht="19" customHeight="1">
      <x:c r="A1398" s="2" t="n">
        <x:v>47054</x:v>
      </x:c>
      <x:c r="B1398" t="str">
        <x:f>CHOOSE(WEEKDAY(A1398,2),"Lunes","Martes","Miércoles","Jueves","Viernes","Sábado","Domingo")</x:f>
        <x:v>Sábado</x:v>
      </x:c>
      <x:c r="C1398" t="str">
        <x:f>IF(COUNTIF(FERIADOS!$A$2:$A$250,A1398)&gt;0,"SÍ","NO")</x:f>
        <x:v>NO</x:v>
      </x:c>
      <x:c r="D1398" t="str">
        <x:f>IF(AND(WEEKDAY(A1398,2)&lt;=5,C1398="NO"),"SÍ","NO")</x:f>
        <x:v>NO</x:v>
      </x:c>
      <x:c r="E1398" s="2" t="n">
        <x:f>WORKDAY.INTL(A1398-1,1,1,FERIADOS!$A$2:$A$250)</x:f>
        <x:v>47056</x:v>
      </x:c>
      <x:c r="F1398" t="str">
        <x:f>IF(E1398&gt;=WORKDAY.INTL(EOMONTH(E1398,0)+1,-2,1,FERIADOS!$A$2:$A$250),"SÍ","NO")</x:f>
        <x:v>SÍ</x:v>
      </x:c>
      <x:c r="G1398" s="10" t="n">
        <x:f>IF(F1398="SÍ",EOMONTH(E1398,0)+1,DATE(YEAR(E1398),MONTH(E1398),1))</x:f>
        <x:v>47058</x:v>
      </x:c>
      <x:c r="H1398" t="str">
        <x:f>IF(D1398="NO",IF(C1398="SÍ","FERIADO","FIN DE SEMANA"),"LABORABLE")&amp;IF(F1398="SÍ"," + CIERRE","")</x:f>
        <x:v>FIN DE SEMANA + CIERRE</x:v>
      </x:c>
      <x:c r="I1398" t="str">
        <x:f>TEXT(G1398,"yyyy-mm")</x:f>
        <x:v>2028-11</x:v>
      </x:c>
    </x:row>
    <x:row r="1399" ht="19" customHeight="1">
      <x:c r="A1399" s="2" t="n">
        <x:v>47055</x:v>
      </x:c>
      <x:c r="B1399" t="str">
        <x:f>CHOOSE(WEEKDAY(A1399,2),"Lunes","Martes","Miércoles","Jueves","Viernes","Sábado","Domingo")</x:f>
        <x:v>Domingo</x:v>
      </x:c>
      <x:c r="C1399" t="str">
        <x:f>IF(COUNTIF(FERIADOS!$A$2:$A$250,A1399)&gt;0,"SÍ","NO")</x:f>
        <x:v>NO</x:v>
      </x:c>
      <x:c r="D1399" t="str">
        <x:f>IF(AND(WEEKDAY(A1399,2)&lt;=5,C1399="NO"),"SÍ","NO")</x:f>
        <x:v>NO</x:v>
      </x:c>
      <x:c r="E1399" s="2" t="n">
        <x:f>WORKDAY.INTL(A1399-1,1,1,FERIADOS!$A$2:$A$250)</x:f>
        <x:v>47056</x:v>
      </x:c>
      <x:c r="F1399" t="str">
        <x:f>IF(E1399&gt;=WORKDAY.INTL(EOMONTH(E1399,0)+1,-2,1,FERIADOS!$A$2:$A$250),"SÍ","NO")</x:f>
        <x:v>SÍ</x:v>
      </x:c>
      <x:c r="G1399" s="10" t="n">
        <x:f>IF(F1399="SÍ",EOMONTH(E1399,0)+1,DATE(YEAR(E1399),MONTH(E1399),1))</x:f>
        <x:v>47058</x:v>
      </x:c>
      <x:c r="H1399" t="str">
        <x:f>IF(D1399="NO",IF(C1399="SÍ","FERIADO","FIN DE SEMANA"),"LABORABLE")&amp;IF(F1399="SÍ"," + CIERRE","")</x:f>
        <x:v>FIN DE SEMANA + CIERRE</x:v>
      </x:c>
      <x:c r="I1399" t="str">
        <x:f>TEXT(G1399,"yyyy-mm")</x:f>
        <x:v>2028-11</x:v>
      </x:c>
    </x:row>
    <x:row r="1400" ht="19" customHeight="1">
      <x:c r="A1400" s="2" t="n">
        <x:v>47056</x:v>
      </x:c>
      <x:c r="B1400" t="str">
        <x:f>CHOOSE(WEEKDAY(A1400,2),"Lunes","Martes","Miércoles","Jueves","Viernes","Sábado","Domingo")</x:f>
        <x:v>Lunes</x:v>
      </x:c>
      <x:c r="C1400" t="str">
        <x:f>IF(COUNTIF(FERIADOS!$A$2:$A$250,A1400)&gt;0,"SÍ","NO")</x:f>
        <x:v>NO</x:v>
      </x:c>
      <x:c r="D1400" t="str">
        <x:f>IF(AND(WEEKDAY(A1400,2)&lt;=5,C1400="NO"),"SÍ","NO")</x:f>
        <x:v>SÍ</x:v>
      </x:c>
      <x:c r="E1400" s="2" t="n">
        <x:f>WORKDAY.INTL(A1400-1,1,1,FERIADOS!$A$2:$A$250)</x:f>
        <x:v>47056</x:v>
      </x:c>
      <x:c r="F1400" t="str">
        <x:f>IF(E1400&gt;=WORKDAY.INTL(EOMONTH(E1400,0)+1,-2,1,FERIADOS!$A$2:$A$250),"SÍ","NO")</x:f>
        <x:v>SÍ</x:v>
      </x:c>
      <x:c r="G1400" s="10" t="n">
        <x:f>IF(F1400="SÍ",EOMONTH(E1400,0)+1,DATE(YEAR(E1400),MONTH(E1400),1))</x:f>
        <x:v>47058</x:v>
      </x:c>
      <x:c r="H1400" t="str">
        <x:f>IF(D1400="NO",IF(C1400="SÍ","FERIADO","FIN DE SEMANA"),"LABORABLE")&amp;IF(F1400="SÍ"," + CIERRE","")</x:f>
        <x:v>LABORABLE + CIERRE</x:v>
      </x:c>
      <x:c r="I1400" t="str">
        <x:f>TEXT(G1400,"yyyy-mm")</x:f>
        <x:v>2028-11</x:v>
      </x:c>
    </x:row>
    <x:row r="1401" ht="19" customHeight="1">
      <x:c r="A1401" s="2" t="n">
        <x:v>47057</x:v>
      </x:c>
      <x:c r="B1401" t="str">
        <x:f>CHOOSE(WEEKDAY(A1401,2),"Lunes","Martes","Miércoles","Jueves","Viernes","Sábado","Domingo")</x:f>
        <x:v>Martes</x:v>
      </x:c>
      <x:c r="C1401" t="str">
        <x:f>IF(COUNTIF(FERIADOS!$A$2:$A$250,A1401)&gt;0,"SÍ","NO")</x:f>
        <x:v>NO</x:v>
      </x:c>
      <x:c r="D1401" t="str">
        <x:f>IF(AND(WEEKDAY(A1401,2)&lt;=5,C1401="NO"),"SÍ","NO")</x:f>
        <x:v>SÍ</x:v>
      </x:c>
      <x:c r="E1401" s="2" t="n">
        <x:f>WORKDAY.INTL(A1401-1,1,1,FERIADOS!$A$2:$A$250)</x:f>
        <x:v>47057</x:v>
      </x:c>
      <x:c r="F1401" t="str">
        <x:f>IF(E1401&gt;=WORKDAY.INTL(EOMONTH(E1401,0)+1,-2,1,FERIADOS!$A$2:$A$250),"SÍ","NO")</x:f>
        <x:v>SÍ</x:v>
      </x:c>
      <x:c r="G1401" s="10" t="n">
        <x:f>IF(F1401="SÍ",EOMONTH(E1401,0)+1,DATE(YEAR(E1401),MONTH(E1401),1))</x:f>
        <x:v>47058</x:v>
      </x:c>
      <x:c r="H1401" t="str">
        <x:f>IF(D1401="NO",IF(C1401="SÍ","FERIADO","FIN DE SEMANA"),"LABORABLE")&amp;IF(F1401="SÍ"," + CIERRE","")</x:f>
        <x:v>LABORABLE + CIERRE</x:v>
      </x:c>
      <x:c r="I1401" t="str">
        <x:f>TEXT(G1401,"yyyy-mm")</x:f>
        <x:v>2028-11</x:v>
      </x:c>
    </x:row>
    <x:row r="1402" ht="19" customHeight="1">
      <x:c r="A1402" s="2" t="n">
        <x:v>47058</x:v>
      </x:c>
      <x:c r="B1402" t="str">
        <x:f>CHOOSE(WEEKDAY(A1402,2),"Lunes","Martes","Miércoles","Jueves","Viernes","Sábado","Domingo")</x:f>
        <x:v>Miércoles</x:v>
      </x:c>
      <x:c r="C1402" t="str">
        <x:f>IF(COUNTIF(FERIADOS!$A$2:$A$250,A1402)&gt;0,"SÍ","NO")</x:f>
        <x:v>NO</x:v>
      </x:c>
      <x:c r="D1402" t="str">
        <x:f>IF(AND(WEEKDAY(A1402,2)&lt;=5,C1402="NO"),"SÍ","NO")</x:f>
        <x:v>SÍ</x:v>
      </x:c>
      <x:c r="E1402" s="2" t="n">
        <x:f>WORKDAY.INTL(A1402-1,1,1,FERIADOS!$A$2:$A$250)</x:f>
        <x:v>47058</x:v>
      </x:c>
      <x:c r="F1402" t="str">
        <x:f>IF(E1402&gt;=WORKDAY.INTL(EOMONTH(E1402,0)+1,-2,1,FERIADOS!$A$2:$A$250),"SÍ","NO")</x:f>
        <x:v>NO</x:v>
      </x:c>
      <x:c r="G1402" s="10" t="n">
        <x:f>IF(F1402="SÍ",EOMONTH(E1402,0)+1,DATE(YEAR(E1402),MONTH(E1402),1))</x:f>
        <x:v>47058</x:v>
      </x:c>
      <x:c r="H1402" t="str">
        <x:f>IF(D1402="NO",IF(C1402="SÍ","FERIADO","FIN DE SEMANA"),"LABORABLE")&amp;IF(F1402="SÍ"," + CIERRE","")</x:f>
        <x:v>LABORABLE</x:v>
      </x:c>
      <x:c r="I1402" t="str">
        <x:f>TEXT(G1402,"yyyy-mm")</x:f>
        <x:v>2028-11</x:v>
      </x:c>
    </x:row>
    <x:row r="1403" ht="19" customHeight="1">
      <x:c r="A1403" s="2" t="n">
        <x:v>47059</x:v>
      </x:c>
      <x:c r="B1403" t="str">
        <x:f>CHOOSE(WEEKDAY(A1403,2),"Lunes","Martes","Miércoles","Jueves","Viernes","Sábado","Domingo")</x:f>
        <x:v>Jueves</x:v>
      </x:c>
      <x:c r="C1403" t="str">
        <x:f>IF(COUNTIF(FERIADOS!$A$2:$A$250,A1403)&gt;0,"SÍ","NO")</x:f>
        <x:v>SÍ</x:v>
      </x:c>
      <x:c r="D1403" t="str">
        <x:f>IF(AND(WEEKDAY(A1403,2)&lt;=5,C1403="NO"),"SÍ","NO")</x:f>
        <x:v>NO</x:v>
      </x:c>
      <x:c r="E1403" s="2" t="n">
        <x:f>WORKDAY.INTL(A1403-1,1,1,FERIADOS!$A$2:$A$250)</x:f>
        <x:v>47063</x:v>
      </x:c>
      <x:c r="F1403" t="str">
        <x:f>IF(E1403&gt;=WORKDAY.INTL(EOMONTH(E1403,0)+1,-2,1,FERIADOS!$A$2:$A$250),"SÍ","NO")</x:f>
        <x:v>NO</x:v>
      </x:c>
      <x:c r="G1403" s="10" t="n">
        <x:f>IF(F1403="SÍ",EOMONTH(E1403,0)+1,DATE(YEAR(E1403),MONTH(E1403),1))</x:f>
        <x:v>47058</x:v>
      </x:c>
      <x:c r="H1403" t="str">
        <x:f>IF(D1403="NO",IF(C1403="SÍ","FERIADO","FIN DE SEMANA"),"LABORABLE")&amp;IF(F1403="SÍ"," + CIERRE","")</x:f>
        <x:v>FERIADO</x:v>
      </x:c>
      <x:c r="I1403" t="str">
        <x:f>TEXT(G1403,"yyyy-mm")</x:f>
        <x:v>2028-11</x:v>
      </x:c>
    </x:row>
    <x:row r="1404" ht="19" customHeight="1">
      <x:c r="A1404" s="2" t="n">
        <x:v>47060</x:v>
      </x:c>
      <x:c r="B1404" t="str">
        <x:f>CHOOSE(WEEKDAY(A1404,2),"Lunes","Martes","Miércoles","Jueves","Viernes","Sábado","Domingo")</x:f>
        <x:v>Viernes</x:v>
      </x:c>
      <x:c r="C1404" t="str">
        <x:f>IF(COUNTIF(FERIADOS!$A$2:$A$250,A1404)&gt;0,"SÍ","NO")</x:f>
        <x:v>SÍ</x:v>
      </x:c>
      <x:c r="D1404" t="str">
        <x:f>IF(AND(WEEKDAY(A1404,2)&lt;=5,C1404="NO"),"SÍ","NO")</x:f>
        <x:v>NO</x:v>
      </x:c>
      <x:c r="E1404" s="2" t="n">
        <x:f>WORKDAY.INTL(A1404-1,1,1,FERIADOS!$A$2:$A$250)</x:f>
        <x:v>47063</x:v>
      </x:c>
      <x:c r="F1404" t="str">
        <x:f>IF(E1404&gt;=WORKDAY.INTL(EOMONTH(E1404,0)+1,-2,1,FERIADOS!$A$2:$A$250),"SÍ","NO")</x:f>
        <x:v>NO</x:v>
      </x:c>
      <x:c r="G1404" s="10" t="n">
        <x:f>IF(F1404="SÍ",EOMONTH(E1404,0)+1,DATE(YEAR(E1404),MONTH(E1404),1))</x:f>
        <x:v>47058</x:v>
      </x:c>
      <x:c r="H1404" t="str">
        <x:f>IF(D1404="NO",IF(C1404="SÍ","FERIADO","FIN DE SEMANA"),"LABORABLE")&amp;IF(F1404="SÍ"," + CIERRE","")</x:f>
        <x:v>FERIADO</x:v>
      </x:c>
      <x:c r="I1404" t="str">
        <x:f>TEXT(G1404,"yyyy-mm")</x:f>
        <x:v>2028-11</x:v>
      </x:c>
    </x:row>
    <x:row r="1405" ht="19" customHeight="1">
      <x:c r="A1405" s="2" t="n">
        <x:v>47061</x:v>
      </x:c>
      <x:c r="B1405" t="str">
        <x:f>CHOOSE(WEEKDAY(A1405,2),"Lunes","Martes","Miércoles","Jueves","Viernes","Sábado","Domingo")</x:f>
        <x:v>Sábado</x:v>
      </x:c>
      <x:c r="C1405" t="str">
        <x:f>IF(COUNTIF(FERIADOS!$A$2:$A$250,A1405)&gt;0,"SÍ","NO")</x:f>
        <x:v>NO</x:v>
      </x:c>
      <x:c r="D1405" t="str">
        <x:f>IF(AND(WEEKDAY(A1405,2)&lt;=5,C1405="NO"),"SÍ","NO")</x:f>
        <x:v>NO</x:v>
      </x:c>
      <x:c r="E1405" s="2" t="n">
        <x:f>WORKDAY.INTL(A1405-1,1,1,FERIADOS!$A$2:$A$250)</x:f>
        <x:v>47063</x:v>
      </x:c>
      <x:c r="F1405" t="str">
        <x:f>IF(E1405&gt;=WORKDAY.INTL(EOMONTH(E1405,0)+1,-2,1,FERIADOS!$A$2:$A$250),"SÍ","NO")</x:f>
        <x:v>NO</x:v>
      </x:c>
      <x:c r="G1405" s="10" t="n">
        <x:f>IF(F1405="SÍ",EOMONTH(E1405,0)+1,DATE(YEAR(E1405),MONTH(E1405),1))</x:f>
        <x:v>47058</x:v>
      </x:c>
      <x:c r="H1405" t="str">
        <x:f>IF(D1405="NO",IF(C1405="SÍ","FERIADO","FIN DE SEMANA"),"LABORABLE")&amp;IF(F1405="SÍ"," + CIERRE","")</x:f>
        <x:v>FIN DE SEMANA</x:v>
      </x:c>
      <x:c r="I1405" t="str">
        <x:f>TEXT(G1405,"yyyy-mm")</x:f>
        <x:v>2028-11</x:v>
      </x:c>
    </x:row>
    <x:row r="1406" ht="19" customHeight="1">
      <x:c r="A1406" s="2" t="n">
        <x:v>47062</x:v>
      </x:c>
      <x:c r="B1406" t="str">
        <x:f>CHOOSE(WEEKDAY(A1406,2),"Lunes","Martes","Miércoles","Jueves","Viernes","Sábado","Domingo")</x:f>
        <x:v>Domingo</x:v>
      </x:c>
      <x:c r="C1406" t="str">
        <x:f>IF(COUNTIF(FERIADOS!$A$2:$A$250,A1406)&gt;0,"SÍ","NO")</x:f>
        <x:v>NO</x:v>
      </x:c>
      <x:c r="D1406" t="str">
        <x:f>IF(AND(WEEKDAY(A1406,2)&lt;=5,C1406="NO"),"SÍ","NO")</x:f>
        <x:v>NO</x:v>
      </x:c>
      <x:c r="E1406" s="2" t="n">
        <x:f>WORKDAY.INTL(A1406-1,1,1,FERIADOS!$A$2:$A$250)</x:f>
        <x:v>47063</x:v>
      </x:c>
      <x:c r="F1406" t="str">
        <x:f>IF(E1406&gt;=WORKDAY.INTL(EOMONTH(E1406,0)+1,-2,1,FERIADOS!$A$2:$A$250),"SÍ","NO")</x:f>
        <x:v>NO</x:v>
      </x:c>
      <x:c r="G1406" s="10" t="n">
        <x:f>IF(F1406="SÍ",EOMONTH(E1406,0)+1,DATE(YEAR(E1406),MONTH(E1406),1))</x:f>
        <x:v>47058</x:v>
      </x:c>
      <x:c r="H1406" t="str">
        <x:f>IF(D1406="NO",IF(C1406="SÍ","FERIADO","FIN DE SEMANA"),"LABORABLE")&amp;IF(F1406="SÍ"," + CIERRE","")</x:f>
        <x:v>FIN DE SEMANA</x:v>
      </x:c>
      <x:c r="I1406" t="str">
        <x:f>TEXT(G1406,"yyyy-mm")</x:f>
        <x:v>2028-11</x:v>
      </x:c>
    </x:row>
    <x:row r="1407" ht="19" customHeight="1">
      <x:c r="A1407" s="2" t="n">
        <x:v>47063</x:v>
      </x:c>
      <x:c r="B1407" t="str">
        <x:f>CHOOSE(WEEKDAY(A1407,2),"Lunes","Martes","Miércoles","Jueves","Viernes","Sábado","Domingo")</x:f>
        <x:v>Lunes</x:v>
      </x:c>
      <x:c r="C1407" t="str">
        <x:f>IF(COUNTIF(FERIADOS!$A$2:$A$250,A1407)&gt;0,"SÍ","NO")</x:f>
        <x:v>NO</x:v>
      </x:c>
      <x:c r="D1407" t="str">
        <x:f>IF(AND(WEEKDAY(A1407,2)&lt;=5,C1407="NO"),"SÍ","NO")</x:f>
        <x:v>SÍ</x:v>
      </x:c>
      <x:c r="E1407" s="2" t="n">
        <x:f>WORKDAY.INTL(A1407-1,1,1,FERIADOS!$A$2:$A$250)</x:f>
        <x:v>47063</x:v>
      </x:c>
      <x:c r="F1407" t="str">
        <x:f>IF(E1407&gt;=WORKDAY.INTL(EOMONTH(E1407,0)+1,-2,1,FERIADOS!$A$2:$A$250),"SÍ","NO")</x:f>
        <x:v>NO</x:v>
      </x:c>
      <x:c r="G1407" s="10" t="n">
        <x:f>IF(F1407="SÍ",EOMONTH(E1407,0)+1,DATE(YEAR(E1407),MONTH(E1407),1))</x:f>
        <x:v>47058</x:v>
      </x:c>
      <x:c r="H1407" t="str">
        <x:f>IF(D1407="NO",IF(C1407="SÍ","FERIADO","FIN DE SEMANA"),"LABORABLE")&amp;IF(F1407="SÍ"," + CIERRE","")</x:f>
        <x:v>LABORABLE</x:v>
      </x:c>
      <x:c r="I1407" t="str">
        <x:f>TEXT(G1407,"yyyy-mm")</x:f>
        <x:v>2028-11</x:v>
      </x:c>
    </x:row>
    <x:row r="1408" ht="19" customHeight="1">
      <x:c r="A1408" s="2" t="n">
        <x:v>47064</x:v>
      </x:c>
      <x:c r="B1408" t="str">
        <x:f>CHOOSE(WEEKDAY(A1408,2),"Lunes","Martes","Miércoles","Jueves","Viernes","Sábado","Domingo")</x:f>
        <x:v>Martes</x:v>
      </x:c>
      <x:c r="C1408" t="str">
        <x:f>IF(COUNTIF(FERIADOS!$A$2:$A$250,A1408)&gt;0,"SÍ","NO")</x:f>
        <x:v>NO</x:v>
      </x:c>
      <x:c r="D1408" t="str">
        <x:f>IF(AND(WEEKDAY(A1408,2)&lt;=5,C1408="NO"),"SÍ","NO")</x:f>
        <x:v>SÍ</x:v>
      </x:c>
      <x:c r="E1408" s="2" t="n">
        <x:f>WORKDAY.INTL(A1408-1,1,1,FERIADOS!$A$2:$A$250)</x:f>
        <x:v>47064</x:v>
      </x:c>
      <x:c r="F1408" t="str">
        <x:f>IF(E1408&gt;=WORKDAY.INTL(EOMONTH(E1408,0)+1,-2,1,FERIADOS!$A$2:$A$250),"SÍ","NO")</x:f>
        <x:v>NO</x:v>
      </x:c>
      <x:c r="G1408" s="10" t="n">
        <x:f>IF(F1408="SÍ",EOMONTH(E1408,0)+1,DATE(YEAR(E1408),MONTH(E1408),1))</x:f>
        <x:v>47058</x:v>
      </x:c>
      <x:c r="H1408" t="str">
        <x:f>IF(D1408="NO",IF(C1408="SÍ","FERIADO","FIN DE SEMANA"),"LABORABLE")&amp;IF(F1408="SÍ"," + CIERRE","")</x:f>
        <x:v>LABORABLE</x:v>
      </x:c>
      <x:c r="I1408" t="str">
        <x:f>TEXT(G1408,"yyyy-mm")</x:f>
        <x:v>2028-11</x:v>
      </x:c>
    </x:row>
    <x:row r="1409" ht="19" customHeight="1">
      <x:c r="A1409" s="2" t="n">
        <x:v>47065</x:v>
      </x:c>
      <x:c r="B1409" t="str">
        <x:f>CHOOSE(WEEKDAY(A1409,2),"Lunes","Martes","Miércoles","Jueves","Viernes","Sábado","Domingo")</x:f>
        <x:v>Miércoles</x:v>
      </x:c>
      <x:c r="C1409" t="str">
        <x:f>IF(COUNTIF(FERIADOS!$A$2:$A$250,A1409)&gt;0,"SÍ","NO")</x:f>
        <x:v>NO</x:v>
      </x:c>
      <x:c r="D1409" t="str">
        <x:f>IF(AND(WEEKDAY(A1409,2)&lt;=5,C1409="NO"),"SÍ","NO")</x:f>
        <x:v>SÍ</x:v>
      </x:c>
      <x:c r="E1409" s="2" t="n">
        <x:f>WORKDAY.INTL(A1409-1,1,1,FERIADOS!$A$2:$A$250)</x:f>
        <x:v>47065</x:v>
      </x:c>
      <x:c r="F1409" t="str">
        <x:f>IF(E1409&gt;=WORKDAY.INTL(EOMONTH(E1409,0)+1,-2,1,FERIADOS!$A$2:$A$250),"SÍ","NO")</x:f>
        <x:v>NO</x:v>
      </x:c>
      <x:c r="G1409" s="10" t="n">
        <x:f>IF(F1409="SÍ",EOMONTH(E1409,0)+1,DATE(YEAR(E1409),MONTH(E1409),1))</x:f>
        <x:v>47058</x:v>
      </x:c>
      <x:c r="H1409" t="str">
        <x:f>IF(D1409="NO",IF(C1409="SÍ","FERIADO","FIN DE SEMANA"),"LABORABLE")&amp;IF(F1409="SÍ"," + CIERRE","")</x:f>
        <x:v>LABORABLE</x:v>
      </x:c>
      <x:c r="I1409" t="str">
        <x:f>TEXT(G1409,"yyyy-mm")</x:f>
        <x:v>2028-11</x:v>
      </x:c>
    </x:row>
    <x:row r="1410" ht="19" customHeight="1">
      <x:c r="A1410" s="2" t="n">
        <x:v>47066</x:v>
      </x:c>
      <x:c r="B1410" t="str">
        <x:f>CHOOSE(WEEKDAY(A1410,2),"Lunes","Martes","Miércoles","Jueves","Viernes","Sábado","Domingo")</x:f>
        <x:v>Jueves</x:v>
      </x:c>
      <x:c r="C1410" t="str">
        <x:f>IF(COUNTIF(FERIADOS!$A$2:$A$250,A1410)&gt;0,"SÍ","NO")</x:f>
        <x:v>NO</x:v>
      </x:c>
      <x:c r="D1410" t="str">
        <x:f>IF(AND(WEEKDAY(A1410,2)&lt;=5,C1410="NO"),"SÍ","NO")</x:f>
        <x:v>SÍ</x:v>
      </x:c>
      <x:c r="E1410" s="2" t="n">
        <x:f>WORKDAY.INTL(A1410-1,1,1,FERIADOS!$A$2:$A$250)</x:f>
        <x:v>47066</x:v>
      </x:c>
      <x:c r="F1410" t="str">
        <x:f>IF(E1410&gt;=WORKDAY.INTL(EOMONTH(E1410,0)+1,-2,1,FERIADOS!$A$2:$A$250),"SÍ","NO")</x:f>
        <x:v>NO</x:v>
      </x:c>
      <x:c r="G1410" s="10" t="n">
        <x:f>IF(F1410="SÍ",EOMONTH(E1410,0)+1,DATE(YEAR(E1410),MONTH(E1410),1))</x:f>
        <x:v>47058</x:v>
      </x:c>
      <x:c r="H1410" t="str">
        <x:f>IF(D1410="NO",IF(C1410="SÍ","FERIADO","FIN DE SEMANA"),"LABORABLE")&amp;IF(F1410="SÍ"," + CIERRE","")</x:f>
        <x:v>LABORABLE</x:v>
      </x:c>
      <x:c r="I1410" t="str">
        <x:f>TEXT(G1410,"yyyy-mm")</x:f>
        <x:v>2028-11</x:v>
      </x:c>
    </x:row>
    <x:row r="1411" ht="19" customHeight="1">
      <x:c r="A1411" s="2" t="n">
        <x:v>47067</x:v>
      </x:c>
      <x:c r="B1411" t="str">
        <x:f>CHOOSE(WEEKDAY(A1411,2),"Lunes","Martes","Miércoles","Jueves","Viernes","Sábado","Domingo")</x:f>
        <x:v>Viernes</x:v>
      </x:c>
      <x:c r="C1411" t="str">
        <x:f>IF(COUNTIF(FERIADOS!$A$2:$A$250,A1411)&gt;0,"SÍ","NO")</x:f>
        <x:v>NO</x:v>
      </x:c>
      <x:c r="D1411" t="str">
        <x:f>IF(AND(WEEKDAY(A1411,2)&lt;=5,C1411="NO"),"SÍ","NO")</x:f>
        <x:v>SÍ</x:v>
      </x:c>
      <x:c r="E1411" s="2" t="n">
        <x:f>WORKDAY.INTL(A1411-1,1,1,FERIADOS!$A$2:$A$250)</x:f>
        <x:v>47067</x:v>
      </x:c>
      <x:c r="F1411" t="str">
        <x:f>IF(E1411&gt;=WORKDAY.INTL(EOMONTH(E1411,0)+1,-2,1,FERIADOS!$A$2:$A$250),"SÍ","NO")</x:f>
        <x:v>NO</x:v>
      </x:c>
      <x:c r="G1411" s="10" t="n">
        <x:f>IF(F1411="SÍ",EOMONTH(E1411,0)+1,DATE(YEAR(E1411),MONTH(E1411),1))</x:f>
        <x:v>47058</x:v>
      </x:c>
      <x:c r="H1411" t="str">
        <x:f>IF(D1411="NO",IF(C1411="SÍ","FERIADO","FIN DE SEMANA"),"LABORABLE")&amp;IF(F1411="SÍ"," + CIERRE","")</x:f>
        <x:v>LABORABLE</x:v>
      </x:c>
      <x:c r="I1411" t="str">
        <x:f>TEXT(G1411,"yyyy-mm")</x:f>
        <x:v>2028-11</x:v>
      </x:c>
    </x:row>
    <x:row r="1412" ht="19" customHeight="1">
      <x:c r="A1412" s="2" t="n">
        <x:v>47068</x:v>
      </x:c>
      <x:c r="B1412" t="str">
        <x:f>CHOOSE(WEEKDAY(A1412,2),"Lunes","Martes","Miércoles","Jueves","Viernes","Sábado","Domingo")</x:f>
        <x:v>Sábado</x:v>
      </x:c>
      <x:c r="C1412" t="str">
        <x:f>IF(COUNTIF(FERIADOS!$A$2:$A$250,A1412)&gt;0,"SÍ","NO")</x:f>
        <x:v>NO</x:v>
      </x:c>
      <x:c r="D1412" t="str">
        <x:f>IF(AND(WEEKDAY(A1412,2)&lt;=5,C1412="NO"),"SÍ","NO")</x:f>
        <x:v>NO</x:v>
      </x:c>
      <x:c r="E1412" s="2" t="n">
        <x:f>WORKDAY.INTL(A1412-1,1,1,FERIADOS!$A$2:$A$250)</x:f>
        <x:v>47070</x:v>
      </x:c>
      <x:c r="F1412" t="str">
        <x:f>IF(E1412&gt;=WORKDAY.INTL(EOMONTH(E1412,0)+1,-2,1,FERIADOS!$A$2:$A$250),"SÍ","NO")</x:f>
        <x:v>NO</x:v>
      </x:c>
      <x:c r="G1412" s="10" t="n">
        <x:f>IF(F1412="SÍ",EOMONTH(E1412,0)+1,DATE(YEAR(E1412),MONTH(E1412),1))</x:f>
        <x:v>47058</x:v>
      </x:c>
      <x:c r="H1412" t="str">
        <x:f>IF(D1412="NO",IF(C1412="SÍ","FERIADO","FIN DE SEMANA"),"LABORABLE")&amp;IF(F1412="SÍ"," + CIERRE","")</x:f>
        <x:v>FIN DE SEMANA</x:v>
      </x:c>
      <x:c r="I1412" t="str">
        <x:f>TEXT(G1412,"yyyy-mm")</x:f>
        <x:v>2028-11</x:v>
      </x:c>
    </x:row>
    <x:row r="1413" ht="19" customHeight="1">
      <x:c r="A1413" s="2" t="n">
        <x:v>47069</x:v>
      </x:c>
      <x:c r="B1413" t="str">
        <x:f>CHOOSE(WEEKDAY(A1413,2),"Lunes","Martes","Miércoles","Jueves","Viernes","Sábado","Domingo")</x:f>
        <x:v>Domingo</x:v>
      </x:c>
      <x:c r="C1413" t="str">
        <x:f>IF(COUNTIF(FERIADOS!$A$2:$A$250,A1413)&gt;0,"SÍ","NO")</x:f>
        <x:v>NO</x:v>
      </x:c>
      <x:c r="D1413" t="str">
        <x:f>IF(AND(WEEKDAY(A1413,2)&lt;=5,C1413="NO"),"SÍ","NO")</x:f>
        <x:v>NO</x:v>
      </x:c>
      <x:c r="E1413" s="2" t="n">
        <x:f>WORKDAY.INTL(A1413-1,1,1,FERIADOS!$A$2:$A$250)</x:f>
        <x:v>47070</x:v>
      </x:c>
      <x:c r="F1413" t="str">
        <x:f>IF(E1413&gt;=WORKDAY.INTL(EOMONTH(E1413,0)+1,-2,1,FERIADOS!$A$2:$A$250),"SÍ","NO")</x:f>
        <x:v>NO</x:v>
      </x:c>
      <x:c r="G1413" s="10" t="n">
        <x:f>IF(F1413="SÍ",EOMONTH(E1413,0)+1,DATE(YEAR(E1413),MONTH(E1413),1))</x:f>
        <x:v>47058</x:v>
      </x:c>
      <x:c r="H1413" t="str">
        <x:f>IF(D1413="NO",IF(C1413="SÍ","FERIADO","FIN DE SEMANA"),"LABORABLE")&amp;IF(F1413="SÍ"," + CIERRE","")</x:f>
        <x:v>FIN DE SEMANA</x:v>
      </x:c>
      <x:c r="I1413" t="str">
        <x:f>TEXT(G1413,"yyyy-mm")</x:f>
        <x:v>2028-11</x:v>
      </x:c>
    </x:row>
    <x:row r="1414" ht="19" customHeight="1">
      <x:c r="A1414" s="2" t="n">
        <x:v>47070</x:v>
      </x:c>
      <x:c r="B1414" t="str">
        <x:f>CHOOSE(WEEKDAY(A1414,2),"Lunes","Martes","Miércoles","Jueves","Viernes","Sábado","Domingo")</x:f>
        <x:v>Lunes</x:v>
      </x:c>
      <x:c r="C1414" t="str">
        <x:f>IF(COUNTIF(FERIADOS!$A$2:$A$250,A1414)&gt;0,"SÍ","NO")</x:f>
        <x:v>NO</x:v>
      </x:c>
      <x:c r="D1414" t="str">
        <x:f>IF(AND(WEEKDAY(A1414,2)&lt;=5,C1414="NO"),"SÍ","NO")</x:f>
        <x:v>SÍ</x:v>
      </x:c>
      <x:c r="E1414" s="2" t="n">
        <x:f>WORKDAY.INTL(A1414-1,1,1,FERIADOS!$A$2:$A$250)</x:f>
        <x:v>47070</x:v>
      </x:c>
      <x:c r="F1414" t="str">
        <x:f>IF(E1414&gt;=WORKDAY.INTL(EOMONTH(E1414,0)+1,-2,1,FERIADOS!$A$2:$A$250),"SÍ","NO")</x:f>
        <x:v>NO</x:v>
      </x:c>
      <x:c r="G1414" s="10" t="n">
        <x:f>IF(F1414="SÍ",EOMONTH(E1414,0)+1,DATE(YEAR(E1414),MONTH(E1414),1))</x:f>
        <x:v>47058</x:v>
      </x:c>
      <x:c r="H1414" t="str">
        <x:f>IF(D1414="NO",IF(C1414="SÍ","FERIADO","FIN DE SEMANA"),"LABORABLE")&amp;IF(F1414="SÍ"," + CIERRE","")</x:f>
        <x:v>LABORABLE</x:v>
      </x:c>
      <x:c r="I1414" t="str">
        <x:f>TEXT(G1414,"yyyy-mm")</x:f>
        <x:v>2028-11</x:v>
      </x:c>
    </x:row>
    <x:row r="1415" ht="19" customHeight="1">
      <x:c r="A1415" s="2" t="n">
        <x:v>47071</x:v>
      </x:c>
      <x:c r="B1415" t="str">
        <x:f>CHOOSE(WEEKDAY(A1415,2),"Lunes","Martes","Miércoles","Jueves","Viernes","Sábado","Domingo")</x:f>
        <x:v>Martes</x:v>
      </x:c>
      <x:c r="C1415" t="str">
        <x:f>IF(COUNTIF(FERIADOS!$A$2:$A$250,A1415)&gt;0,"SÍ","NO")</x:f>
        <x:v>NO</x:v>
      </x:c>
      <x:c r="D1415" t="str">
        <x:f>IF(AND(WEEKDAY(A1415,2)&lt;=5,C1415="NO"),"SÍ","NO")</x:f>
        <x:v>SÍ</x:v>
      </x:c>
      <x:c r="E1415" s="2" t="n">
        <x:f>WORKDAY.INTL(A1415-1,1,1,FERIADOS!$A$2:$A$250)</x:f>
        <x:v>47071</x:v>
      </x:c>
      <x:c r="F1415" t="str">
        <x:f>IF(E1415&gt;=WORKDAY.INTL(EOMONTH(E1415,0)+1,-2,1,FERIADOS!$A$2:$A$250),"SÍ","NO")</x:f>
        <x:v>NO</x:v>
      </x:c>
      <x:c r="G1415" s="10" t="n">
        <x:f>IF(F1415="SÍ",EOMONTH(E1415,0)+1,DATE(YEAR(E1415),MONTH(E1415),1))</x:f>
        <x:v>47058</x:v>
      </x:c>
      <x:c r="H1415" t="str">
        <x:f>IF(D1415="NO",IF(C1415="SÍ","FERIADO","FIN DE SEMANA"),"LABORABLE")&amp;IF(F1415="SÍ"," + CIERRE","")</x:f>
        <x:v>LABORABLE</x:v>
      </x:c>
      <x:c r="I1415" t="str">
        <x:f>TEXT(G1415,"yyyy-mm")</x:f>
        <x:v>2028-11</x:v>
      </x:c>
    </x:row>
    <x:row r="1416" ht="19" customHeight="1">
      <x:c r="A1416" s="2" t="n">
        <x:v>47072</x:v>
      </x:c>
      <x:c r="B1416" t="str">
        <x:f>CHOOSE(WEEKDAY(A1416,2),"Lunes","Martes","Miércoles","Jueves","Viernes","Sábado","Domingo")</x:f>
        <x:v>Miércoles</x:v>
      </x:c>
      <x:c r="C1416" t="str">
        <x:f>IF(COUNTIF(FERIADOS!$A$2:$A$250,A1416)&gt;0,"SÍ","NO")</x:f>
        <x:v>NO</x:v>
      </x:c>
      <x:c r="D1416" t="str">
        <x:f>IF(AND(WEEKDAY(A1416,2)&lt;=5,C1416="NO"),"SÍ","NO")</x:f>
        <x:v>SÍ</x:v>
      </x:c>
      <x:c r="E1416" s="2" t="n">
        <x:f>WORKDAY.INTL(A1416-1,1,1,FERIADOS!$A$2:$A$250)</x:f>
        <x:v>47072</x:v>
      </x:c>
      <x:c r="F1416" t="str">
        <x:f>IF(E1416&gt;=WORKDAY.INTL(EOMONTH(E1416,0)+1,-2,1,FERIADOS!$A$2:$A$250),"SÍ","NO")</x:f>
        <x:v>NO</x:v>
      </x:c>
      <x:c r="G1416" s="10" t="n">
        <x:f>IF(F1416="SÍ",EOMONTH(E1416,0)+1,DATE(YEAR(E1416),MONTH(E1416),1))</x:f>
        <x:v>47058</x:v>
      </x:c>
      <x:c r="H1416" t="str">
        <x:f>IF(D1416="NO",IF(C1416="SÍ","FERIADO","FIN DE SEMANA"),"LABORABLE")&amp;IF(F1416="SÍ"," + CIERRE","")</x:f>
        <x:v>LABORABLE</x:v>
      </x:c>
      <x:c r="I1416" t="str">
        <x:f>TEXT(G1416,"yyyy-mm")</x:f>
        <x:v>2028-11</x:v>
      </x:c>
    </x:row>
    <x:row r="1417" ht="19" customHeight="1">
      <x:c r="A1417" s="2" t="n">
        <x:v>47073</x:v>
      </x:c>
      <x:c r="B1417" t="str">
        <x:f>CHOOSE(WEEKDAY(A1417,2),"Lunes","Martes","Miércoles","Jueves","Viernes","Sábado","Domingo")</x:f>
        <x:v>Jueves</x:v>
      </x:c>
      <x:c r="C1417" t="str">
        <x:f>IF(COUNTIF(FERIADOS!$A$2:$A$250,A1417)&gt;0,"SÍ","NO")</x:f>
        <x:v>NO</x:v>
      </x:c>
      <x:c r="D1417" t="str">
        <x:f>IF(AND(WEEKDAY(A1417,2)&lt;=5,C1417="NO"),"SÍ","NO")</x:f>
        <x:v>SÍ</x:v>
      </x:c>
      <x:c r="E1417" s="2" t="n">
        <x:f>WORKDAY.INTL(A1417-1,1,1,FERIADOS!$A$2:$A$250)</x:f>
        <x:v>47073</x:v>
      </x:c>
      <x:c r="F1417" t="str">
        <x:f>IF(E1417&gt;=WORKDAY.INTL(EOMONTH(E1417,0)+1,-2,1,FERIADOS!$A$2:$A$250),"SÍ","NO")</x:f>
        <x:v>NO</x:v>
      </x:c>
      <x:c r="G1417" s="10" t="n">
        <x:f>IF(F1417="SÍ",EOMONTH(E1417,0)+1,DATE(YEAR(E1417),MONTH(E1417),1))</x:f>
        <x:v>47058</x:v>
      </x:c>
      <x:c r="H1417" t="str">
        <x:f>IF(D1417="NO",IF(C1417="SÍ","FERIADO","FIN DE SEMANA"),"LABORABLE")&amp;IF(F1417="SÍ"," + CIERRE","")</x:f>
        <x:v>LABORABLE</x:v>
      </x:c>
      <x:c r="I1417" t="str">
        <x:f>TEXT(G1417,"yyyy-mm")</x:f>
        <x:v>2028-11</x:v>
      </x:c>
    </x:row>
    <x:row r="1418" ht="19" customHeight="1">
      <x:c r="A1418" s="2" t="n">
        <x:v>47074</x:v>
      </x:c>
      <x:c r="B1418" t="str">
        <x:f>CHOOSE(WEEKDAY(A1418,2),"Lunes","Martes","Miércoles","Jueves","Viernes","Sábado","Domingo")</x:f>
        <x:v>Viernes</x:v>
      </x:c>
      <x:c r="C1418" t="str">
        <x:f>IF(COUNTIF(FERIADOS!$A$2:$A$250,A1418)&gt;0,"SÍ","NO")</x:f>
        <x:v>NO</x:v>
      </x:c>
      <x:c r="D1418" t="str">
        <x:f>IF(AND(WEEKDAY(A1418,2)&lt;=5,C1418="NO"),"SÍ","NO")</x:f>
        <x:v>SÍ</x:v>
      </x:c>
      <x:c r="E1418" s="2" t="n">
        <x:f>WORKDAY.INTL(A1418-1,1,1,FERIADOS!$A$2:$A$250)</x:f>
        <x:v>47074</x:v>
      </x:c>
      <x:c r="F1418" t="str">
        <x:f>IF(E1418&gt;=WORKDAY.INTL(EOMONTH(E1418,0)+1,-2,1,FERIADOS!$A$2:$A$250),"SÍ","NO")</x:f>
        <x:v>NO</x:v>
      </x:c>
      <x:c r="G1418" s="10" t="n">
        <x:f>IF(F1418="SÍ",EOMONTH(E1418,0)+1,DATE(YEAR(E1418),MONTH(E1418),1))</x:f>
        <x:v>47058</x:v>
      </x:c>
      <x:c r="H1418" t="str">
        <x:f>IF(D1418="NO",IF(C1418="SÍ","FERIADO","FIN DE SEMANA"),"LABORABLE")&amp;IF(F1418="SÍ"," + CIERRE","")</x:f>
        <x:v>LABORABLE</x:v>
      </x:c>
      <x:c r="I1418" t="str">
        <x:f>TEXT(G1418,"yyyy-mm")</x:f>
        <x:v>2028-11</x:v>
      </x:c>
    </x:row>
    <x:row r="1419" ht="19" customHeight="1">
      <x:c r="A1419" s="2" t="n">
        <x:v>47075</x:v>
      </x:c>
      <x:c r="B1419" t="str">
        <x:f>CHOOSE(WEEKDAY(A1419,2),"Lunes","Martes","Miércoles","Jueves","Viernes","Sábado","Domingo")</x:f>
        <x:v>Sábado</x:v>
      </x:c>
      <x:c r="C1419" t="str">
        <x:f>IF(COUNTIF(FERIADOS!$A$2:$A$250,A1419)&gt;0,"SÍ","NO")</x:f>
        <x:v>NO</x:v>
      </x:c>
      <x:c r="D1419" t="str">
        <x:f>IF(AND(WEEKDAY(A1419,2)&lt;=5,C1419="NO"),"SÍ","NO")</x:f>
        <x:v>NO</x:v>
      </x:c>
      <x:c r="E1419" s="2" t="n">
        <x:f>WORKDAY.INTL(A1419-1,1,1,FERIADOS!$A$2:$A$250)</x:f>
        <x:v>47077</x:v>
      </x:c>
      <x:c r="F1419" t="str">
        <x:f>IF(E1419&gt;=WORKDAY.INTL(EOMONTH(E1419,0)+1,-2,1,FERIADOS!$A$2:$A$250),"SÍ","NO")</x:f>
        <x:v>NO</x:v>
      </x:c>
      <x:c r="G1419" s="10" t="n">
        <x:f>IF(F1419="SÍ",EOMONTH(E1419,0)+1,DATE(YEAR(E1419),MONTH(E1419),1))</x:f>
        <x:v>47058</x:v>
      </x:c>
      <x:c r="H1419" t="str">
        <x:f>IF(D1419="NO",IF(C1419="SÍ","FERIADO","FIN DE SEMANA"),"LABORABLE")&amp;IF(F1419="SÍ"," + CIERRE","")</x:f>
        <x:v>FIN DE SEMANA</x:v>
      </x:c>
      <x:c r="I1419" t="str">
        <x:f>TEXT(G1419,"yyyy-mm")</x:f>
        <x:v>2028-11</x:v>
      </x:c>
    </x:row>
    <x:row r="1420" ht="19" customHeight="1">
      <x:c r="A1420" s="2" t="n">
        <x:v>47076</x:v>
      </x:c>
      <x:c r="B1420" t="str">
        <x:f>CHOOSE(WEEKDAY(A1420,2),"Lunes","Martes","Miércoles","Jueves","Viernes","Sábado","Domingo")</x:f>
        <x:v>Domingo</x:v>
      </x:c>
      <x:c r="C1420" t="str">
        <x:f>IF(COUNTIF(FERIADOS!$A$2:$A$250,A1420)&gt;0,"SÍ","NO")</x:f>
        <x:v>NO</x:v>
      </x:c>
      <x:c r="D1420" t="str">
        <x:f>IF(AND(WEEKDAY(A1420,2)&lt;=5,C1420="NO"),"SÍ","NO")</x:f>
        <x:v>NO</x:v>
      </x:c>
      <x:c r="E1420" s="2" t="n">
        <x:f>WORKDAY.INTL(A1420-1,1,1,FERIADOS!$A$2:$A$250)</x:f>
        <x:v>47077</x:v>
      </x:c>
      <x:c r="F1420" t="str">
        <x:f>IF(E1420&gt;=WORKDAY.INTL(EOMONTH(E1420,0)+1,-2,1,FERIADOS!$A$2:$A$250),"SÍ","NO")</x:f>
        <x:v>NO</x:v>
      </x:c>
      <x:c r="G1420" s="10" t="n">
        <x:f>IF(F1420="SÍ",EOMONTH(E1420,0)+1,DATE(YEAR(E1420),MONTH(E1420),1))</x:f>
        <x:v>47058</x:v>
      </x:c>
      <x:c r="H1420" t="str">
        <x:f>IF(D1420="NO",IF(C1420="SÍ","FERIADO","FIN DE SEMANA"),"LABORABLE")&amp;IF(F1420="SÍ"," + CIERRE","")</x:f>
        <x:v>FIN DE SEMANA</x:v>
      </x:c>
      <x:c r="I1420" t="str">
        <x:f>TEXT(G1420,"yyyy-mm")</x:f>
        <x:v>2028-11</x:v>
      </x:c>
    </x:row>
    <x:row r="1421" ht="19" customHeight="1">
      <x:c r="A1421" s="2" t="n">
        <x:v>47077</x:v>
      </x:c>
      <x:c r="B1421" t="str">
        <x:f>CHOOSE(WEEKDAY(A1421,2),"Lunes","Martes","Miércoles","Jueves","Viernes","Sábado","Domingo")</x:f>
        <x:v>Lunes</x:v>
      </x:c>
      <x:c r="C1421" t="str">
        <x:f>IF(COUNTIF(FERIADOS!$A$2:$A$250,A1421)&gt;0,"SÍ","NO")</x:f>
        <x:v>NO</x:v>
      </x:c>
      <x:c r="D1421" t="str">
        <x:f>IF(AND(WEEKDAY(A1421,2)&lt;=5,C1421="NO"),"SÍ","NO")</x:f>
        <x:v>SÍ</x:v>
      </x:c>
      <x:c r="E1421" s="2" t="n">
        <x:f>WORKDAY.INTL(A1421-1,1,1,FERIADOS!$A$2:$A$250)</x:f>
        <x:v>47077</x:v>
      </x:c>
      <x:c r="F1421" t="str">
        <x:f>IF(E1421&gt;=WORKDAY.INTL(EOMONTH(E1421,0)+1,-2,1,FERIADOS!$A$2:$A$250),"SÍ","NO")</x:f>
        <x:v>NO</x:v>
      </x:c>
      <x:c r="G1421" s="10" t="n">
        <x:f>IF(F1421="SÍ",EOMONTH(E1421,0)+1,DATE(YEAR(E1421),MONTH(E1421),1))</x:f>
        <x:v>47058</x:v>
      </x:c>
      <x:c r="H1421" t="str">
        <x:f>IF(D1421="NO",IF(C1421="SÍ","FERIADO","FIN DE SEMANA"),"LABORABLE")&amp;IF(F1421="SÍ"," + CIERRE","")</x:f>
        <x:v>LABORABLE</x:v>
      </x:c>
      <x:c r="I1421" t="str">
        <x:f>TEXT(G1421,"yyyy-mm")</x:f>
        <x:v>2028-11</x:v>
      </x:c>
    </x:row>
    <x:row r="1422" ht="19" customHeight="1">
      <x:c r="A1422" s="2" t="n">
        <x:v>47078</x:v>
      </x:c>
      <x:c r="B1422" t="str">
        <x:f>CHOOSE(WEEKDAY(A1422,2),"Lunes","Martes","Miércoles","Jueves","Viernes","Sábado","Domingo")</x:f>
        <x:v>Martes</x:v>
      </x:c>
      <x:c r="C1422" t="str">
        <x:f>IF(COUNTIF(FERIADOS!$A$2:$A$250,A1422)&gt;0,"SÍ","NO")</x:f>
        <x:v>NO</x:v>
      </x:c>
      <x:c r="D1422" t="str">
        <x:f>IF(AND(WEEKDAY(A1422,2)&lt;=5,C1422="NO"),"SÍ","NO")</x:f>
        <x:v>SÍ</x:v>
      </x:c>
      <x:c r="E1422" s="2" t="n">
        <x:f>WORKDAY.INTL(A1422-1,1,1,FERIADOS!$A$2:$A$250)</x:f>
        <x:v>47078</x:v>
      </x:c>
      <x:c r="F1422" t="str">
        <x:f>IF(E1422&gt;=WORKDAY.INTL(EOMONTH(E1422,0)+1,-2,1,FERIADOS!$A$2:$A$250),"SÍ","NO")</x:f>
        <x:v>NO</x:v>
      </x:c>
      <x:c r="G1422" s="10" t="n">
        <x:f>IF(F1422="SÍ",EOMONTH(E1422,0)+1,DATE(YEAR(E1422),MONTH(E1422),1))</x:f>
        <x:v>47058</x:v>
      </x:c>
      <x:c r="H1422" t="str">
        <x:f>IF(D1422="NO",IF(C1422="SÍ","FERIADO","FIN DE SEMANA"),"LABORABLE")&amp;IF(F1422="SÍ"," + CIERRE","")</x:f>
        <x:v>LABORABLE</x:v>
      </x:c>
      <x:c r="I1422" t="str">
        <x:f>TEXT(G1422,"yyyy-mm")</x:f>
        <x:v>2028-11</x:v>
      </x:c>
    </x:row>
    <x:row r="1423" ht="19" customHeight="1">
      <x:c r="A1423" s="2" t="n">
        <x:v>47079</x:v>
      </x:c>
      <x:c r="B1423" t="str">
        <x:f>CHOOSE(WEEKDAY(A1423,2),"Lunes","Martes","Miércoles","Jueves","Viernes","Sábado","Domingo")</x:f>
        <x:v>Miércoles</x:v>
      </x:c>
      <x:c r="C1423" t="str">
        <x:f>IF(COUNTIF(FERIADOS!$A$2:$A$250,A1423)&gt;0,"SÍ","NO")</x:f>
        <x:v>NO</x:v>
      </x:c>
      <x:c r="D1423" t="str">
        <x:f>IF(AND(WEEKDAY(A1423,2)&lt;=5,C1423="NO"),"SÍ","NO")</x:f>
        <x:v>SÍ</x:v>
      </x:c>
      <x:c r="E1423" s="2" t="n">
        <x:f>WORKDAY.INTL(A1423-1,1,1,FERIADOS!$A$2:$A$250)</x:f>
        <x:v>47079</x:v>
      </x:c>
      <x:c r="F1423" t="str">
        <x:f>IF(E1423&gt;=WORKDAY.INTL(EOMONTH(E1423,0)+1,-2,1,FERIADOS!$A$2:$A$250),"SÍ","NO")</x:f>
        <x:v>NO</x:v>
      </x:c>
      <x:c r="G1423" s="10" t="n">
        <x:f>IF(F1423="SÍ",EOMONTH(E1423,0)+1,DATE(YEAR(E1423),MONTH(E1423),1))</x:f>
        <x:v>47058</x:v>
      </x:c>
      <x:c r="H1423" t="str">
        <x:f>IF(D1423="NO",IF(C1423="SÍ","FERIADO","FIN DE SEMANA"),"LABORABLE")&amp;IF(F1423="SÍ"," + CIERRE","")</x:f>
        <x:v>LABORABLE</x:v>
      </x:c>
      <x:c r="I1423" t="str">
        <x:f>TEXT(G1423,"yyyy-mm")</x:f>
        <x:v>2028-11</x:v>
      </x:c>
    </x:row>
    <x:row r="1424" ht="19" customHeight="1">
      <x:c r="A1424" s="2" t="n">
        <x:v>47080</x:v>
      </x:c>
      <x:c r="B1424" t="str">
        <x:f>CHOOSE(WEEKDAY(A1424,2),"Lunes","Martes","Miércoles","Jueves","Viernes","Sábado","Domingo")</x:f>
        <x:v>Jueves</x:v>
      </x:c>
      <x:c r="C1424" t="str">
        <x:f>IF(COUNTIF(FERIADOS!$A$2:$A$250,A1424)&gt;0,"SÍ","NO")</x:f>
        <x:v>NO</x:v>
      </x:c>
      <x:c r="D1424" t="str">
        <x:f>IF(AND(WEEKDAY(A1424,2)&lt;=5,C1424="NO"),"SÍ","NO")</x:f>
        <x:v>SÍ</x:v>
      </x:c>
      <x:c r="E1424" s="2" t="n">
        <x:f>WORKDAY.INTL(A1424-1,1,1,FERIADOS!$A$2:$A$250)</x:f>
        <x:v>47080</x:v>
      </x:c>
      <x:c r="F1424" t="str">
        <x:f>IF(E1424&gt;=WORKDAY.INTL(EOMONTH(E1424,0)+1,-2,1,FERIADOS!$A$2:$A$250),"SÍ","NO")</x:f>
        <x:v>NO</x:v>
      </x:c>
      <x:c r="G1424" s="10" t="n">
        <x:f>IF(F1424="SÍ",EOMONTH(E1424,0)+1,DATE(YEAR(E1424),MONTH(E1424),1))</x:f>
        <x:v>47058</x:v>
      </x:c>
      <x:c r="H1424" t="str">
        <x:f>IF(D1424="NO",IF(C1424="SÍ","FERIADO","FIN DE SEMANA"),"LABORABLE")&amp;IF(F1424="SÍ"," + CIERRE","")</x:f>
        <x:v>LABORABLE</x:v>
      </x:c>
      <x:c r="I1424" t="str">
        <x:f>TEXT(G1424,"yyyy-mm")</x:f>
        <x:v>2028-11</x:v>
      </x:c>
    </x:row>
    <x:row r="1425" ht="19" customHeight="1">
      <x:c r="A1425" s="2" t="n">
        <x:v>47081</x:v>
      </x:c>
      <x:c r="B1425" t="str">
        <x:f>CHOOSE(WEEKDAY(A1425,2),"Lunes","Martes","Miércoles","Jueves","Viernes","Sábado","Domingo")</x:f>
        <x:v>Viernes</x:v>
      </x:c>
      <x:c r="C1425" t="str">
        <x:f>IF(COUNTIF(FERIADOS!$A$2:$A$250,A1425)&gt;0,"SÍ","NO")</x:f>
        <x:v>NO</x:v>
      </x:c>
      <x:c r="D1425" t="str">
        <x:f>IF(AND(WEEKDAY(A1425,2)&lt;=5,C1425="NO"),"SÍ","NO")</x:f>
        <x:v>SÍ</x:v>
      </x:c>
      <x:c r="E1425" s="2" t="n">
        <x:f>WORKDAY.INTL(A1425-1,1,1,FERIADOS!$A$2:$A$250)</x:f>
        <x:v>47081</x:v>
      </x:c>
      <x:c r="F1425" t="str">
        <x:f>IF(E1425&gt;=WORKDAY.INTL(EOMONTH(E1425,0)+1,-2,1,FERIADOS!$A$2:$A$250),"SÍ","NO")</x:f>
        <x:v>NO</x:v>
      </x:c>
      <x:c r="G1425" s="10" t="n">
        <x:f>IF(F1425="SÍ",EOMONTH(E1425,0)+1,DATE(YEAR(E1425),MONTH(E1425),1))</x:f>
        <x:v>47058</x:v>
      </x:c>
      <x:c r="H1425" t="str">
        <x:f>IF(D1425="NO",IF(C1425="SÍ","FERIADO","FIN DE SEMANA"),"LABORABLE")&amp;IF(F1425="SÍ"," + CIERRE","")</x:f>
        <x:v>LABORABLE</x:v>
      </x:c>
      <x:c r="I1425" t="str">
        <x:f>TEXT(G1425,"yyyy-mm")</x:f>
        <x:v>2028-11</x:v>
      </x:c>
    </x:row>
    <x:row r="1426" ht="19" customHeight="1">
      <x:c r="A1426" s="2" t="n">
        <x:v>47082</x:v>
      </x:c>
      <x:c r="B1426" t="str">
        <x:f>CHOOSE(WEEKDAY(A1426,2),"Lunes","Martes","Miércoles","Jueves","Viernes","Sábado","Domingo")</x:f>
        <x:v>Sábado</x:v>
      </x:c>
      <x:c r="C1426" t="str">
        <x:f>IF(COUNTIF(FERIADOS!$A$2:$A$250,A1426)&gt;0,"SÍ","NO")</x:f>
        <x:v>NO</x:v>
      </x:c>
      <x:c r="D1426" t="str">
        <x:f>IF(AND(WEEKDAY(A1426,2)&lt;=5,C1426="NO"),"SÍ","NO")</x:f>
        <x:v>NO</x:v>
      </x:c>
      <x:c r="E1426" s="2" t="n">
        <x:f>WORKDAY.INTL(A1426-1,1,1,FERIADOS!$A$2:$A$250)</x:f>
        <x:v>47084</x:v>
      </x:c>
      <x:c r="F1426" t="str">
        <x:f>IF(E1426&gt;=WORKDAY.INTL(EOMONTH(E1426,0)+1,-2,1,FERIADOS!$A$2:$A$250),"SÍ","NO")</x:f>
        <x:v>NO</x:v>
      </x:c>
      <x:c r="G1426" s="10" t="n">
        <x:f>IF(F1426="SÍ",EOMONTH(E1426,0)+1,DATE(YEAR(E1426),MONTH(E1426),1))</x:f>
        <x:v>47058</x:v>
      </x:c>
      <x:c r="H1426" t="str">
        <x:f>IF(D1426="NO",IF(C1426="SÍ","FERIADO","FIN DE SEMANA"),"LABORABLE")&amp;IF(F1426="SÍ"," + CIERRE","")</x:f>
        <x:v>FIN DE SEMANA</x:v>
      </x:c>
      <x:c r="I1426" t="str">
        <x:f>TEXT(G1426,"yyyy-mm")</x:f>
        <x:v>2028-11</x:v>
      </x:c>
    </x:row>
    <x:row r="1427" ht="19" customHeight="1">
      <x:c r="A1427" s="2" t="n">
        <x:v>47083</x:v>
      </x:c>
      <x:c r="B1427" t="str">
        <x:f>CHOOSE(WEEKDAY(A1427,2),"Lunes","Martes","Miércoles","Jueves","Viernes","Sábado","Domingo")</x:f>
        <x:v>Domingo</x:v>
      </x:c>
      <x:c r="C1427" t="str">
        <x:f>IF(COUNTIF(FERIADOS!$A$2:$A$250,A1427)&gt;0,"SÍ","NO")</x:f>
        <x:v>NO</x:v>
      </x:c>
      <x:c r="D1427" t="str">
        <x:f>IF(AND(WEEKDAY(A1427,2)&lt;=5,C1427="NO"),"SÍ","NO")</x:f>
        <x:v>NO</x:v>
      </x:c>
      <x:c r="E1427" s="2" t="n">
        <x:f>WORKDAY.INTL(A1427-1,1,1,FERIADOS!$A$2:$A$250)</x:f>
        <x:v>47084</x:v>
      </x:c>
      <x:c r="F1427" t="str">
        <x:f>IF(E1427&gt;=WORKDAY.INTL(EOMONTH(E1427,0)+1,-2,1,FERIADOS!$A$2:$A$250),"SÍ","NO")</x:f>
        <x:v>NO</x:v>
      </x:c>
      <x:c r="G1427" s="10" t="n">
        <x:f>IF(F1427="SÍ",EOMONTH(E1427,0)+1,DATE(YEAR(E1427),MONTH(E1427),1))</x:f>
        <x:v>47058</x:v>
      </x:c>
      <x:c r="H1427" t="str">
        <x:f>IF(D1427="NO",IF(C1427="SÍ","FERIADO","FIN DE SEMANA"),"LABORABLE")&amp;IF(F1427="SÍ"," + CIERRE","")</x:f>
        <x:v>FIN DE SEMANA</x:v>
      </x:c>
      <x:c r="I1427" t="str">
        <x:f>TEXT(G1427,"yyyy-mm")</x:f>
        <x:v>2028-11</x:v>
      </x:c>
    </x:row>
    <x:row r="1428" ht="19" customHeight="1">
      <x:c r="A1428" s="2" t="n">
        <x:v>47084</x:v>
      </x:c>
      <x:c r="B1428" t="str">
        <x:f>CHOOSE(WEEKDAY(A1428,2),"Lunes","Martes","Miércoles","Jueves","Viernes","Sábado","Domingo")</x:f>
        <x:v>Lunes</x:v>
      </x:c>
      <x:c r="C1428" t="str">
        <x:f>IF(COUNTIF(FERIADOS!$A$2:$A$250,A1428)&gt;0,"SÍ","NO")</x:f>
        <x:v>NO</x:v>
      </x:c>
      <x:c r="D1428" t="str">
        <x:f>IF(AND(WEEKDAY(A1428,2)&lt;=5,C1428="NO"),"SÍ","NO")</x:f>
        <x:v>SÍ</x:v>
      </x:c>
      <x:c r="E1428" s="2" t="n">
        <x:f>WORKDAY.INTL(A1428-1,1,1,FERIADOS!$A$2:$A$250)</x:f>
        <x:v>47084</x:v>
      </x:c>
      <x:c r="F1428" t="str">
        <x:f>IF(E1428&gt;=WORKDAY.INTL(EOMONTH(E1428,0)+1,-2,1,FERIADOS!$A$2:$A$250),"SÍ","NO")</x:f>
        <x:v>NO</x:v>
      </x:c>
      <x:c r="G1428" s="10" t="n">
        <x:f>IF(F1428="SÍ",EOMONTH(E1428,0)+1,DATE(YEAR(E1428),MONTH(E1428),1))</x:f>
        <x:v>47058</x:v>
      </x:c>
      <x:c r="H1428" t="str">
        <x:f>IF(D1428="NO",IF(C1428="SÍ","FERIADO","FIN DE SEMANA"),"LABORABLE")&amp;IF(F1428="SÍ"," + CIERRE","")</x:f>
        <x:v>LABORABLE</x:v>
      </x:c>
      <x:c r="I1428" t="str">
        <x:f>TEXT(G1428,"yyyy-mm")</x:f>
        <x:v>2028-11</x:v>
      </x:c>
    </x:row>
    <x:row r="1429" ht="19" customHeight="1">
      <x:c r="A1429" s="2" t="n">
        <x:v>47085</x:v>
      </x:c>
      <x:c r="B1429" t="str">
        <x:f>CHOOSE(WEEKDAY(A1429,2),"Lunes","Martes","Miércoles","Jueves","Viernes","Sábado","Domingo")</x:f>
        <x:v>Martes</x:v>
      </x:c>
      <x:c r="C1429" t="str">
        <x:f>IF(COUNTIF(FERIADOS!$A$2:$A$250,A1429)&gt;0,"SÍ","NO")</x:f>
        <x:v>NO</x:v>
      </x:c>
      <x:c r="D1429" t="str">
        <x:f>IF(AND(WEEKDAY(A1429,2)&lt;=5,C1429="NO"),"SÍ","NO")</x:f>
        <x:v>SÍ</x:v>
      </x:c>
      <x:c r="E1429" s="2" t="n">
        <x:f>WORKDAY.INTL(A1429-1,1,1,FERIADOS!$A$2:$A$250)</x:f>
        <x:v>47085</x:v>
      </x:c>
      <x:c r="F1429" t="str">
        <x:f>IF(E1429&gt;=WORKDAY.INTL(EOMONTH(E1429,0)+1,-2,1,FERIADOS!$A$2:$A$250),"SÍ","NO")</x:f>
        <x:v>NO</x:v>
      </x:c>
      <x:c r="G1429" s="10" t="n">
        <x:f>IF(F1429="SÍ",EOMONTH(E1429,0)+1,DATE(YEAR(E1429),MONTH(E1429),1))</x:f>
        <x:v>47058</x:v>
      </x:c>
      <x:c r="H1429" t="str">
        <x:f>IF(D1429="NO",IF(C1429="SÍ","FERIADO","FIN DE SEMANA"),"LABORABLE")&amp;IF(F1429="SÍ"," + CIERRE","")</x:f>
        <x:v>LABORABLE</x:v>
      </x:c>
      <x:c r="I1429" t="str">
        <x:f>TEXT(G1429,"yyyy-mm")</x:f>
        <x:v>2028-11</x:v>
      </x:c>
    </x:row>
    <x:row r="1430" ht="19" customHeight="1">
      <x:c r="A1430" s="2" t="n">
        <x:v>47086</x:v>
      </x:c>
      <x:c r="B1430" t="str">
        <x:f>CHOOSE(WEEKDAY(A1430,2),"Lunes","Martes","Miércoles","Jueves","Viernes","Sábado","Domingo")</x:f>
        <x:v>Miércoles</x:v>
      </x:c>
      <x:c r="C1430" t="str">
        <x:f>IF(COUNTIF(FERIADOS!$A$2:$A$250,A1430)&gt;0,"SÍ","NO")</x:f>
        <x:v>NO</x:v>
      </x:c>
      <x:c r="D1430" t="str">
        <x:f>IF(AND(WEEKDAY(A1430,2)&lt;=5,C1430="NO"),"SÍ","NO")</x:f>
        <x:v>SÍ</x:v>
      </x:c>
      <x:c r="E1430" s="2" t="n">
        <x:f>WORKDAY.INTL(A1430-1,1,1,FERIADOS!$A$2:$A$250)</x:f>
        <x:v>47086</x:v>
      </x:c>
      <x:c r="F1430" t="str">
        <x:f>IF(E1430&gt;=WORKDAY.INTL(EOMONTH(E1430,0)+1,-2,1,FERIADOS!$A$2:$A$250),"SÍ","NO")</x:f>
        <x:v>SÍ</x:v>
      </x:c>
      <x:c r="G1430" s="10" t="n">
        <x:f>IF(F1430="SÍ",EOMONTH(E1430,0)+1,DATE(YEAR(E1430),MONTH(E1430),1))</x:f>
        <x:v>47088</x:v>
      </x:c>
      <x:c r="H1430" t="str">
        <x:f>IF(D1430="NO",IF(C1430="SÍ","FERIADO","FIN DE SEMANA"),"LABORABLE")&amp;IF(F1430="SÍ"," + CIERRE","")</x:f>
        <x:v>LABORABLE + CIERRE</x:v>
      </x:c>
      <x:c r="I1430" t="str">
        <x:f>TEXT(G1430,"yyyy-mm")</x:f>
        <x:v>2028-12</x:v>
      </x:c>
    </x:row>
    <x:row r="1431" ht="19" customHeight="1">
      <x:c r="A1431" s="2" t="n">
        <x:v>47087</x:v>
      </x:c>
      <x:c r="B1431" t="str">
        <x:f>CHOOSE(WEEKDAY(A1431,2),"Lunes","Martes","Miércoles","Jueves","Viernes","Sábado","Domingo")</x:f>
        <x:v>Jueves</x:v>
      </x:c>
      <x:c r="C1431" t="str">
        <x:f>IF(COUNTIF(FERIADOS!$A$2:$A$250,A1431)&gt;0,"SÍ","NO")</x:f>
        <x:v>NO</x:v>
      </x:c>
      <x:c r="D1431" t="str">
        <x:f>IF(AND(WEEKDAY(A1431,2)&lt;=5,C1431="NO"),"SÍ","NO")</x:f>
        <x:v>SÍ</x:v>
      </x:c>
      <x:c r="E1431" s="2" t="n">
        <x:f>WORKDAY.INTL(A1431-1,1,1,FERIADOS!$A$2:$A$250)</x:f>
        <x:v>47087</x:v>
      </x:c>
      <x:c r="F1431" t="str">
        <x:f>IF(E1431&gt;=WORKDAY.INTL(EOMONTH(E1431,0)+1,-2,1,FERIADOS!$A$2:$A$250),"SÍ","NO")</x:f>
        <x:v>SÍ</x:v>
      </x:c>
      <x:c r="G1431" s="10" t="n">
        <x:f>IF(F1431="SÍ",EOMONTH(E1431,0)+1,DATE(YEAR(E1431),MONTH(E1431),1))</x:f>
        <x:v>47088</x:v>
      </x:c>
      <x:c r="H1431" t="str">
        <x:f>IF(D1431="NO",IF(C1431="SÍ","FERIADO","FIN DE SEMANA"),"LABORABLE")&amp;IF(F1431="SÍ"," + CIERRE","")</x:f>
        <x:v>LABORABLE + CIERRE</x:v>
      </x:c>
      <x:c r="I1431" t="str">
        <x:f>TEXT(G1431,"yyyy-mm")</x:f>
        <x:v>2028-12</x:v>
      </x:c>
    </x:row>
    <x:row r="1432" ht="19" customHeight="1">
      <x:c r="A1432" s="2" t="n">
        <x:v>47088</x:v>
      </x:c>
      <x:c r="B1432" t="str">
        <x:f>CHOOSE(WEEKDAY(A1432,2),"Lunes","Martes","Miércoles","Jueves","Viernes","Sábado","Domingo")</x:f>
        <x:v>Viernes</x:v>
      </x:c>
      <x:c r="C1432" t="str">
        <x:f>IF(COUNTIF(FERIADOS!$A$2:$A$250,A1432)&gt;0,"SÍ","NO")</x:f>
        <x:v>NO</x:v>
      </x:c>
      <x:c r="D1432" t="str">
        <x:f>IF(AND(WEEKDAY(A1432,2)&lt;=5,C1432="NO"),"SÍ","NO")</x:f>
        <x:v>SÍ</x:v>
      </x:c>
      <x:c r="E1432" s="2" t="n">
        <x:f>WORKDAY.INTL(A1432-1,1,1,FERIADOS!$A$2:$A$250)</x:f>
        <x:v>47088</x:v>
      </x:c>
      <x:c r="F1432" t="str">
        <x:f>IF(E1432&gt;=WORKDAY.INTL(EOMONTH(E1432,0)+1,-2,1,FERIADOS!$A$2:$A$250),"SÍ","NO")</x:f>
        <x:v>NO</x:v>
      </x:c>
      <x:c r="G1432" s="10" t="n">
        <x:f>IF(F1432="SÍ",EOMONTH(E1432,0)+1,DATE(YEAR(E1432),MONTH(E1432),1))</x:f>
        <x:v>47088</x:v>
      </x:c>
      <x:c r="H1432" t="str">
        <x:f>IF(D1432="NO",IF(C1432="SÍ","FERIADO","FIN DE SEMANA"),"LABORABLE")&amp;IF(F1432="SÍ"," + CIERRE","")</x:f>
        <x:v>LABORABLE</x:v>
      </x:c>
      <x:c r="I1432" t="str">
        <x:f>TEXT(G1432,"yyyy-mm")</x:f>
        <x:v>2028-12</x:v>
      </x:c>
    </x:row>
    <x:row r="1433" ht="19" customHeight="1">
      <x:c r="A1433" s="2" t="n">
        <x:v>47089</x:v>
      </x:c>
      <x:c r="B1433" t="str">
        <x:f>CHOOSE(WEEKDAY(A1433,2),"Lunes","Martes","Miércoles","Jueves","Viernes","Sábado","Domingo")</x:f>
        <x:v>Sábado</x:v>
      </x:c>
      <x:c r="C1433" t="str">
        <x:f>IF(COUNTIF(FERIADOS!$A$2:$A$250,A1433)&gt;0,"SÍ","NO")</x:f>
        <x:v>NO</x:v>
      </x:c>
      <x:c r="D1433" t="str">
        <x:f>IF(AND(WEEKDAY(A1433,2)&lt;=5,C1433="NO"),"SÍ","NO")</x:f>
        <x:v>NO</x:v>
      </x:c>
      <x:c r="E1433" s="2" t="n">
        <x:f>WORKDAY.INTL(A1433-1,1,1,FERIADOS!$A$2:$A$250)</x:f>
        <x:v>47091</x:v>
      </x:c>
      <x:c r="F1433" t="str">
        <x:f>IF(E1433&gt;=WORKDAY.INTL(EOMONTH(E1433,0)+1,-2,1,FERIADOS!$A$2:$A$250),"SÍ","NO")</x:f>
        <x:v>NO</x:v>
      </x:c>
      <x:c r="G1433" s="10" t="n">
        <x:f>IF(F1433="SÍ",EOMONTH(E1433,0)+1,DATE(YEAR(E1433),MONTH(E1433),1))</x:f>
        <x:v>47088</x:v>
      </x:c>
      <x:c r="H1433" t="str">
        <x:f>IF(D1433="NO",IF(C1433="SÍ","FERIADO","FIN DE SEMANA"),"LABORABLE")&amp;IF(F1433="SÍ"," + CIERRE","")</x:f>
        <x:v>FIN DE SEMANA</x:v>
      </x:c>
      <x:c r="I1433" t="str">
        <x:f>TEXT(G1433,"yyyy-mm")</x:f>
        <x:v>2028-12</x:v>
      </x:c>
    </x:row>
    <x:row r="1434" ht="19" customHeight="1">
      <x:c r="A1434" s="2" t="n">
        <x:v>47090</x:v>
      </x:c>
      <x:c r="B1434" t="str">
        <x:f>CHOOSE(WEEKDAY(A1434,2),"Lunes","Martes","Miércoles","Jueves","Viernes","Sábado","Domingo")</x:f>
        <x:v>Domingo</x:v>
      </x:c>
      <x:c r="C1434" t="str">
        <x:f>IF(COUNTIF(FERIADOS!$A$2:$A$250,A1434)&gt;0,"SÍ","NO")</x:f>
        <x:v>NO</x:v>
      </x:c>
      <x:c r="D1434" t="str">
        <x:f>IF(AND(WEEKDAY(A1434,2)&lt;=5,C1434="NO"),"SÍ","NO")</x:f>
        <x:v>NO</x:v>
      </x:c>
      <x:c r="E1434" s="2" t="n">
        <x:f>WORKDAY.INTL(A1434-1,1,1,FERIADOS!$A$2:$A$250)</x:f>
        <x:v>47091</x:v>
      </x:c>
      <x:c r="F1434" t="str">
        <x:f>IF(E1434&gt;=WORKDAY.INTL(EOMONTH(E1434,0)+1,-2,1,FERIADOS!$A$2:$A$250),"SÍ","NO")</x:f>
        <x:v>NO</x:v>
      </x:c>
      <x:c r="G1434" s="10" t="n">
        <x:f>IF(F1434="SÍ",EOMONTH(E1434,0)+1,DATE(YEAR(E1434),MONTH(E1434),1))</x:f>
        <x:v>47088</x:v>
      </x:c>
      <x:c r="H1434" t="str">
        <x:f>IF(D1434="NO",IF(C1434="SÍ","FERIADO","FIN DE SEMANA"),"LABORABLE")&amp;IF(F1434="SÍ"," + CIERRE","")</x:f>
        <x:v>FIN DE SEMANA</x:v>
      </x:c>
      <x:c r="I1434" t="str">
        <x:f>TEXT(G1434,"yyyy-mm")</x:f>
        <x:v>2028-12</x:v>
      </x:c>
    </x:row>
    <x:row r="1435" ht="19" customHeight="1">
      <x:c r="A1435" s="2" t="n">
        <x:v>47091</x:v>
      </x:c>
      <x:c r="B1435" t="str">
        <x:f>CHOOSE(WEEKDAY(A1435,2),"Lunes","Martes","Miércoles","Jueves","Viernes","Sábado","Domingo")</x:f>
        <x:v>Lunes</x:v>
      </x:c>
      <x:c r="C1435" t="str">
        <x:f>IF(COUNTIF(FERIADOS!$A$2:$A$250,A1435)&gt;0,"SÍ","NO")</x:f>
        <x:v>NO</x:v>
      </x:c>
      <x:c r="D1435" t="str">
        <x:f>IF(AND(WEEKDAY(A1435,2)&lt;=5,C1435="NO"),"SÍ","NO")</x:f>
        <x:v>SÍ</x:v>
      </x:c>
      <x:c r="E1435" s="2" t="n">
        <x:f>WORKDAY.INTL(A1435-1,1,1,FERIADOS!$A$2:$A$250)</x:f>
        <x:v>47091</x:v>
      </x:c>
      <x:c r="F1435" t="str">
        <x:f>IF(E1435&gt;=WORKDAY.INTL(EOMONTH(E1435,0)+1,-2,1,FERIADOS!$A$2:$A$250),"SÍ","NO")</x:f>
        <x:v>NO</x:v>
      </x:c>
      <x:c r="G1435" s="10" t="n">
        <x:f>IF(F1435="SÍ",EOMONTH(E1435,0)+1,DATE(YEAR(E1435),MONTH(E1435),1))</x:f>
        <x:v>47088</x:v>
      </x:c>
      <x:c r="H1435" t="str">
        <x:f>IF(D1435="NO",IF(C1435="SÍ","FERIADO","FIN DE SEMANA"),"LABORABLE")&amp;IF(F1435="SÍ"," + CIERRE","")</x:f>
        <x:v>LABORABLE</x:v>
      </x:c>
      <x:c r="I1435" t="str">
        <x:f>TEXT(G1435,"yyyy-mm")</x:f>
        <x:v>2028-12</x:v>
      </x:c>
    </x:row>
    <x:row r="1436" ht="19" customHeight="1">
      <x:c r="A1436" s="2" t="n">
        <x:v>47092</x:v>
      </x:c>
      <x:c r="B1436" t="str">
        <x:f>CHOOSE(WEEKDAY(A1436,2),"Lunes","Martes","Miércoles","Jueves","Viernes","Sábado","Domingo")</x:f>
        <x:v>Martes</x:v>
      </x:c>
      <x:c r="C1436" t="str">
        <x:f>IF(COUNTIF(FERIADOS!$A$2:$A$250,A1436)&gt;0,"SÍ","NO")</x:f>
        <x:v>NO</x:v>
      </x:c>
      <x:c r="D1436" t="str">
        <x:f>IF(AND(WEEKDAY(A1436,2)&lt;=5,C1436="NO"),"SÍ","NO")</x:f>
        <x:v>SÍ</x:v>
      </x:c>
      <x:c r="E1436" s="2" t="n">
        <x:f>WORKDAY.INTL(A1436-1,1,1,FERIADOS!$A$2:$A$250)</x:f>
        <x:v>47092</x:v>
      </x:c>
      <x:c r="F1436" t="str">
        <x:f>IF(E1436&gt;=WORKDAY.INTL(EOMONTH(E1436,0)+1,-2,1,FERIADOS!$A$2:$A$250),"SÍ","NO")</x:f>
        <x:v>NO</x:v>
      </x:c>
      <x:c r="G1436" s="10" t="n">
        <x:f>IF(F1436="SÍ",EOMONTH(E1436,0)+1,DATE(YEAR(E1436),MONTH(E1436),1))</x:f>
        <x:v>47088</x:v>
      </x:c>
      <x:c r="H1436" t="str">
        <x:f>IF(D1436="NO",IF(C1436="SÍ","FERIADO","FIN DE SEMANA"),"LABORABLE")&amp;IF(F1436="SÍ"," + CIERRE","")</x:f>
        <x:v>LABORABLE</x:v>
      </x:c>
      <x:c r="I1436" t="str">
        <x:f>TEXT(G1436,"yyyy-mm")</x:f>
        <x:v>2028-12</x:v>
      </x:c>
    </x:row>
    <x:row r="1437" ht="19" customHeight="1">
      <x:c r="A1437" s="2" t="n">
        <x:v>47093</x:v>
      </x:c>
      <x:c r="B1437" t="str">
        <x:f>CHOOSE(WEEKDAY(A1437,2),"Lunes","Martes","Miércoles","Jueves","Viernes","Sábado","Domingo")</x:f>
        <x:v>Miércoles</x:v>
      </x:c>
      <x:c r="C1437" t="str">
        <x:f>IF(COUNTIF(FERIADOS!$A$2:$A$250,A1437)&gt;0,"SÍ","NO")</x:f>
        <x:v>NO</x:v>
      </x:c>
      <x:c r="D1437" t="str">
        <x:f>IF(AND(WEEKDAY(A1437,2)&lt;=5,C1437="NO"),"SÍ","NO")</x:f>
        <x:v>SÍ</x:v>
      </x:c>
      <x:c r="E1437" s="2" t="n">
        <x:f>WORKDAY.INTL(A1437-1,1,1,FERIADOS!$A$2:$A$250)</x:f>
        <x:v>47093</x:v>
      </x:c>
      <x:c r="F1437" t="str">
        <x:f>IF(E1437&gt;=WORKDAY.INTL(EOMONTH(E1437,0)+1,-2,1,FERIADOS!$A$2:$A$250),"SÍ","NO")</x:f>
        <x:v>NO</x:v>
      </x:c>
      <x:c r="G1437" s="10" t="n">
        <x:f>IF(F1437="SÍ",EOMONTH(E1437,0)+1,DATE(YEAR(E1437),MONTH(E1437),1))</x:f>
        <x:v>47088</x:v>
      </x:c>
      <x:c r="H1437" t="str">
        <x:f>IF(D1437="NO",IF(C1437="SÍ","FERIADO","FIN DE SEMANA"),"LABORABLE")&amp;IF(F1437="SÍ"," + CIERRE","")</x:f>
        <x:v>LABORABLE</x:v>
      </x:c>
      <x:c r="I1437" t="str">
        <x:f>TEXT(G1437,"yyyy-mm")</x:f>
        <x:v>2028-12</x:v>
      </x:c>
    </x:row>
    <x:row r="1438" ht="19" customHeight="1">
      <x:c r="A1438" s="2" t="n">
        <x:v>47094</x:v>
      </x:c>
      <x:c r="B1438" t="str">
        <x:f>CHOOSE(WEEKDAY(A1438,2),"Lunes","Martes","Miércoles","Jueves","Viernes","Sábado","Domingo")</x:f>
        <x:v>Jueves</x:v>
      </x:c>
      <x:c r="C1438" t="str">
        <x:f>IF(COUNTIF(FERIADOS!$A$2:$A$250,A1438)&gt;0,"SÍ","NO")</x:f>
        <x:v>NO</x:v>
      </x:c>
      <x:c r="D1438" t="str">
        <x:f>IF(AND(WEEKDAY(A1438,2)&lt;=5,C1438="NO"),"SÍ","NO")</x:f>
        <x:v>SÍ</x:v>
      </x:c>
      <x:c r="E1438" s="2" t="n">
        <x:f>WORKDAY.INTL(A1438-1,1,1,FERIADOS!$A$2:$A$250)</x:f>
        <x:v>47094</x:v>
      </x:c>
      <x:c r="F1438" t="str">
        <x:f>IF(E1438&gt;=WORKDAY.INTL(EOMONTH(E1438,0)+1,-2,1,FERIADOS!$A$2:$A$250),"SÍ","NO")</x:f>
        <x:v>NO</x:v>
      </x:c>
      <x:c r="G1438" s="10" t="n">
        <x:f>IF(F1438="SÍ",EOMONTH(E1438,0)+1,DATE(YEAR(E1438),MONTH(E1438),1))</x:f>
        <x:v>47088</x:v>
      </x:c>
      <x:c r="H1438" t="str">
        <x:f>IF(D1438="NO",IF(C1438="SÍ","FERIADO","FIN DE SEMANA"),"LABORABLE")&amp;IF(F1438="SÍ"," + CIERRE","")</x:f>
        <x:v>LABORABLE</x:v>
      </x:c>
      <x:c r="I1438" t="str">
        <x:f>TEXT(G1438,"yyyy-mm")</x:f>
        <x:v>2028-12</x:v>
      </x:c>
    </x:row>
    <x:row r="1439" ht="19" customHeight="1">
      <x:c r="A1439" s="2" t="n">
        <x:v>47095</x:v>
      </x:c>
      <x:c r="B1439" t="str">
        <x:f>CHOOSE(WEEKDAY(A1439,2),"Lunes","Martes","Miércoles","Jueves","Viernes","Sábado","Domingo")</x:f>
        <x:v>Viernes</x:v>
      </x:c>
      <x:c r="C1439" t="str">
        <x:f>IF(COUNTIF(FERIADOS!$A$2:$A$250,A1439)&gt;0,"SÍ","NO")</x:f>
        <x:v>NO</x:v>
      </x:c>
      <x:c r="D1439" t="str">
        <x:f>IF(AND(WEEKDAY(A1439,2)&lt;=5,C1439="NO"),"SÍ","NO")</x:f>
        <x:v>SÍ</x:v>
      </x:c>
      <x:c r="E1439" s="2" t="n">
        <x:f>WORKDAY.INTL(A1439-1,1,1,FERIADOS!$A$2:$A$250)</x:f>
        <x:v>47095</x:v>
      </x:c>
      <x:c r="F1439" t="str">
        <x:f>IF(E1439&gt;=WORKDAY.INTL(EOMONTH(E1439,0)+1,-2,1,FERIADOS!$A$2:$A$250),"SÍ","NO")</x:f>
        <x:v>NO</x:v>
      </x:c>
      <x:c r="G1439" s="10" t="n">
        <x:f>IF(F1439="SÍ",EOMONTH(E1439,0)+1,DATE(YEAR(E1439),MONTH(E1439),1))</x:f>
        <x:v>47088</x:v>
      </x:c>
      <x:c r="H1439" t="str">
        <x:f>IF(D1439="NO",IF(C1439="SÍ","FERIADO","FIN DE SEMANA"),"LABORABLE")&amp;IF(F1439="SÍ"," + CIERRE","")</x:f>
        <x:v>LABORABLE</x:v>
      </x:c>
      <x:c r="I1439" t="str">
        <x:f>TEXT(G1439,"yyyy-mm")</x:f>
        <x:v>2028-12</x:v>
      </x:c>
    </x:row>
    <x:row r="1440" ht="19" customHeight="1">
      <x:c r="A1440" s="2" t="n">
        <x:v>47096</x:v>
      </x:c>
      <x:c r="B1440" t="str">
        <x:f>CHOOSE(WEEKDAY(A1440,2),"Lunes","Martes","Miércoles","Jueves","Viernes","Sábado","Domingo")</x:f>
        <x:v>Sábado</x:v>
      </x:c>
      <x:c r="C1440" t="str">
        <x:f>IF(COUNTIF(FERIADOS!$A$2:$A$250,A1440)&gt;0,"SÍ","NO")</x:f>
        <x:v>NO</x:v>
      </x:c>
      <x:c r="D1440" t="str">
        <x:f>IF(AND(WEEKDAY(A1440,2)&lt;=5,C1440="NO"),"SÍ","NO")</x:f>
        <x:v>NO</x:v>
      </x:c>
      <x:c r="E1440" s="2" t="n">
        <x:f>WORKDAY.INTL(A1440-1,1,1,FERIADOS!$A$2:$A$250)</x:f>
        <x:v>47098</x:v>
      </x:c>
      <x:c r="F1440" t="str">
        <x:f>IF(E1440&gt;=WORKDAY.INTL(EOMONTH(E1440,0)+1,-2,1,FERIADOS!$A$2:$A$250),"SÍ","NO")</x:f>
        <x:v>NO</x:v>
      </x:c>
      <x:c r="G1440" s="10" t="n">
        <x:f>IF(F1440="SÍ",EOMONTH(E1440,0)+1,DATE(YEAR(E1440),MONTH(E1440),1))</x:f>
        <x:v>47088</x:v>
      </x:c>
      <x:c r="H1440" t="str">
        <x:f>IF(D1440="NO",IF(C1440="SÍ","FERIADO","FIN DE SEMANA"),"LABORABLE")&amp;IF(F1440="SÍ"," + CIERRE","")</x:f>
        <x:v>FIN DE SEMANA</x:v>
      </x:c>
      <x:c r="I1440" t="str">
        <x:f>TEXT(G1440,"yyyy-mm")</x:f>
        <x:v>2028-12</x:v>
      </x:c>
    </x:row>
    <x:row r="1441" ht="19" customHeight="1">
      <x:c r="A1441" s="2" t="n">
        <x:v>47097</x:v>
      </x:c>
      <x:c r="B1441" t="str">
        <x:f>CHOOSE(WEEKDAY(A1441,2),"Lunes","Martes","Miércoles","Jueves","Viernes","Sábado","Domingo")</x:f>
        <x:v>Domingo</x:v>
      </x:c>
      <x:c r="C1441" t="str">
        <x:f>IF(COUNTIF(FERIADOS!$A$2:$A$250,A1441)&gt;0,"SÍ","NO")</x:f>
        <x:v>NO</x:v>
      </x:c>
      <x:c r="D1441" t="str">
        <x:f>IF(AND(WEEKDAY(A1441,2)&lt;=5,C1441="NO"),"SÍ","NO")</x:f>
        <x:v>NO</x:v>
      </x:c>
      <x:c r="E1441" s="2" t="n">
        <x:f>WORKDAY.INTL(A1441-1,1,1,FERIADOS!$A$2:$A$250)</x:f>
        <x:v>47098</x:v>
      </x:c>
      <x:c r="F1441" t="str">
        <x:f>IF(E1441&gt;=WORKDAY.INTL(EOMONTH(E1441,0)+1,-2,1,FERIADOS!$A$2:$A$250),"SÍ","NO")</x:f>
        <x:v>NO</x:v>
      </x:c>
      <x:c r="G1441" s="10" t="n">
        <x:f>IF(F1441="SÍ",EOMONTH(E1441,0)+1,DATE(YEAR(E1441),MONTH(E1441),1))</x:f>
        <x:v>47088</x:v>
      </x:c>
      <x:c r="H1441" t="str">
        <x:f>IF(D1441="NO",IF(C1441="SÍ","FERIADO","FIN DE SEMANA"),"LABORABLE")&amp;IF(F1441="SÍ"," + CIERRE","")</x:f>
        <x:v>FIN DE SEMANA</x:v>
      </x:c>
      <x:c r="I1441" t="str">
        <x:f>TEXT(G1441,"yyyy-mm")</x:f>
        <x:v>2028-12</x:v>
      </x:c>
    </x:row>
    <x:row r="1442" ht="19" customHeight="1">
      <x:c r="A1442" s="2" t="n">
        <x:v>47098</x:v>
      </x:c>
      <x:c r="B1442" t="str">
        <x:f>CHOOSE(WEEKDAY(A1442,2),"Lunes","Martes","Miércoles","Jueves","Viernes","Sábado","Domingo")</x:f>
        <x:v>Lunes</x:v>
      </x:c>
      <x:c r="C1442" t="str">
        <x:f>IF(COUNTIF(FERIADOS!$A$2:$A$250,A1442)&gt;0,"SÍ","NO")</x:f>
        <x:v>NO</x:v>
      </x:c>
      <x:c r="D1442" t="str">
        <x:f>IF(AND(WEEKDAY(A1442,2)&lt;=5,C1442="NO"),"SÍ","NO")</x:f>
        <x:v>SÍ</x:v>
      </x:c>
      <x:c r="E1442" s="2" t="n">
        <x:f>WORKDAY.INTL(A1442-1,1,1,FERIADOS!$A$2:$A$250)</x:f>
        <x:v>47098</x:v>
      </x:c>
      <x:c r="F1442" t="str">
        <x:f>IF(E1442&gt;=WORKDAY.INTL(EOMONTH(E1442,0)+1,-2,1,FERIADOS!$A$2:$A$250),"SÍ","NO")</x:f>
        <x:v>NO</x:v>
      </x:c>
      <x:c r="G1442" s="10" t="n">
        <x:f>IF(F1442="SÍ",EOMONTH(E1442,0)+1,DATE(YEAR(E1442),MONTH(E1442),1))</x:f>
        <x:v>47088</x:v>
      </x:c>
      <x:c r="H1442" t="str">
        <x:f>IF(D1442="NO",IF(C1442="SÍ","FERIADO","FIN DE SEMANA"),"LABORABLE")&amp;IF(F1442="SÍ"," + CIERRE","")</x:f>
        <x:v>LABORABLE</x:v>
      </x:c>
      <x:c r="I1442" t="str">
        <x:f>TEXT(G1442,"yyyy-mm")</x:f>
        <x:v>2028-12</x:v>
      </x:c>
    </x:row>
    <x:row r="1443" ht="19" customHeight="1">
      <x:c r="A1443" s="2" t="n">
        <x:v>47099</x:v>
      </x:c>
      <x:c r="B1443" t="str">
        <x:f>CHOOSE(WEEKDAY(A1443,2),"Lunes","Martes","Miércoles","Jueves","Viernes","Sábado","Domingo")</x:f>
        <x:v>Martes</x:v>
      </x:c>
      <x:c r="C1443" t="str">
        <x:f>IF(COUNTIF(FERIADOS!$A$2:$A$250,A1443)&gt;0,"SÍ","NO")</x:f>
        <x:v>NO</x:v>
      </x:c>
      <x:c r="D1443" t="str">
        <x:f>IF(AND(WEEKDAY(A1443,2)&lt;=5,C1443="NO"),"SÍ","NO")</x:f>
        <x:v>SÍ</x:v>
      </x:c>
      <x:c r="E1443" s="2" t="n">
        <x:f>WORKDAY.INTL(A1443-1,1,1,FERIADOS!$A$2:$A$250)</x:f>
        <x:v>47099</x:v>
      </x:c>
      <x:c r="F1443" t="str">
        <x:f>IF(E1443&gt;=WORKDAY.INTL(EOMONTH(E1443,0)+1,-2,1,FERIADOS!$A$2:$A$250),"SÍ","NO")</x:f>
        <x:v>NO</x:v>
      </x:c>
      <x:c r="G1443" s="10" t="n">
        <x:f>IF(F1443="SÍ",EOMONTH(E1443,0)+1,DATE(YEAR(E1443),MONTH(E1443),1))</x:f>
        <x:v>47088</x:v>
      </x:c>
      <x:c r="H1443" t="str">
        <x:f>IF(D1443="NO",IF(C1443="SÍ","FERIADO","FIN DE SEMANA"),"LABORABLE")&amp;IF(F1443="SÍ"," + CIERRE","")</x:f>
        <x:v>LABORABLE</x:v>
      </x:c>
      <x:c r="I1443" t="str">
        <x:f>TEXT(G1443,"yyyy-mm")</x:f>
        <x:v>2028-12</x:v>
      </x:c>
    </x:row>
    <x:row r="1444" ht="19" customHeight="1">
      <x:c r="A1444" s="2" t="n">
        <x:v>47100</x:v>
      </x:c>
      <x:c r="B1444" t="str">
        <x:f>CHOOSE(WEEKDAY(A1444,2),"Lunes","Martes","Miércoles","Jueves","Viernes","Sábado","Domingo")</x:f>
        <x:v>Miércoles</x:v>
      </x:c>
      <x:c r="C1444" t="str">
        <x:f>IF(COUNTIF(FERIADOS!$A$2:$A$250,A1444)&gt;0,"SÍ","NO")</x:f>
        <x:v>NO</x:v>
      </x:c>
      <x:c r="D1444" t="str">
        <x:f>IF(AND(WEEKDAY(A1444,2)&lt;=5,C1444="NO"),"SÍ","NO")</x:f>
        <x:v>SÍ</x:v>
      </x:c>
      <x:c r="E1444" s="2" t="n">
        <x:f>WORKDAY.INTL(A1444-1,1,1,FERIADOS!$A$2:$A$250)</x:f>
        <x:v>47100</x:v>
      </x:c>
      <x:c r="F1444" t="str">
        <x:f>IF(E1444&gt;=WORKDAY.INTL(EOMONTH(E1444,0)+1,-2,1,FERIADOS!$A$2:$A$250),"SÍ","NO")</x:f>
        <x:v>NO</x:v>
      </x:c>
      <x:c r="G1444" s="10" t="n">
        <x:f>IF(F1444="SÍ",EOMONTH(E1444,0)+1,DATE(YEAR(E1444),MONTH(E1444),1))</x:f>
        <x:v>47088</x:v>
      </x:c>
      <x:c r="H1444" t="str">
        <x:f>IF(D1444="NO",IF(C1444="SÍ","FERIADO","FIN DE SEMANA"),"LABORABLE")&amp;IF(F1444="SÍ"," + CIERRE","")</x:f>
        <x:v>LABORABLE</x:v>
      </x:c>
      <x:c r="I1444" t="str">
        <x:f>TEXT(G1444,"yyyy-mm")</x:f>
        <x:v>2028-12</x:v>
      </x:c>
    </x:row>
    <x:row r="1445" ht="19" customHeight="1">
      <x:c r="A1445" s="2" t="n">
        <x:v>47101</x:v>
      </x:c>
      <x:c r="B1445" t="str">
        <x:f>CHOOSE(WEEKDAY(A1445,2),"Lunes","Martes","Miércoles","Jueves","Viernes","Sábado","Domingo")</x:f>
        <x:v>Jueves</x:v>
      </x:c>
      <x:c r="C1445" t="str">
        <x:f>IF(COUNTIF(FERIADOS!$A$2:$A$250,A1445)&gt;0,"SÍ","NO")</x:f>
        <x:v>NO</x:v>
      </x:c>
      <x:c r="D1445" t="str">
        <x:f>IF(AND(WEEKDAY(A1445,2)&lt;=5,C1445="NO"),"SÍ","NO")</x:f>
        <x:v>SÍ</x:v>
      </x:c>
      <x:c r="E1445" s="2" t="n">
        <x:f>WORKDAY.INTL(A1445-1,1,1,FERIADOS!$A$2:$A$250)</x:f>
        <x:v>47101</x:v>
      </x:c>
      <x:c r="F1445" t="str">
        <x:f>IF(E1445&gt;=WORKDAY.INTL(EOMONTH(E1445,0)+1,-2,1,FERIADOS!$A$2:$A$250),"SÍ","NO")</x:f>
        <x:v>NO</x:v>
      </x:c>
      <x:c r="G1445" s="10" t="n">
        <x:f>IF(F1445="SÍ",EOMONTH(E1445,0)+1,DATE(YEAR(E1445),MONTH(E1445),1))</x:f>
        <x:v>47088</x:v>
      </x:c>
      <x:c r="H1445" t="str">
        <x:f>IF(D1445="NO",IF(C1445="SÍ","FERIADO","FIN DE SEMANA"),"LABORABLE")&amp;IF(F1445="SÍ"," + CIERRE","")</x:f>
        <x:v>LABORABLE</x:v>
      </x:c>
      <x:c r="I1445" t="str">
        <x:f>TEXT(G1445,"yyyy-mm")</x:f>
        <x:v>2028-12</x:v>
      </x:c>
    </x:row>
    <x:row r="1446" ht="19" customHeight="1">
      <x:c r="A1446" s="2" t="n">
        <x:v>47102</x:v>
      </x:c>
      <x:c r="B1446" t="str">
        <x:f>CHOOSE(WEEKDAY(A1446,2),"Lunes","Martes","Miércoles","Jueves","Viernes","Sábado","Domingo")</x:f>
        <x:v>Viernes</x:v>
      </x:c>
      <x:c r="C1446" t="str">
        <x:f>IF(COUNTIF(FERIADOS!$A$2:$A$250,A1446)&gt;0,"SÍ","NO")</x:f>
        <x:v>NO</x:v>
      </x:c>
      <x:c r="D1446" t="str">
        <x:f>IF(AND(WEEKDAY(A1446,2)&lt;=5,C1446="NO"),"SÍ","NO")</x:f>
        <x:v>SÍ</x:v>
      </x:c>
      <x:c r="E1446" s="2" t="n">
        <x:f>WORKDAY.INTL(A1446-1,1,1,FERIADOS!$A$2:$A$250)</x:f>
        <x:v>47102</x:v>
      </x:c>
      <x:c r="F1446" t="str">
        <x:f>IF(E1446&gt;=WORKDAY.INTL(EOMONTH(E1446,0)+1,-2,1,FERIADOS!$A$2:$A$250),"SÍ","NO")</x:f>
        <x:v>NO</x:v>
      </x:c>
      <x:c r="G1446" s="10" t="n">
        <x:f>IF(F1446="SÍ",EOMONTH(E1446,0)+1,DATE(YEAR(E1446),MONTH(E1446),1))</x:f>
        <x:v>47088</x:v>
      </x:c>
      <x:c r="H1446" t="str">
        <x:f>IF(D1446="NO",IF(C1446="SÍ","FERIADO","FIN DE SEMANA"),"LABORABLE")&amp;IF(F1446="SÍ"," + CIERRE","")</x:f>
        <x:v>LABORABLE</x:v>
      </x:c>
      <x:c r="I1446" t="str">
        <x:f>TEXT(G1446,"yyyy-mm")</x:f>
        <x:v>2028-12</x:v>
      </x:c>
    </x:row>
    <x:row r="1447" ht="19" customHeight="1">
      <x:c r="A1447" s="2" t="n">
        <x:v>47103</x:v>
      </x:c>
      <x:c r="B1447" t="str">
        <x:f>CHOOSE(WEEKDAY(A1447,2),"Lunes","Martes","Miércoles","Jueves","Viernes","Sábado","Domingo")</x:f>
        <x:v>Sábado</x:v>
      </x:c>
      <x:c r="C1447" t="str">
        <x:f>IF(COUNTIF(FERIADOS!$A$2:$A$250,A1447)&gt;0,"SÍ","NO")</x:f>
        <x:v>NO</x:v>
      </x:c>
      <x:c r="D1447" t="str">
        <x:f>IF(AND(WEEKDAY(A1447,2)&lt;=5,C1447="NO"),"SÍ","NO")</x:f>
        <x:v>NO</x:v>
      </x:c>
      <x:c r="E1447" s="2" t="n">
        <x:f>WORKDAY.INTL(A1447-1,1,1,FERIADOS!$A$2:$A$250)</x:f>
        <x:v>47105</x:v>
      </x:c>
      <x:c r="F1447" t="str">
        <x:f>IF(E1447&gt;=WORKDAY.INTL(EOMONTH(E1447,0)+1,-2,1,FERIADOS!$A$2:$A$250),"SÍ","NO")</x:f>
        <x:v>NO</x:v>
      </x:c>
      <x:c r="G1447" s="10" t="n">
        <x:f>IF(F1447="SÍ",EOMONTH(E1447,0)+1,DATE(YEAR(E1447),MONTH(E1447),1))</x:f>
        <x:v>47088</x:v>
      </x:c>
      <x:c r="H1447" t="str">
        <x:f>IF(D1447="NO",IF(C1447="SÍ","FERIADO","FIN DE SEMANA"),"LABORABLE")&amp;IF(F1447="SÍ"," + CIERRE","")</x:f>
        <x:v>FIN DE SEMANA</x:v>
      </x:c>
      <x:c r="I1447" t="str">
        <x:f>TEXT(G1447,"yyyy-mm")</x:f>
        <x:v>2028-12</x:v>
      </x:c>
    </x:row>
    <x:row r="1448" ht="19" customHeight="1">
      <x:c r="A1448" s="2" t="n">
        <x:v>47104</x:v>
      </x:c>
      <x:c r="B1448" t="str">
        <x:f>CHOOSE(WEEKDAY(A1448,2),"Lunes","Martes","Miércoles","Jueves","Viernes","Sábado","Domingo")</x:f>
        <x:v>Domingo</x:v>
      </x:c>
      <x:c r="C1448" t="str">
        <x:f>IF(COUNTIF(FERIADOS!$A$2:$A$250,A1448)&gt;0,"SÍ","NO")</x:f>
        <x:v>NO</x:v>
      </x:c>
      <x:c r="D1448" t="str">
        <x:f>IF(AND(WEEKDAY(A1448,2)&lt;=5,C1448="NO"),"SÍ","NO")</x:f>
        <x:v>NO</x:v>
      </x:c>
      <x:c r="E1448" s="2" t="n">
        <x:f>WORKDAY.INTL(A1448-1,1,1,FERIADOS!$A$2:$A$250)</x:f>
        <x:v>47105</x:v>
      </x:c>
      <x:c r="F1448" t="str">
        <x:f>IF(E1448&gt;=WORKDAY.INTL(EOMONTH(E1448,0)+1,-2,1,FERIADOS!$A$2:$A$250),"SÍ","NO")</x:f>
        <x:v>NO</x:v>
      </x:c>
      <x:c r="G1448" s="10" t="n">
        <x:f>IF(F1448="SÍ",EOMONTH(E1448,0)+1,DATE(YEAR(E1448),MONTH(E1448),1))</x:f>
        <x:v>47088</x:v>
      </x:c>
      <x:c r="H1448" t="str">
        <x:f>IF(D1448="NO",IF(C1448="SÍ","FERIADO","FIN DE SEMANA"),"LABORABLE")&amp;IF(F1448="SÍ"," + CIERRE","")</x:f>
        <x:v>FIN DE SEMANA</x:v>
      </x:c>
      <x:c r="I1448" t="str">
        <x:f>TEXT(G1448,"yyyy-mm")</x:f>
        <x:v>2028-12</x:v>
      </x:c>
    </x:row>
    <x:row r="1449" ht="19" customHeight="1">
      <x:c r="A1449" s="2" t="n">
        <x:v>47105</x:v>
      </x:c>
      <x:c r="B1449" t="str">
        <x:f>CHOOSE(WEEKDAY(A1449,2),"Lunes","Martes","Miércoles","Jueves","Viernes","Sábado","Domingo")</x:f>
        <x:v>Lunes</x:v>
      </x:c>
      <x:c r="C1449" t="str">
        <x:f>IF(COUNTIF(FERIADOS!$A$2:$A$250,A1449)&gt;0,"SÍ","NO")</x:f>
        <x:v>NO</x:v>
      </x:c>
      <x:c r="D1449" t="str">
        <x:f>IF(AND(WEEKDAY(A1449,2)&lt;=5,C1449="NO"),"SÍ","NO")</x:f>
        <x:v>SÍ</x:v>
      </x:c>
      <x:c r="E1449" s="2" t="n">
        <x:f>WORKDAY.INTL(A1449-1,1,1,FERIADOS!$A$2:$A$250)</x:f>
        <x:v>47105</x:v>
      </x:c>
      <x:c r="F1449" t="str">
        <x:f>IF(E1449&gt;=WORKDAY.INTL(EOMONTH(E1449,0)+1,-2,1,FERIADOS!$A$2:$A$250),"SÍ","NO")</x:f>
        <x:v>NO</x:v>
      </x:c>
      <x:c r="G1449" s="10" t="n">
        <x:f>IF(F1449="SÍ",EOMONTH(E1449,0)+1,DATE(YEAR(E1449),MONTH(E1449),1))</x:f>
        <x:v>47088</x:v>
      </x:c>
      <x:c r="H1449" t="str">
        <x:f>IF(D1449="NO",IF(C1449="SÍ","FERIADO","FIN DE SEMANA"),"LABORABLE")&amp;IF(F1449="SÍ"," + CIERRE","")</x:f>
        <x:v>LABORABLE</x:v>
      </x:c>
      <x:c r="I1449" t="str">
        <x:f>TEXT(G1449,"yyyy-mm")</x:f>
        <x:v>2028-12</x:v>
      </x:c>
    </x:row>
    <x:row r="1450" ht="19" customHeight="1">
      <x:c r="A1450" s="2" t="n">
        <x:v>47106</x:v>
      </x:c>
      <x:c r="B1450" t="str">
        <x:f>CHOOSE(WEEKDAY(A1450,2),"Lunes","Martes","Miércoles","Jueves","Viernes","Sábado","Domingo")</x:f>
        <x:v>Martes</x:v>
      </x:c>
      <x:c r="C1450" t="str">
        <x:f>IF(COUNTIF(FERIADOS!$A$2:$A$250,A1450)&gt;0,"SÍ","NO")</x:f>
        <x:v>NO</x:v>
      </x:c>
      <x:c r="D1450" t="str">
        <x:f>IF(AND(WEEKDAY(A1450,2)&lt;=5,C1450="NO"),"SÍ","NO")</x:f>
        <x:v>SÍ</x:v>
      </x:c>
      <x:c r="E1450" s="2" t="n">
        <x:f>WORKDAY.INTL(A1450-1,1,1,FERIADOS!$A$2:$A$250)</x:f>
        <x:v>47106</x:v>
      </x:c>
      <x:c r="F1450" t="str">
        <x:f>IF(E1450&gt;=WORKDAY.INTL(EOMONTH(E1450,0)+1,-2,1,FERIADOS!$A$2:$A$250),"SÍ","NO")</x:f>
        <x:v>NO</x:v>
      </x:c>
      <x:c r="G1450" s="10" t="n">
        <x:f>IF(F1450="SÍ",EOMONTH(E1450,0)+1,DATE(YEAR(E1450),MONTH(E1450),1))</x:f>
        <x:v>47088</x:v>
      </x:c>
      <x:c r="H1450" t="str">
        <x:f>IF(D1450="NO",IF(C1450="SÍ","FERIADO","FIN DE SEMANA"),"LABORABLE")&amp;IF(F1450="SÍ"," + CIERRE","")</x:f>
        <x:v>LABORABLE</x:v>
      </x:c>
      <x:c r="I1450" t="str">
        <x:f>TEXT(G1450,"yyyy-mm")</x:f>
        <x:v>2028-12</x:v>
      </x:c>
    </x:row>
    <x:row r="1451" ht="19" customHeight="1">
      <x:c r="A1451" s="2" t="n">
        <x:v>47107</x:v>
      </x:c>
      <x:c r="B1451" t="str">
        <x:f>CHOOSE(WEEKDAY(A1451,2),"Lunes","Martes","Miércoles","Jueves","Viernes","Sábado","Domingo")</x:f>
        <x:v>Miércoles</x:v>
      </x:c>
      <x:c r="C1451" t="str">
        <x:f>IF(COUNTIF(FERIADOS!$A$2:$A$250,A1451)&gt;0,"SÍ","NO")</x:f>
        <x:v>NO</x:v>
      </x:c>
      <x:c r="D1451" t="str">
        <x:f>IF(AND(WEEKDAY(A1451,2)&lt;=5,C1451="NO"),"SÍ","NO")</x:f>
        <x:v>SÍ</x:v>
      </x:c>
      <x:c r="E1451" s="2" t="n">
        <x:f>WORKDAY.INTL(A1451-1,1,1,FERIADOS!$A$2:$A$250)</x:f>
        <x:v>47107</x:v>
      </x:c>
      <x:c r="F1451" t="str">
        <x:f>IF(E1451&gt;=WORKDAY.INTL(EOMONTH(E1451,0)+1,-2,1,FERIADOS!$A$2:$A$250),"SÍ","NO")</x:f>
        <x:v>NO</x:v>
      </x:c>
      <x:c r="G1451" s="10" t="n">
        <x:f>IF(F1451="SÍ",EOMONTH(E1451,0)+1,DATE(YEAR(E1451),MONTH(E1451),1))</x:f>
        <x:v>47088</x:v>
      </x:c>
      <x:c r="H1451" t="str">
        <x:f>IF(D1451="NO",IF(C1451="SÍ","FERIADO","FIN DE SEMANA"),"LABORABLE")&amp;IF(F1451="SÍ"," + CIERRE","")</x:f>
        <x:v>LABORABLE</x:v>
      </x:c>
      <x:c r="I1451" t="str">
        <x:f>TEXT(G1451,"yyyy-mm")</x:f>
        <x:v>2028-12</x:v>
      </x:c>
    </x:row>
    <x:row r="1452" ht="19" customHeight="1">
      <x:c r="A1452" s="2" t="n">
        <x:v>47108</x:v>
      </x:c>
      <x:c r="B1452" t="str">
        <x:f>CHOOSE(WEEKDAY(A1452,2),"Lunes","Martes","Miércoles","Jueves","Viernes","Sábado","Domingo")</x:f>
        <x:v>Jueves</x:v>
      </x:c>
      <x:c r="C1452" t="str">
        <x:f>IF(COUNTIF(FERIADOS!$A$2:$A$250,A1452)&gt;0,"SÍ","NO")</x:f>
        <x:v>NO</x:v>
      </x:c>
      <x:c r="D1452" t="str">
        <x:f>IF(AND(WEEKDAY(A1452,2)&lt;=5,C1452="NO"),"SÍ","NO")</x:f>
        <x:v>SÍ</x:v>
      </x:c>
      <x:c r="E1452" s="2" t="n">
        <x:f>WORKDAY.INTL(A1452-1,1,1,FERIADOS!$A$2:$A$250)</x:f>
        <x:v>47108</x:v>
      </x:c>
      <x:c r="F1452" t="str">
        <x:f>IF(E1452&gt;=WORKDAY.INTL(EOMONTH(E1452,0)+1,-2,1,FERIADOS!$A$2:$A$250),"SÍ","NO")</x:f>
        <x:v>NO</x:v>
      </x:c>
      <x:c r="G1452" s="10" t="n">
        <x:f>IF(F1452="SÍ",EOMONTH(E1452,0)+1,DATE(YEAR(E1452),MONTH(E1452),1))</x:f>
        <x:v>47088</x:v>
      </x:c>
      <x:c r="H1452" t="str">
        <x:f>IF(D1452="NO",IF(C1452="SÍ","FERIADO","FIN DE SEMANA"),"LABORABLE")&amp;IF(F1452="SÍ"," + CIERRE","")</x:f>
        <x:v>LABORABLE</x:v>
      </x:c>
      <x:c r="I1452" t="str">
        <x:f>TEXT(G1452,"yyyy-mm")</x:f>
        <x:v>2028-12</x:v>
      </x:c>
    </x:row>
    <x:row r="1453" ht="19" customHeight="1">
      <x:c r="A1453" s="2" t="n">
        <x:v>47109</x:v>
      </x:c>
      <x:c r="B1453" t="str">
        <x:f>CHOOSE(WEEKDAY(A1453,2),"Lunes","Martes","Miércoles","Jueves","Viernes","Sábado","Domingo")</x:f>
        <x:v>Viernes</x:v>
      </x:c>
      <x:c r="C1453" t="str">
        <x:f>IF(COUNTIF(FERIADOS!$A$2:$A$250,A1453)&gt;0,"SÍ","NO")</x:f>
        <x:v>NO</x:v>
      </x:c>
      <x:c r="D1453" t="str">
        <x:f>IF(AND(WEEKDAY(A1453,2)&lt;=5,C1453="NO"),"SÍ","NO")</x:f>
        <x:v>SÍ</x:v>
      </x:c>
      <x:c r="E1453" s="2" t="n">
        <x:f>WORKDAY.INTL(A1453-1,1,1,FERIADOS!$A$2:$A$250)</x:f>
        <x:v>47109</x:v>
      </x:c>
      <x:c r="F1453" t="str">
        <x:f>IF(E1453&gt;=WORKDAY.INTL(EOMONTH(E1453,0)+1,-2,1,FERIADOS!$A$2:$A$250),"SÍ","NO")</x:f>
        <x:v>NO</x:v>
      </x:c>
      <x:c r="G1453" s="10" t="n">
        <x:f>IF(F1453="SÍ",EOMONTH(E1453,0)+1,DATE(YEAR(E1453),MONTH(E1453),1))</x:f>
        <x:v>47088</x:v>
      </x:c>
      <x:c r="H1453" t="str">
        <x:f>IF(D1453="NO",IF(C1453="SÍ","FERIADO","FIN DE SEMANA"),"LABORABLE")&amp;IF(F1453="SÍ"," + CIERRE","")</x:f>
        <x:v>LABORABLE</x:v>
      </x:c>
      <x:c r="I1453" t="str">
        <x:f>TEXT(G1453,"yyyy-mm")</x:f>
        <x:v>2028-12</x:v>
      </x:c>
    </x:row>
    <x:row r="1454" ht="19" customHeight="1">
      <x:c r="A1454" s="2" t="n">
        <x:v>47110</x:v>
      </x:c>
      <x:c r="B1454" t="str">
        <x:f>CHOOSE(WEEKDAY(A1454,2),"Lunes","Martes","Miércoles","Jueves","Viernes","Sábado","Domingo")</x:f>
        <x:v>Sábado</x:v>
      </x:c>
      <x:c r="C1454" t="str">
        <x:f>IF(COUNTIF(FERIADOS!$A$2:$A$250,A1454)&gt;0,"SÍ","NO")</x:f>
        <x:v>NO</x:v>
      </x:c>
      <x:c r="D1454" t="str">
        <x:f>IF(AND(WEEKDAY(A1454,2)&lt;=5,C1454="NO"),"SÍ","NO")</x:f>
        <x:v>NO</x:v>
      </x:c>
      <x:c r="E1454" s="2" t="n">
        <x:f>WORKDAY.INTL(A1454-1,1,1,FERIADOS!$A$2:$A$250)</x:f>
        <x:v>47113</x:v>
      </x:c>
      <x:c r="F1454" t="str">
        <x:f>IF(E1454&gt;=WORKDAY.INTL(EOMONTH(E1454,0)+1,-2,1,FERIADOS!$A$2:$A$250),"SÍ","NO")</x:f>
        <x:v>NO</x:v>
      </x:c>
      <x:c r="G1454" s="10" t="n">
        <x:f>IF(F1454="SÍ",EOMONTH(E1454,0)+1,DATE(YEAR(E1454),MONTH(E1454),1))</x:f>
        <x:v>47088</x:v>
      </x:c>
      <x:c r="H1454" t="str">
        <x:f>IF(D1454="NO",IF(C1454="SÍ","FERIADO","FIN DE SEMANA"),"LABORABLE")&amp;IF(F1454="SÍ"," + CIERRE","")</x:f>
        <x:v>FIN DE SEMANA</x:v>
      </x:c>
      <x:c r="I1454" t="str">
        <x:f>TEXT(G1454,"yyyy-mm")</x:f>
        <x:v>2028-12</x:v>
      </x:c>
    </x:row>
    <x:row r="1455" ht="19" customHeight="1">
      <x:c r="A1455" s="2" t="n">
        <x:v>47111</x:v>
      </x:c>
      <x:c r="B1455" t="str">
        <x:f>CHOOSE(WEEKDAY(A1455,2),"Lunes","Martes","Miércoles","Jueves","Viernes","Sábado","Domingo")</x:f>
        <x:v>Domingo</x:v>
      </x:c>
      <x:c r="C1455" t="str">
        <x:f>IF(COUNTIF(FERIADOS!$A$2:$A$250,A1455)&gt;0,"SÍ","NO")</x:f>
        <x:v>NO</x:v>
      </x:c>
      <x:c r="D1455" t="str">
        <x:f>IF(AND(WEEKDAY(A1455,2)&lt;=5,C1455="NO"),"SÍ","NO")</x:f>
        <x:v>NO</x:v>
      </x:c>
      <x:c r="E1455" s="2" t="n">
        <x:f>WORKDAY.INTL(A1455-1,1,1,FERIADOS!$A$2:$A$250)</x:f>
        <x:v>47113</x:v>
      </x:c>
      <x:c r="F1455" t="str">
        <x:f>IF(E1455&gt;=WORKDAY.INTL(EOMONTH(E1455,0)+1,-2,1,FERIADOS!$A$2:$A$250),"SÍ","NO")</x:f>
        <x:v>NO</x:v>
      </x:c>
      <x:c r="G1455" s="10" t="n">
        <x:f>IF(F1455="SÍ",EOMONTH(E1455,0)+1,DATE(YEAR(E1455),MONTH(E1455),1))</x:f>
        <x:v>47088</x:v>
      </x:c>
      <x:c r="H1455" t="str">
        <x:f>IF(D1455="NO",IF(C1455="SÍ","FERIADO","FIN DE SEMANA"),"LABORABLE")&amp;IF(F1455="SÍ"," + CIERRE","")</x:f>
        <x:v>FIN DE SEMANA</x:v>
      </x:c>
      <x:c r="I1455" t="str">
        <x:f>TEXT(G1455,"yyyy-mm")</x:f>
        <x:v>2028-12</x:v>
      </x:c>
    </x:row>
    <x:row r="1456" ht="19" customHeight="1">
      <x:c r="A1456" s="2" t="n">
        <x:v>47112</x:v>
      </x:c>
      <x:c r="B1456" t="str">
        <x:f>CHOOSE(WEEKDAY(A1456,2),"Lunes","Martes","Miércoles","Jueves","Viernes","Sábado","Domingo")</x:f>
        <x:v>Lunes</x:v>
      </x:c>
      <x:c r="C1456" t="str">
        <x:f>IF(COUNTIF(FERIADOS!$A$2:$A$250,A1456)&gt;0,"SÍ","NO")</x:f>
        <x:v>SÍ</x:v>
      </x:c>
      <x:c r="D1456" t="str">
        <x:f>IF(AND(WEEKDAY(A1456,2)&lt;=5,C1456="NO"),"SÍ","NO")</x:f>
        <x:v>NO</x:v>
      </x:c>
      <x:c r="E1456" s="2" t="n">
        <x:f>WORKDAY.INTL(A1456-1,1,1,FERIADOS!$A$2:$A$250)</x:f>
        <x:v>47113</x:v>
      </x:c>
      <x:c r="F1456" t="str">
        <x:f>IF(E1456&gt;=WORKDAY.INTL(EOMONTH(E1456,0)+1,-2,1,FERIADOS!$A$2:$A$250),"SÍ","NO")</x:f>
        <x:v>NO</x:v>
      </x:c>
      <x:c r="G1456" s="10" t="n">
        <x:f>IF(F1456="SÍ",EOMONTH(E1456,0)+1,DATE(YEAR(E1456),MONTH(E1456),1))</x:f>
        <x:v>47088</x:v>
      </x:c>
      <x:c r="H1456" t="str">
        <x:f>IF(D1456="NO",IF(C1456="SÍ","FERIADO","FIN DE SEMANA"),"LABORABLE")&amp;IF(F1456="SÍ"," + CIERRE","")</x:f>
        <x:v>FERIADO</x:v>
      </x:c>
      <x:c r="I1456" t="str">
        <x:f>TEXT(G1456,"yyyy-mm")</x:f>
        <x:v>2028-12</x:v>
      </x:c>
    </x:row>
    <x:row r="1457" ht="19" customHeight="1">
      <x:c r="A1457" s="2" t="n">
        <x:v>47113</x:v>
      </x:c>
      <x:c r="B1457" t="str">
        <x:f>CHOOSE(WEEKDAY(A1457,2),"Lunes","Martes","Miércoles","Jueves","Viernes","Sábado","Domingo")</x:f>
        <x:v>Martes</x:v>
      </x:c>
      <x:c r="C1457" t="str">
        <x:f>IF(COUNTIF(FERIADOS!$A$2:$A$250,A1457)&gt;0,"SÍ","NO")</x:f>
        <x:v>NO</x:v>
      </x:c>
      <x:c r="D1457" t="str">
        <x:f>IF(AND(WEEKDAY(A1457,2)&lt;=5,C1457="NO"),"SÍ","NO")</x:f>
        <x:v>SÍ</x:v>
      </x:c>
      <x:c r="E1457" s="2" t="n">
        <x:f>WORKDAY.INTL(A1457-1,1,1,FERIADOS!$A$2:$A$250)</x:f>
        <x:v>47113</x:v>
      </x:c>
      <x:c r="F1457" t="str">
        <x:f>IF(E1457&gt;=WORKDAY.INTL(EOMONTH(E1457,0)+1,-2,1,FERIADOS!$A$2:$A$250),"SÍ","NO")</x:f>
        <x:v>NO</x:v>
      </x:c>
      <x:c r="G1457" s="10" t="n">
        <x:f>IF(F1457="SÍ",EOMONTH(E1457,0)+1,DATE(YEAR(E1457),MONTH(E1457),1))</x:f>
        <x:v>47088</x:v>
      </x:c>
      <x:c r="H1457" t="str">
        <x:f>IF(D1457="NO",IF(C1457="SÍ","FERIADO","FIN DE SEMANA"),"LABORABLE")&amp;IF(F1457="SÍ"," + CIERRE","")</x:f>
        <x:v>LABORABLE</x:v>
      </x:c>
      <x:c r="I1457" t="str">
        <x:f>TEXT(G1457,"yyyy-mm")</x:f>
        <x:v>2028-12</x:v>
      </x:c>
    </x:row>
    <x:row r="1458" ht="19" customHeight="1">
      <x:c r="A1458" s="2" t="n">
        <x:v>47114</x:v>
      </x:c>
      <x:c r="B1458" t="str">
        <x:f>CHOOSE(WEEKDAY(A1458,2),"Lunes","Martes","Miércoles","Jueves","Viernes","Sábado","Domingo")</x:f>
        <x:v>Miércoles</x:v>
      </x:c>
      <x:c r="C1458" t="str">
        <x:f>IF(COUNTIF(FERIADOS!$A$2:$A$250,A1458)&gt;0,"SÍ","NO")</x:f>
        <x:v>NO</x:v>
      </x:c>
      <x:c r="D1458" t="str">
        <x:f>IF(AND(WEEKDAY(A1458,2)&lt;=5,C1458="NO"),"SÍ","NO")</x:f>
        <x:v>SÍ</x:v>
      </x:c>
      <x:c r="E1458" s="2" t="n">
        <x:f>WORKDAY.INTL(A1458-1,1,1,FERIADOS!$A$2:$A$250)</x:f>
        <x:v>47114</x:v>
      </x:c>
      <x:c r="F1458" t="str">
        <x:f>IF(E1458&gt;=WORKDAY.INTL(EOMONTH(E1458,0)+1,-2,1,FERIADOS!$A$2:$A$250),"SÍ","NO")</x:f>
        <x:v>NO</x:v>
      </x:c>
      <x:c r="G1458" s="10" t="n">
        <x:f>IF(F1458="SÍ",EOMONTH(E1458,0)+1,DATE(YEAR(E1458),MONTH(E1458),1))</x:f>
        <x:v>47088</x:v>
      </x:c>
      <x:c r="H1458" t="str">
        <x:f>IF(D1458="NO",IF(C1458="SÍ","FERIADO","FIN DE SEMANA"),"LABORABLE")&amp;IF(F1458="SÍ"," + CIERRE","")</x:f>
        <x:v>LABORABLE</x:v>
      </x:c>
      <x:c r="I1458" t="str">
        <x:f>TEXT(G1458,"yyyy-mm")</x:f>
        <x:v>2028-12</x:v>
      </x:c>
    </x:row>
    <x:row r="1459" ht="19" customHeight="1">
      <x:c r="A1459" s="2" t="n">
        <x:v>47115</x:v>
      </x:c>
      <x:c r="B1459" t="str">
        <x:f>CHOOSE(WEEKDAY(A1459,2),"Lunes","Martes","Miércoles","Jueves","Viernes","Sábado","Domingo")</x:f>
        <x:v>Jueves</x:v>
      </x:c>
      <x:c r="C1459" t="str">
        <x:f>IF(COUNTIF(FERIADOS!$A$2:$A$250,A1459)&gt;0,"SÍ","NO")</x:f>
        <x:v>NO</x:v>
      </x:c>
      <x:c r="D1459" t="str">
        <x:f>IF(AND(WEEKDAY(A1459,2)&lt;=5,C1459="NO"),"SÍ","NO")</x:f>
        <x:v>SÍ</x:v>
      </x:c>
      <x:c r="E1459" s="2" t="n">
        <x:f>WORKDAY.INTL(A1459-1,1,1,FERIADOS!$A$2:$A$250)</x:f>
        <x:v>47115</x:v>
      </x:c>
      <x:c r="F1459" t="str">
        <x:f>IF(E1459&gt;=WORKDAY.INTL(EOMONTH(E1459,0)+1,-2,1,FERIADOS!$A$2:$A$250),"SÍ","NO")</x:f>
        <x:v>SÍ</x:v>
      </x:c>
      <x:c r="G1459" s="10" t="n">
        <x:f>IF(F1459="SÍ",EOMONTH(E1459,0)+1,DATE(YEAR(E1459),MONTH(E1459),1))</x:f>
        <x:v>47119</x:v>
      </x:c>
      <x:c r="H1459" t="str">
        <x:f>IF(D1459="NO",IF(C1459="SÍ","FERIADO","FIN DE SEMANA"),"LABORABLE")&amp;IF(F1459="SÍ"," + CIERRE","")</x:f>
        <x:v>LABORABLE + CIERRE</x:v>
      </x:c>
      <x:c r="I1459" t="str">
        <x:f>TEXT(G1459,"yyyy-mm")</x:f>
        <x:v>2029-01</x:v>
      </x:c>
    </x:row>
    <x:row r="1460" ht="19" customHeight="1">
      <x:c r="A1460" s="2" t="n">
        <x:v>47116</x:v>
      </x:c>
      <x:c r="B1460" t="str">
        <x:f>CHOOSE(WEEKDAY(A1460,2),"Lunes","Martes","Miércoles","Jueves","Viernes","Sábado","Domingo")</x:f>
        <x:v>Viernes</x:v>
      </x:c>
      <x:c r="C1460" t="str">
        <x:f>IF(COUNTIF(FERIADOS!$A$2:$A$250,A1460)&gt;0,"SÍ","NO")</x:f>
        <x:v>NO</x:v>
      </x:c>
      <x:c r="D1460" t="str">
        <x:f>IF(AND(WEEKDAY(A1460,2)&lt;=5,C1460="NO"),"SÍ","NO")</x:f>
        <x:v>SÍ</x:v>
      </x:c>
      <x:c r="E1460" s="2" t="n">
        <x:f>WORKDAY.INTL(A1460-1,1,1,FERIADOS!$A$2:$A$250)</x:f>
        <x:v>47116</x:v>
      </x:c>
      <x:c r="F1460" t="str">
        <x:f>IF(E1460&gt;=WORKDAY.INTL(EOMONTH(E1460,0)+1,-2,1,FERIADOS!$A$2:$A$250),"SÍ","NO")</x:f>
        <x:v>SÍ</x:v>
      </x:c>
      <x:c r="G1460" s="10" t="n">
        <x:f>IF(F1460="SÍ",EOMONTH(E1460,0)+1,DATE(YEAR(E1460),MONTH(E1460),1))</x:f>
        <x:v>47119</x:v>
      </x:c>
      <x:c r="H1460" t="str">
        <x:f>IF(D1460="NO",IF(C1460="SÍ","FERIADO","FIN DE SEMANA"),"LABORABLE")&amp;IF(F1460="SÍ"," + CIERRE","")</x:f>
        <x:v>LABORABLE + CIERRE</x:v>
      </x:c>
      <x:c r="I1460" t="str">
        <x:f>TEXT(G1460,"yyyy-mm")</x:f>
        <x:v>2029-01</x:v>
      </x:c>
    </x:row>
    <x:row r="1461" ht="19" customHeight="1">
      <x:c r="A1461" s="2" t="n">
        <x:v>47117</x:v>
      </x:c>
      <x:c r="B1461" t="str">
        <x:f>CHOOSE(WEEKDAY(A1461,2),"Lunes","Martes","Miércoles","Jueves","Viernes","Sábado","Domingo")</x:f>
        <x:v>Sábado</x:v>
      </x:c>
      <x:c r="C1461" t="str">
        <x:f>IF(COUNTIF(FERIADOS!$A$2:$A$250,A1461)&gt;0,"SÍ","NO")</x:f>
        <x:v>NO</x:v>
      </x:c>
      <x:c r="D1461" t="str">
        <x:f>IF(AND(WEEKDAY(A1461,2)&lt;=5,C1461="NO"),"SÍ","NO")</x:f>
        <x:v>NO</x:v>
      </x:c>
      <x:c r="E1461" s="2" t="n">
        <x:f>WORKDAY.INTL(A1461-1,1,1,FERIADOS!$A$2:$A$250)</x:f>
        <x:v>47120</x:v>
      </x:c>
      <x:c r="F1461" t="str">
        <x:f>IF(E1461&gt;=WORKDAY.INTL(EOMONTH(E1461,0)+1,-2,1,FERIADOS!$A$2:$A$250),"SÍ","NO")</x:f>
        <x:v>NO</x:v>
      </x:c>
      <x:c r="G1461" s="10" t="n">
        <x:f>IF(F1461="SÍ",EOMONTH(E1461,0)+1,DATE(YEAR(E1461),MONTH(E1461),1))</x:f>
        <x:v>47119</x:v>
      </x:c>
      <x:c r="H1461" t="str">
        <x:f>IF(D1461="NO",IF(C1461="SÍ","FERIADO","FIN DE SEMANA"),"LABORABLE")&amp;IF(F1461="SÍ"," + CIERRE","")</x:f>
        <x:v>FIN DE SEMANA</x:v>
      </x:c>
      <x:c r="I1461" t="str">
        <x:f>TEXT(G1461,"yyyy-mm")</x:f>
        <x:v>2029-01</x:v>
      </x:c>
    </x:row>
    <x:row r="1462" ht="19" customHeight="1">
      <x:c r="A1462" s="2" t="n">
        <x:v>47118</x:v>
      </x:c>
      <x:c r="B1462" t="str">
        <x:f>CHOOSE(WEEKDAY(A1462,2),"Lunes","Martes","Miércoles","Jueves","Viernes","Sábado","Domingo")</x:f>
        <x:v>Domingo</x:v>
      </x:c>
      <x:c r="C1462" t="str">
        <x:f>IF(COUNTIF(FERIADOS!$A$2:$A$250,A1462)&gt;0,"SÍ","NO")</x:f>
        <x:v>NO</x:v>
      </x:c>
      <x:c r="D1462" t="str">
        <x:f>IF(AND(WEEKDAY(A1462,2)&lt;=5,C1462="NO"),"SÍ","NO")</x:f>
        <x:v>NO</x:v>
      </x:c>
      <x:c r="E1462" s="2" t="n">
        <x:f>WORKDAY.INTL(A1462-1,1,1,FERIADOS!$A$2:$A$250)</x:f>
        <x:v>47120</x:v>
      </x:c>
      <x:c r="F1462" t="str">
        <x:f>IF(E1462&gt;=WORKDAY.INTL(EOMONTH(E1462,0)+1,-2,1,FERIADOS!$A$2:$A$250),"SÍ","NO")</x:f>
        <x:v>NO</x:v>
      </x:c>
      <x:c r="G1462" s="10" t="n">
        <x:f>IF(F1462="SÍ",EOMONTH(E1462,0)+1,DATE(YEAR(E1462),MONTH(E1462),1))</x:f>
        <x:v>47119</x:v>
      </x:c>
      <x:c r="H1462" t="str">
        <x:f>IF(D1462="NO",IF(C1462="SÍ","FERIADO","FIN DE SEMANA"),"LABORABLE")&amp;IF(F1462="SÍ"," + CIERRE","")</x:f>
        <x:v>FIN DE SEMANA</x:v>
      </x:c>
      <x:c r="I1462" t="str">
        <x:f>TEXT(G1462,"yyyy-mm")</x:f>
        <x:v>2029-01</x:v>
      </x:c>
    </x:row>
    <x:row r="1463" ht="19" customHeight="1">
      <x:c r="A1463" s="2" t="n">
        <x:v>47119</x:v>
      </x:c>
      <x:c r="B1463" t="str">
        <x:f>CHOOSE(WEEKDAY(A1463,2),"Lunes","Martes","Miércoles","Jueves","Viernes","Sábado","Domingo")</x:f>
        <x:v>Lunes</x:v>
      </x:c>
      <x:c r="C1463" t="str">
        <x:f>IF(COUNTIF(FERIADOS!$A$2:$A$250,A1463)&gt;0,"SÍ","NO")</x:f>
        <x:v>SÍ</x:v>
      </x:c>
      <x:c r="D1463" t="str">
        <x:f>IF(AND(WEEKDAY(A1463,2)&lt;=5,C1463="NO"),"SÍ","NO")</x:f>
        <x:v>NO</x:v>
      </x:c>
      <x:c r="E1463" s="2" t="n">
        <x:f>WORKDAY.INTL(A1463-1,1,1,FERIADOS!$A$2:$A$250)</x:f>
        <x:v>47120</x:v>
      </x:c>
      <x:c r="F1463" t="str">
        <x:f>IF(E1463&gt;=WORKDAY.INTL(EOMONTH(E1463,0)+1,-2,1,FERIADOS!$A$2:$A$250),"SÍ","NO")</x:f>
        <x:v>NO</x:v>
      </x:c>
      <x:c r="G1463" s="10" t="n">
        <x:f>IF(F1463="SÍ",EOMONTH(E1463,0)+1,DATE(YEAR(E1463),MONTH(E1463),1))</x:f>
        <x:v>47119</x:v>
      </x:c>
      <x:c r="H1463" t="str">
        <x:f>IF(D1463="NO",IF(C1463="SÍ","FERIADO","FIN DE SEMANA"),"LABORABLE")&amp;IF(F1463="SÍ"," + CIERRE","")</x:f>
        <x:v>FERIADO</x:v>
      </x:c>
      <x:c r="I1463" t="str">
        <x:f>TEXT(G1463,"yyyy-mm")</x:f>
        <x:v>2029-01</x:v>
      </x:c>
    </x:row>
    <x:row r="1464" ht="19" customHeight="1">
      <x:c r="A1464" s="2" t="n">
        <x:v>47120</x:v>
      </x:c>
      <x:c r="B1464" t="str">
        <x:f>CHOOSE(WEEKDAY(A1464,2),"Lunes","Martes","Miércoles","Jueves","Viernes","Sábado","Domingo")</x:f>
        <x:v>Martes</x:v>
      </x:c>
      <x:c r="C1464" t="str">
        <x:f>IF(COUNTIF(FERIADOS!$A$2:$A$250,A1464)&gt;0,"SÍ","NO")</x:f>
        <x:v>NO</x:v>
      </x:c>
      <x:c r="D1464" t="str">
        <x:f>IF(AND(WEEKDAY(A1464,2)&lt;=5,C1464="NO"),"SÍ","NO")</x:f>
        <x:v>SÍ</x:v>
      </x:c>
      <x:c r="E1464" s="2" t="n">
        <x:f>WORKDAY.INTL(A1464-1,1,1,FERIADOS!$A$2:$A$250)</x:f>
        <x:v>47120</x:v>
      </x:c>
      <x:c r="F1464" t="str">
        <x:f>IF(E1464&gt;=WORKDAY.INTL(EOMONTH(E1464,0)+1,-2,1,FERIADOS!$A$2:$A$250),"SÍ","NO")</x:f>
        <x:v>NO</x:v>
      </x:c>
      <x:c r="G1464" s="10" t="n">
        <x:f>IF(F1464="SÍ",EOMONTH(E1464,0)+1,DATE(YEAR(E1464),MONTH(E1464),1))</x:f>
        <x:v>47119</x:v>
      </x:c>
      <x:c r="H1464" t="str">
        <x:f>IF(D1464="NO",IF(C1464="SÍ","FERIADO","FIN DE SEMANA"),"LABORABLE")&amp;IF(F1464="SÍ"," + CIERRE","")</x:f>
        <x:v>LABORABLE</x:v>
      </x:c>
      <x:c r="I1464" t="str">
        <x:f>TEXT(G1464,"yyyy-mm")</x:f>
        <x:v>2029-01</x:v>
      </x:c>
    </x:row>
    <x:row r="1465" ht="19" customHeight="1">
      <x:c r="A1465" s="2" t="n">
        <x:v>47121</x:v>
      </x:c>
      <x:c r="B1465" t="str">
        <x:f>CHOOSE(WEEKDAY(A1465,2),"Lunes","Martes","Miércoles","Jueves","Viernes","Sábado","Domingo")</x:f>
        <x:v>Miércoles</x:v>
      </x:c>
      <x:c r="C1465" t="str">
        <x:f>IF(COUNTIF(FERIADOS!$A$2:$A$250,A1465)&gt;0,"SÍ","NO")</x:f>
        <x:v>NO</x:v>
      </x:c>
      <x:c r="D1465" t="str">
        <x:f>IF(AND(WEEKDAY(A1465,2)&lt;=5,C1465="NO"),"SÍ","NO")</x:f>
        <x:v>SÍ</x:v>
      </x:c>
      <x:c r="E1465" s="2" t="n">
        <x:f>WORKDAY.INTL(A1465-1,1,1,FERIADOS!$A$2:$A$250)</x:f>
        <x:v>47121</x:v>
      </x:c>
      <x:c r="F1465" t="str">
        <x:f>IF(E1465&gt;=WORKDAY.INTL(EOMONTH(E1465,0)+1,-2,1,FERIADOS!$A$2:$A$250),"SÍ","NO")</x:f>
        <x:v>NO</x:v>
      </x:c>
      <x:c r="G1465" s="10" t="n">
        <x:f>IF(F1465="SÍ",EOMONTH(E1465,0)+1,DATE(YEAR(E1465),MONTH(E1465),1))</x:f>
        <x:v>47119</x:v>
      </x:c>
      <x:c r="H1465" t="str">
        <x:f>IF(D1465="NO",IF(C1465="SÍ","FERIADO","FIN DE SEMANA"),"LABORABLE")&amp;IF(F1465="SÍ"," + CIERRE","")</x:f>
        <x:v>LABORABLE</x:v>
      </x:c>
      <x:c r="I1465" t="str">
        <x:f>TEXT(G1465,"yyyy-mm")</x:f>
        <x:v>2029-01</x:v>
      </x:c>
    </x:row>
    <x:row r="1466" ht="19" customHeight="1">
      <x:c r="A1466" s="2" t="n">
        <x:v>47122</x:v>
      </x:c>
      <x:c r="B1466" t="str">
        <x:f>CHOOSE(WEEKDAY(A1466,2),"Lunes","Martes","Miércoles","Jueves","Viernes","Sábado","Domingo")</x:f>
        <x:v>Jueves</x:v>
      </x:c>
      <x:c r="C1466" t="str">
        <x:f>IF(COUNTIF(FERIADOS!$A$2:$A$250,A1466)&gt;0,"SÍ","NO")</x:f>
        <x:v>NO</x:v>
      </x:c>
      <x:c r="D1466" t="str">
        <x:f>IF(AND(WEEKDAY(A1466,2)&lt;=5,C1466="NO"),"SÍ","NO")</x:f>
        <x:v>SÍ</x:v>
      </x:c>
      <x:c r="E1466" s="2" t="n">
        <x:f>WORKDAY.INTL(A1466-1,1,1,FERIADOS!$A$2:$A$250)</x:f>
        <x:v>47122</x:v>
      </x:c>
      <x:c r="F1466" t="str">
        <x:f>IF(E1466&gt;=WORKDAY.INTL(EOMONTH(E1466,0)+1,-2,1,FERIADOS!$A$2:$A$250),"SÍ","NO")</x:f>
        <x:v>NO</x:v>
      </x:c>
      <x:c r="G1466" s="10" t="n">
        <x:f>IF(F1466="SÍ",EOMONTH(E1466,0)+1,DATE(YEAR(E1466),MONTH(E1466),1))</x:f>
        <x:v>47119</x:v>
      </x:c>
      <x:c r="H1466" t="str">
        <x:f>IF(D1466="NO",IF(C1466="SÍ","FERIADO","FIN DE SEMANA"),"LABORABLE")&amp;IF(F1466="SÍ"," + CIERRE","")</x:f>
        <x:v>LABORABLE</x:v>
      </x:c>
      <x:c r="I1466" t="str">
        <x:f>TEXT(G1466,"yyyy-mm")</x:f>
        <x:v>2029-01</x:v>
      </x:c>
    </x:row>
    <x:row r="1467" ht="19" customHeight="1">
      <x:c r="A1467" s="2" t="n">
        <x:v>47123</x:v>
      </x:c>
      <x:c r="B1467" t="str">
        <x:f>CHOOSE(WEEKDAY(A1467,2),"Lunes","Martes","Miércoles","Jueves","Viernes","Sábado","Domingo")</x:f>
        <x:v>Viernes</x:v>
      </x:c>
      <x:c r="C1467" t="str">
        <x:f>IF(COUNTIF(FERIADOS!$A$2:$A$250,A1467)&gt;0,"SÍ","NO")</x:f>
        <x:v>NO</x:v>
      </x:c>
      <x:c r="D1467" t="str">
        <x:f>IF(AND(WEEKDAY(A1467,2)&lt;=5,C1467="NO"),"SÍ","NO")</x:f>
        <x:v>SÍ</x:v>
      </x:c>
      <x:c r="E1467" s="2" t="n">
        <x:f>WORKDAY.INTL(A1467-1,1,1,FERIADOS!$A$2:$A$250)</x:f>
        <x:v>47123</x:v>
      </x:c>
      <x:c r="F1467" t="str">
        <x:f>IF(E1467&gt;=WORKDAY.INTL(EOMONTH(E1467,0)+1,-2,1,FERIADOS!$A$2:$A$250),"SÍ","NO")</x:f>
        <x:v>NO</x:v>
      </x:c>
      <x:c r="G1467" s="10" t="n">
        <x:f>IF(F1467="SÍ",EOMONTH(E1467,0)+1,DATE(YEAR(E1467),MONTH(E1467),1))</x:f>
        <x:v>47119</x:v>
      </x:c>
      <x:c r="H1467" t="str">
        <x:f>IF(D1467="NO",IF(C1467="SÍ","FERIADO","FIN DE SEMANA"),"LABORABLE")&amp;IF(F1467="SÍ"," + CIERRE","")</x:f>
        <x:v>LABORABLE</x:v>
      </x:c>
      <x:c r="I1467" t="str">
        <x:f>TEXT(G1467,"yyyy-mm")</x:f>
        <x:v>2029-01</x:v>
      </x:c>
    </x:row>
    <x:row r="1468" ht="19" customHeight="1">
      <x:c r="A1468" s="2" t="n">
        <x:v>47124</x:v>
      </x:c>
      <x:c r="B1468" t="str">
        <x:f>CHOOSE(WEEKDAY(A1468,2),"Lunes","Martes","Miércoles","Jueves","Viernes","Sábado","Domingo")</x:f>
        <x:v>Sábado</x:v>
      </x:c>
      <x:c r="C1468" t="str">
        <x:f>IF(COUNTIF(FERIADOS!$A$2:$A$250,A1468)&gt;0,"SÍ","NO")</x:f>
        <x:v>NO</x:v>
      </x:c>
      <x:c r="D1468" t="str">
        <x:f>IF(AND(WEEKDAY(A1468,2)&lt;=5,C1468="NO"),"SÍ","NO")</x:f>
        <x:v>NO</x:v>
      </x:c>
      <x:c r="E1468" s="2" t="n">
        <x:f>WORKDAY.INTL(A1468-1,1,1,FERIADOS!$A$2:$A$250)</x:f>
        <x:v>47126</x:v>
      </x:c>
      <x:c r="F1468" t="str">
        <x:f>IF(E1468&gt;=WORKDAY.INTL(EOMONTH(E1468,0)+1,-2,1,FERIADOS!$A$2:$A$250),"SÍ","NO")</x:f>
        <x:v>NO</x:v>
      </x:c>
      <x:c r="G1468" s="10" t="n">
        <x:f>IF(F1468="SÍ",EOMONTH(E1468,0)+1,DATE(YEAR(E1468),MONTH(E1468),1))</x:f>
        <x:v>47119</x:v>
      </x:c>
      <x:c r="H1468" t="str">
        <x:f>IF(D1468="NO",IF(C1468="SÍ","FERIADO","FIN DE SEMANA"),"LABORABLE")&amp;IF(F1468="SÍ"," + CIERRE","")</x:f>
        <x:v>FIN DE SEMANA</x:v>
      </x:c>
      <x:c r="I1468" t="str">
        <x:f>TEXT(G1468,"yyyy-mm")</x:f>
        <x:v>2029-01</x:v>
      </x:c>
    </x:row>
    <x:row r="1469" ht="19" customHeight="1">
      <x:c r="A1469" s="2" t="n">
        <x:v>47125</x:v>
      </x:c>
      <x:c r="B1469" t="str">
        <x:f>CHOOSE(WEEKDAY(A1469,2),"Lunes","Martes","Miércoles","Jueves","Viernes","Sábado","Domingo")</x:f>
        <x:v>Domingo</x:v>
      </x:c>
      <x:c r="C1469" t="str">
        <x:f>IF(COUNTIF(FERIADOS!$A$2:$A$250,A1469)&gt;0,"SÍ","NO")</x:f>
        <x:v>NO</x:v>
      </x:c>
      <x:c r="D1469" t="str">
        <x:f>IF(AND(WEEKDAY(A1469,2)&lt;=5,C1469="NO"),"SÍ","NO")</x:f>
        <x:v>NO</x:v>
      </x:c>
      <x:c r="E1469" s="2" t="n">
        <x:f>WORKDAY.INTL(A1469-1,1,1,FERIADOS!$A$2:$A$250)</x:f>
        <x:v>47126</x:v>
      </x:c>
      <x:c r="F1469" t="str">
        <x:f>IF(E1469&gt;=WORKDAY.INTL(EOMONTH(E1469,0)+1,-2,1,FERIADOS!$A$2:$A$250),"SÍ","NO")</x:f>
        <x:v>NO</x:v>
      </x:c>
      <x:c r="G1469" s="10" t="n">
        <x:f>IF(F1469="SÍ",EOMONTH(E1469,0)+1,DATE(YEAR(E1469),MONTH(E1469),1))</x:f>
        <x:v>47119</x:v>
      </x:c>
      <x:c r="H1469" t="str">
        <x:f>IF(D1469="NO",IF(C1469="SÍ","FERIADO","FIN DE SEMANA"),"LABORABLE")&amp;IF(F1469="SÍ"," + CIERRE","")</x:f>
        <x:v>FIN DE SEMANA</x:v>
      </x:c>
      <x:c r="I1469" t="str">
        <x:f>TEXT(G1469,"yyyy-mm")</x:f>
        <x:v>2029-01</x:v>
      </x:c>
    </x:row>
    <x:row r="1470" ht="19" customHeight="1">
      <x:c r="A1470" s="2" t="n">
        <x:v>47126</x:v>
      </x:c>
      <x:c r="B1470" t="str">
        <x:f>CHOOSE(WEEKDAY(A1470,2),"Lunes","Martes","Miércoles","Jueves","Viernes","Sábado","Domingo")</x:f>
        <x:v>Lunes</x:v>
      </x:c>
      <x:c r="C1470" t="str">
        <x:f>IF(COUNTIF(FERIADOS!$A$2:$A$250,A1470)&gt;0,"SÍ","NO")</x:f>
        <x:v>NO</x:v>
      </x:c>
      <x:c r="D1470" t="str">
        <x:f>IF(AND(WEEKDAY(A1470,2)&lt;=5,C1470="NO"),"SÍ","NO")</x:f>
        <x:v>SÍ</x:v>
      </x:c>
      <x:c r="E1470" s="2" t="n">
        <x:f>WORKDAY.INTL(A1470-1,1,1,FERIADOS!$A$2:$A$250)</x:f>
        <x:v>47126</x:v>
      </x:c>
      <x:c r="F1470" t="str">
        <x:f>IF(E1470&gt;=WORKDAY.INTL(EOMONTH(E1470,0)+1,-2,1,FERIADOS!$A$2:$A$250),"SÍ","NO")</x:f>
        <x:v>NO</x:v>
      </x:c>
      <x:c r="G1470" s="10" t="n">
        <x:f>IF(F1470="SÍ",EOMONTH(E1470,0)+1,DATE(YEAR(E1470),MONTH(E1470),1))</x:f>
        <x:v>47119</x:v>
      </x:c>
      <x:c r="H1470" t="str">
        <x:f>IF(D1470="NO",IF(C1470="SÍ","FERIADO","FIN DE SEMANA"),"LABORABLE")&amp;IF(F1470="SÍ"," + CIERRE","")</x:f>
        <x:v>LABORABLE</x:v>
      </x:c>
      <x:c r="I1470" t="str">
        <x:f>TEXT(G1470,"yyyy-mm")</x:f>
        <x:v>2029-01</x:v>
      </x:c>
    </x:row>
    <x:row r="1471" ht="19" customHeight="1">
      <x:c r="A1471" s="2" t="n">
        <x:v>47127</x:v>
      </x:c>
      <x:c r="B1471" t="str">
        <x:f>CHOOSE(WEEKDAY(A1471,2),"Lunes","Martes","Miércoles","Jueves","Viernes","Sábado","Domingo")</x:f>
        <x:v>Martes</x:v>
      </x:c>
      <x:c r="C1471" t="str">
        <x:f>IF(COUNTIF(FERIADOS!$A$2:$A$250,A1471)&gt;0,"SÍ","NO")</x:f>
        <x:v>NO</x:v>
      </x:c>
      <x:c r="D1471" t="str">
        <x:f>IF(AND(WEEKDAY(A1471,2)&lt;=5,C1471="NO"),"SÍ","NO")</x:f>
        <x:v>SÍ</x:v>
      </x:c>
      <x:c r="E1471" s="2" t="n">
        <x:f>WORKDAY.INTL(A1471-1,1,1,FERIADOS!$A$2:$A$250)</x:f>
        <x:v>47127</x:v>
      </x:c>
      <x:c r="F1471" t="str">
        <x:f>IF(E1471&gt;=WORKDAY.INTL(EOMONTH(E1471,0)+1,-2,1,FERIADOS!$A$2:$A$250),"SÍ","NO")</x:f>
        <x:v>NO</x:v>
      </x:c>
      <x:c r="G1471" s="10" t="n">
        <x:f>IF(F1471="SÍ",EOMONTH(E1471,0)+1,DATE(YEAR(E1471),MONTH(E1471),1))</x:f>
        <x:v>47119</x:v>
      </x:c>
      <x:c r="H1471" t="str">
        <x:f>IF(D1471="NO",IF(C1471="SÍ","FERIADO","FIN DE SEMANA"),"LABORABLE")&amp;IF(F1471="SÍ"," + CIERRE","")</x:f>
        <x:v>LABORABLE</x:v>
      </x:c>
      <x:c r="I1471" t="str">
        <x:f>TEXT(G1471,"yyyy-mm")</x:f>
        <x:v>2029-01</x:v>
      </x:c>
    </x:row>
    <x:row r="1472" ht="19" customHeight="1">
      <x:c r="A1472" s="2" t="n">
        <x:v>47128</x:v>
      </x:c>
      <x:c r="B1472" t="str">
        <x:f>CHOOSE(WEEKDAY(A1472,2),"Lunes","Martes","Miércoles","Jueves","Viernes","Sábado","Domingo")</x:f>
        <x:v>Miércoles</x:v>
      </x:c>
      <x:c r="C1472" t="str">
        <x:f>IF(COUNTIF(FERIADOS!$A$2:$A$250,A1472)&gt;0,"SÍ","NO")</x:f>
        <x:v>NO</x:v>
      </x:c>
      <x:c r="D1472" t="str">
        <x:f>IF(AND(WEEKDAY(A1472,2)&lt;=5,C1472="NO"),"SÍ","NO")</x:f>
        <x:v>SÍ</x:v>
      </x:c>
      <x:c r="E1472" s="2" t="n">
        <x:f>WORKDAY.INTL(A1472-1,1,1,FERIADOS!$A$2:$A$250)</x:f>
        <x:v>47128</x:v>
      </x:c>
      <x:c r="F1472" t="str">
        <x:f>IF(E1472&gt;=WORKDAY.INTL(EOMONTH(E1472,0)+1,-2,1,FERIADOS!$A$2:$A$250),"SÍ","NO")</x:f>
        <x:v>NO</x:v>
      </x:c>
      <x:c r="G1472" s="10" t="n">
        <x:f>IF(F1472="SÍ",EOMONTH(E1472,0)+1,DATE(YEAR(E1472),MONTH(E1472),1))</x:f>
        <x:v>47119</x:v>
      </x:c>
      <x:c r="H1472" t="str">
        <x:f>IF(D1472="NO",IF(C1472="SÍ","FERIADO","FIN DE SEMANA"),"LABORABLE")&amp;IF(F1472="SÍ"," + CIERRE","")</x:f>
        <x:v>LABORABLE</x:v>
      </x:c>
      <x:c r="I1472" t="str">
        <x:f>TEXT(G1472,"yyyy-mm")</x:f>
        <x:v>2029-01</x:v>
      </x:c>
    </x:row>
    <x:row r="1473" ht="19" customHeight="1">
      <x:c r="A1473" s="2" t="n">
        <x:v>47129</x:v>
      </x:c>
      <x:c r="B1473" t="str">
        <x:f>CHOOSE(WEEKDAY(A1473,2),"Lunes","Martes","Miércoles","Jueves","Viernes","Sábado","Domingo")</x:f>
        <x:v>Jueves</x:v>
      </x:c>
      <x:c r="C1473" t="str">
        <x:f>IF(COUNTIF(FERIADOS!$A$2:$A$250,A1473)&gt;0,"SÍ","NO")</x:f>
        <x:v>NO</x:v>
      </x:c>
      <x:c r="D1473" t="str">
        <x:f>IF(AND(WEEKDAY(A1473,2)&lt;=5,C1473="NO"),"SÍ","NO")</x:f>
        <x:v>SÍ</x:v>
      </x:c>
      <x:c r="E1473" s="2" t="n">
        <x:f>WORKDAY.INTL(A1473-1,1,1,FERIADOS!$A$2:$A$250)</x:f>
        <x:v>47129</x:v>
      </x:c>
      <x:c r="F1473" t="str">
        <x:f>IF(E1473&gt;=WORKDAY.INTL(EOMONTH(E1473,0)+1,-2,1,FERIADOS!$A$2:$A$250),"SÍ","NO")</x:f>
        <x:v>NO</x:v>
      </x:c>
      <x:c r="G1473" s="10" t="n">
        <x:f>IF(F1473="SÍ",EOMONTH(E1473,0)+1,DATE(YEAR(E1473),MONTH(E1473),1))</x:f>
        <x:v>47119</x:v>
      </x:c>
      <x:c r="H1473" t="str">
        <x:f>IF(D1473="NO",IF(C1473="SÍ","FERIADO","FIN DE SEMANA"),"LABORABLE")&amp;IF(F1473="SÍ"," + CIERRE","")</x:f>
        <x:v>LABORABLE</x:v>
      </x:c>
      <x:c r="I1473" t="str">
        <x:f>TEXT(G1473,"yyyy-mm")</x:f>
        <x:v>2029-01</x:v>
      </x:c>
    </x:row>
    <x:row r="1474" ht="19" customHeight="1">
      <x:c r="A1474" s="2" t="n">
        <x:v>47130</x:v>
      </x:c>
      <x:c r="B1474" t="str">
        <x:f>CHOOSE(WEEKDAY(A1474,2),"Lunes","Martes","Miércoles","Jueves","Viernes","Sábado","Domingo")</x:f>
        <x:v>Viernes</x:v>
      </x:c>
      <x:c r="C1474" t="str">
        <x:f>IF(COUNTIF(FERIADOS!$A$2:$A$250,A1474)&gt;0,"SÍ","NO")</x:f>
        <x:v>NO</x:v>
      </x:c>
      <x:c r="D1474" t="str">
        <x:f>IF(AND(WEEKDAY(A1474,2)&lt;=5,C1474="NO"),"SÍ","NO")</x:f>
        <x:v>SÍ</x:v>
      </x:c>
      <x:c r="E1474" s="2" t="n">
        <x:f>WORKDAY.INTL(A1474-1,1,1,FERIADOS!$A$2:$A$250)</x:f>
        <x:v>47130</x:v>
      </x:c>
      <x:c r="F1474" t="str">
        <x:f>IF(E1474&gt;=WORKDAY.INTL(EOMONTH(E1474,0)+1,-2,1,FERIADOS!$A$2:$A$250),"SÍ","NO")</x:f>
        <x:v>NO</x:v>
      </x:c>
      <x:c r="G1474" s="10" t="n">
        <x:f>IF(F1474="SÍ",EOMONTH(E1474,0)+1,DATE(YEAR(E1474),MONTH(E1474),1))</x:f>
        <x:v>47119</x:v>
      </x:c>
      <x:c r="H1474" t="str">
        <x:f>IF(D1474="NO",IF(C1474="SÍ","FERIADO","FIN DE SEMANA"),"LABORABLE")&amp;IF(F1474="SÍ"," + CIERRE","")</x:f>
        <x:v>LABORABLE</x:v>
      </x:c>
      <x:c r="I1474" t="str">
        <x:f>TEXT(G1474,"yyyy-mm")</x:f>
        <x:v>2029-01</x:v>
      </x:c>
    </x:row>
    <x:row r="1475" ht="19" customHeight="1">
      <x:c r="A1475" s="2" t="n">
        <x:v>47131</x:v>
      </x:c>
      <x:c r="B1475" t="str">
        <x:f>CHOOSE(WEEKDAY(A1475,2),"Lunes","Martes","Miércoles","Jueves","Viernes","Sábado","Domingo")</x:f>
        <x:v>Sábado</x:v>
      </x:c>
      <x:c r="C1475" t="str">
        <x:f>IF(COUNTIF(FERIADOS!$A$2:$A$250,A1475)&gt;0,"SÍ","NO")</x:f>
        <x:v>NO</x:v>
      </x:c>
      <x:c r="D1475" t="str">
        <x:f>IF(AND(WEEKDAY(A1475,2)&lt;=5,C1475="NO"),"SÍ","NO")</x:f>
        <x:v>NO</x:v>
      </x:c>
      <x:c r="E1475" s="2" t="n">
        <x:f>WORKDAY.INTL(A1475-1,1,1,FERIADOS!$A$2:$A$250)</x:f>
        <x:v>47133</x:v>
      </x:c>
      <x:c r="F1475" t="str">
        <x:f>IF(E1475&gt;=WORKDAY.INTL(EOMONTH(E1475,0)+1,-2,1,FERIADOS!$A$2:$A$250),"SÍ","NO")</x:f>
        <x:v>NO</x:v>
      </x:c>
      <x:c r="G1475" s="10" t="n">
        <x:f>IF(F1475="SÍ",EOMONTH(E1475,0)+1,DATE(YEAR(E1475),MONTH(E1475),1))</x:f>
        <x:v>47119</x:v>
      </x:c>
      <x:c r="H1475" t="str">
        <x:f>IF(D1475="NO",IF(C1475="SÍ","FERIADO","FIN DE SEMANA"),"LABORABLE")&amp;IF(F1475="SÍ"," + CIERRE","")</x:f>
        <x:v>FIN DE SEMANA</x:v>
      </x:c>
      <x:c r="I1475" t="str">
        <x:f>TEXT(G1475,"yyyy-mm")</x:f>
        <x:v>2029-01</x:v>
      </x:c>
    </x:row>
    <x:row r="1476" ht="19" customHeight="1">
      <x:c r="A1476" s="2" t="n">
        <x:v>47132</x:v>
      </x:c>
      <x:c r="B1476" t="str">
        <x:f>CHOOSE(WEEKDAY(A1476,2),"Lunes","Martes","Miércoles","Jueves","Viernes","Sábado","Domingo")</x:f>
        <x:v>Domingo</x:v>
      </x:c>
      <x:c r="C1476" t="str">
        <x:f>IF(COUNTIF(FERIADOS!$A$2:$A$250,A1476)&gt;0,"SÍ","NO")</x:f>
        <x:v>NO</x:v>
      </x:c>
      <x:c r="D1476" t="str">
        <x:f>IF(AND(WEEKDAY(A1476,2)&lt;=5,C1476="NO"),"SÍ","NO")</x:f>
        <x:v>NO</x:v>
      </x:c>
      <x:c r="E1476" s="2" t="n">
        <x:f>WORKDAY.INTL(A1476-1,1,1,FERIADOS!$A$2:$A$250)</x:f>
        <x:v>47133</x:v>
      </x:c>
      <x:c r="F1476" t="str">
        <x:f>IF(E1476&gt;=WORKDAY.INTL(EOMONTH(E1476,0)+1,-2,1,FERIADOS!$A$2:$A$250),"SÍ","NO")</x:f>
        <x:v>NO</x:v>
      </x:c>
      <x:c r="G1476" s="10" t="n">
        <x:f>IF(F1476="SÍ",EOMONTH(E1476,0)+1,DATE(YEAR(E1476),MONTH(E1476),1))</x:f>
        <x:v>47119</x:v>
      </x:c>
      <x:c r="H1476" t="str">
        <x:f>IF(D1476="NO",IF(C1476="SÍ","FERIADO","FIN DE SEMANA"),"LABORABLE")&amp;IF(F1476="SÍ"," + CIERRE","")</x:f>
        <x:v>FIN DE SEMANA</x:v>
      </x:c>
      <x:c r="I1476" t="str">
        <x:f>TEXT(G1476,"yyyy-mm")</x:f>
        <x:v>2029-01</x:v>
      </x:c>
    </x:row>
    <x:row r="1477" ht="19" customHeight="1">
      <x:c r="A1477" s="2" t="n">
        <x:v>47133</x:v>
      </x:c>
      <x:c r="B1477" t="str">
        <x:f>CHOOSE(WEEKDAY(A1477,2),"Lunes","Martes","Miércoles","Jueves","Viernes","Sábado","Domingo")</x:f>
        <x:v>Lunes</x:v>
      </x:c>
      <x:c r="C1477" t="str">
        <x:f>IF(COUNTIF(FERIADOS!$A$2:$A$250,A1477)&gt;0,"SÍ","NO")</x:f>
        <x:v>NO</x:v>
      </x:c>
      <x:c r="D1477" t="str">
        <x:f>IF(AND(WEEKDAY(A1477,2)&lt;=5,C1477="NO"),"SÍ","NO")</x:f>
        <x:v>SÍ</x:v>
      </x:c>
      <x:c r="E1477" s="2" t="n">
        <x:f>WORKDAY.INTL(A1477-1,1,1,FERIADOS!$A$2:$A$250)</x:f>
        <x:v>47133</x:v>
      </x:c>
      <x:c r="F1477" t="str">
        <x:f>IF(E1477&gt;=WORKDAY.INTL(EOMONTH(E1477,0)+1,-2,1,FERIADOS!$A$2:$A$250),"SÍ","NO")</x:f>
        <x:v>NO</x:v>
      </x:c>
      <x:c r="G1477" s="10" t="n">
        <x:f>IF(F1477="SÍ",EOMONTH(E1477,0)+1,DATE(YEAR(E1477),MONTH(E1477),1))</x:f>
        <x:v>47119</x:v>
      </x:c>
      <x:c r="H1477" t="str">
        <x:f>IF(D1477="NO",IF(C1477="SÍ","FERIADO","FIN DE SEMANA"),"LABORABLE")&amp;IF(F1477="SÍ"," + CIERRE","")</x:f>
        <x:v>LABORABLE</x:v>
      </x:c>
      <x:c r="I1477" t="str">
        <x:f>TEXT(G1477,"yyyy-mm")</x:f>
        <x:v>2029-01</x:v>
      </x:c>
    </x:row>
    <x:row r="1478" ht="19" customHeight="1">
      <x:c r="A1478" s="2" t="n">
        <x:v>47134</x:v>
      </x:c>
      <x:c r="B1478" t="str">
        <x:f>CHOOSE(WEEKDAY(A1478,2),"Lunes","Martes","Miércoles","Jueves","Viernes","Sábado","Domingo")</x:f>
        <x:v>Martes</x:v>
      </x:c>
      <x:c r="C1478" t="str">
        <x:f>IF(COUNTIF(FERIADOS!$A$2:$A$250,A1478)&gt;0,"SÍ","NO")</x:f>
        <x:v>NO</x:v>
      </x:c>
      <x:c r="D1478" t="str">
        <x:f>IF(AND(WEEKDAY(A1478,2)&lt;=5,C1478="NO"),"SÍ","NO")</x:f>
        <x:v>SÍ</x:v>
      </x:c>
      <x:c r="E1478" s="2" t="n">
        <x:f>WORKDAY.INTL(A1478-1,1,1,FERIADOS!$A$2:$A$250)</x:f>
        <x:v>47134</x:v>
      </x:c>
      <x:c r="F1478" t="str">
        <x:f>IF(E1478&gt;=WORKDAY.INTL(EOMONTH(E1478,0)+1,-2,1,FERIADOS!$A$2:$A$250),"SÍ","NO")</x:f>
        <x:v>NO</x:v>
      </x:c>
      <x:c r="G1478" s="10" t="n">
        <x:f>IF(F1478="SÍ",EOMONTH(E1478,0)+1,DATE(YEAR(E1478),MONTH(E1478),1))</x:f>
        <x:v>47119</x:v>
      </x:c>
      <x:c r="H1478" t="str">
        <x:f>IF(D1478="NO",IF(C1478="SÍ","FERIADO","FIN DE SEMANA"),"LABORABLE")&amp;IF(F1478="SÍ"," + CIERRE","")</x:f>
        <x:v>LABORABLE</x:v>
      </x:c>
      <x:c r="I1478" t="str">
        <x:f>TEXT(G1478,"yyyy-mm")</x:f>
        <x:v>2029-01</x:v>
      </x:c>
    </x:row>
    <x:row r="1479" ht="19" customHeight="1">
      <x:c r="A1479" s="2" t="n">
        <x:v>47135</x:v>
      </x:c>
      <x:c r="B1479" t="str">
        <x:f>CHOOSE(WEEKDAY(A1479,2),"Lunes","Martes","Miércoles","Jueves","Viernes","Sábado","Domingo")</x:f>
        <x:v>Miércoles</x:v>
      </x:c>
      <x:c r="C1479" t="str">
        <x:f>IF(COUNTIF(FERIADOS!$A$2:$A$250,A1479)&gt;0,"SÍ","NO")</x:f>
        <x:v>NO</x:v>
      </x:c>
      <x:c r="D1479" t="str">
        <x:f>IF(AND(WEEKDAY(A1479,2)&lt;=5,C1479="NO"),"SÍ","NO")</x:f>
        <x:v>SÍ</x:v>
      </x:c>
      <x:c r="E1479" s="2" t="n">
        <x:f>WORKDAY.INTL(A1479-1,1,1,FERIADOS!$A$2:$A$250)</x:f>
        <x:v>47135</x:v>
      </x:c>
      <x:c r="F1479" t="str">
        <x:f>IF(E1479&gt;=WORKDAY.INTL(EOMONTH(E1479,0)+1,-2,1,FERIADOS!$A$2:$A$250),"SÍ","NO")</x:f>
        <x:v>NO</x:v>
      </x:c>
      <x:c r="G1479" s="10" t="n">
        <x:f>IF(F1479="SÍ",EOMONTH(E1479,0)+1,DATE(YEAR(E1479),MONTH(E1479),1))</x:f>
        <x:v>47119</x:v>
      </x:c>
      <x:c r="H1479" t="str">
        <x:f>IF(D1479="NO",IF(C1479="SÍ","FERIADO","FIN DE SEMANA"),"LABORABLE")&amp;IF(F1479="SÍ"," + CIERRE","")</x:f>
        <x:v>LABORABLE</x:v>
      </x:c>
      <x:c r="I1479" t="str">
        <x:f>TEXT(G1479,"yyyy-mm")</x:f>
        <x:v>2029-01</x:v>
      </x:c>
    </x:row>
    <x:row r="1480" ht="19" customHeight="1">
      <x:c r="A1480" s="2" t="n">
        <x:v>47136</x:v>
      </x:c>
      <x:c r="B1480" t="str">
        <x:f>CHOOSE(WEEKDAY(A1480,2),"Lunes","Martes","Miércoles","Jueves","Viernes","Sábado","Domingo")</x:f>
        <x:v>Jueves</x:v>
      </x:c>
      <x:c r="C1480" t="str">
        <x:f>IF(COUNTIF(FERIADOS!$A$2:$A$250,A1480)&gt;0,"SÍ","NO")</x:f>
        <x:v>NO</x:v>
      </x:c>
      <x:c r="D1480" t="str">
        <x:f>IF(AND(WEEKDAY(A1480,2)&lt;=5,C1480="NO"),"SÍ","NO")</x:f>
        <x:v>SÍ</x:v>
      </x:c>
      <x:c r="E1480" s="2" t="n">
        <x:f>WORKDAY.INTL(A1480-1,1,1,FERIADOS!$A$2:$A$250)</x:f>
        <x:v>47136</x:v>
      </x:c>
      <x:c r="F1480" t="str">
        <x:f>IF(E1480&gt;=WORKDAY.INTL(EOMONTH(E1480,0)+1,-2,1,FERIADOS!$A$2:$A$250),"SÍ","NO")</x:f>
        <x:v>NO</x:v>
      </x:c>
      <x:c r="G1480" s="10" t="n">
        <x:f>IF(F1480="SÍ",EOMONTH(E1480,0)+1,DATE(YEAR(E1480),MONTH(E1480),1))</x:f>
        <x:v>47119</x:v>
      </x:c>
      <x:c r="H1480" t="str">
        <x:f>IF(D1480="NO",IF(C1480="SÍ","FERIADO","FIN DE SEMANA"),"LABORABLE")&amp;IF(F1480="SÍ"," + CIERRE","")</x:f>
        <x:v>LABORABLE</x:v>
      </x:c>
      <x:c r="I1480" t="str">
        <x:f>TEXT(G1480,"yyyy-mm")</x:f>
        <x:v>2029-01</x:v>
      </x:c>
    </x:row>
    <x:row r="1481" ht="19" customHeight="1">
      <x:c r="A1481" s="2" t="n">
        <x:v>47137</x:v>
      </x:c>
      <x:c r="B1481" t="str">
        <x:f>CHOOSE(WEEKDAY(A1481,2),"Lunes","Martes","Miércoles","Jueves","Viernes","Sábado","Domingo")</x:f>
        <x:v>Viernes</x:v>
      </x:c>
      <x:c r="C1481" t="str">
        <x:f>IF(COUNTIF(FERIADOS!$A$2:$A$250,A1481)&gt;0,"SÍ","NO")</x:f>
        <x:v>NO</x:v>
      </x:c>
      <x:c r="D1481" t="str">
        <x:f>IF(AND(WEEKDAY(A1481,2)&lt;=5,C1481="NO"),"SÍ","NO")</x:f>
        <x:v>SÍ</x:v>
      </x:c>
      <x:c r="E1481" s="2" t="n">
        <x:f>WORKDAY.INTL(A1481-1,1,1,FERIADOS!$A$2:$A$250)</x:f>
        <x:v>47137</x:v>
      </x:c>
      <x:c r="F1481" t="str">
        <x:f>IF(E1481&gt;=WORKDAY.INTL(EOMONTH(E1481,0)+1,-2,1,FERIADOS!$A$2:$A$250),"SÍ","NO")</x:f>
        <x:v>NO</x:v>
      </x:c>
      <x:c r="G1481" s="10" t="n">
        <x:f>IF(F1481="SÍ",EOMONTH(E1481,0)+1,DATE(YEAR(E1481),MONTH(E1481),1))</x:f>
        <x:v>47119</x:v>
      </x:c>
      <x:c r="H1481" t="str">
        <x:f>IF(D1481="NO",IF(C1481="SÍ","FERIADO","FIN DE SEMANA"),"LABORABLE")&amp;IF(F1481="SÍ"," + CIERRE","")</x:f>
        <x:v>LABORABLE</x:v>
      </x:c>
      <x:c r="I1481" t="str">
        <x:f>TEXT(G1481,"yyyy-mm")</x:f>
        <x:v>2029-01</x:v>
      </x:c>
    </x:row>
    <x:row r="1482" ht="19" customHeight="1">
      <x:c r="A1482" s="2" t="n">
        <x:v>47138</x:v>
      </x:c>
      <x:c r="B1482" t="str">
        <x:f>CHOOSE(WEEKDAY(A1482,2),"Lunes","Martes","Miércoles","Jueves","Viernes","Sábado","Domingo")</x:f>
        <x:v>Sábado</x:v>
      </x:c>
      <x:c r="C1482" t="str">
        <x:f>IF(COUNTIF(FERIADOS!$A$2:$A$250,A1482)&gt;0,"SÍ","NO")</x:f>
        <x:v>NO</x:v>
      </x:c>
      <x:c r="D1482" t="str">
        <x:f>IF(AND(WEEKDAY(A1482,2)&lt;=5,C1482="NO"),"SÍ","NO")</x:f>
        <x:v>NO</x:v>
      </x:c>
      <x:c r="E1482" s="2" t="n">
        <x:f>WORKDAY.INTL(A1482-1,1,1,FERIADOS!$A$2:$A$250)</x:f>
        <x:v>47140</x:v>
      </x:c>
      <x:c r="F1482" t="str">
        <x:f>IF(E1482&gt;=WORKDAY.INTL(EOMONTH(E1482,0)+1,-2,1,FERIADOS!$A$2:$A$250),"SÍ","NO")</x:f>
        <x:v>NO</x:v>
      </x:c>
      <x:c r="G1482" s="10" t="n">
        <x:f>IF(F1482="SÍ",EOMONTH(E1482,0)+1,DATE(YEAR(E1482),MONTH(E1482),1))</x:f>
        <x:v>47119</x:v>
      </x:c>
      <x:c r="H1482" t="str">
        <x:f>IF(D1482="NO",IF(C1482="SÍ","FERIADO","FIN DE SEMANA"),"LABORABLE")&amp;IF(F1482="SÍ"," + CIERRE","")</x:f>
        <x:v>FIN DE SEMANA</x:v>
      </x:c>
      <x:c r="I1482" t="str">
        <x:f>TEXT(G1482,"yyyy-mm")</x:f>
        <x:v>2029-01</x:v>
      </x:c>
    </x:row>
    <x:row r="1483" ht="19" customHeight="1">
      <x:c r="A1483" s="2" t="n">
        <x:v>47139</x:v>
      </x:c>
      <x:c r="B1483" t="str">
        <x:f>CHOOSE(WEEKDAY(A1483,2),"Lunes","Martes","Miércoles","Jueves","Viernes","Sábado","Domingo")</x:f>
        <x:v>Domingo</x:v>
      </x:c>
      <x:c r="C1483" t="str">
        <x:f>IF(COUNTIF(FERIADOS!$A$2:$A$250,A1483)&gt;0,"SÍ","NO")</x:f>
        <x:v>NO</x:v>
      </x:c>
      <x:c r="D1483" t="str">
        <x:f>IF(AND(WEEKDAY(A1483,2)&lt;=5,C1483="NO"),"SÍ","NO")</x:f>
        <x:v>NO</x:v>
      </x:c>
      <x:c r="E1483" s="2" t="n">
        <x:f>WORKDAY.INTL(A1483-1,1,1,FERIADOS!$A$2:$A$250)</x:f>
        <x:v>47140</x:v>
      </x:c>
      <x:c r="F1483" t="str">
        <x:f>IF(E1483&gt;=WORKDAY.INTL(EOMONTH(E1483,0)+1,-2,1,FERIADOS!$A$2:$A$250),"SÍ","NO")</x:f>
        <x:v>NO</x:v>
      </x:c>
      <x:c r="G1483" s="10" t="n">
        <x:f>IF(F1483="SÍ",EOMONTH(E1483,0)+1,DATE(YEAR(E1483),MONTH(E1483),1))</x:f>
        <x:v>47119</x:v>
      </x:c>
      <x:c r="H1483" t="str">
        <x:f>IF(D1483="NO",IF(C1483="SÍ","FERIADO","FIN DE SEMANA"),"LABORABLE")&amp;IF(F1483="SÍ"," + CIERRE","")</x:f>
        <x:v>FIN DE SEMANA</x:v>
      </x:c>
      <x:c r="I1483" t="str">
        <x:f>TEXT(G1483,"yyyy-mm")</x:f>
        <x:v>2029-01</x:v>
      </x:c>
    </x:row>
    <x:row r="1484" ht="19" customHeight="1">
      <x:c r="A1484" s="2" t="n">
        <x:v>47140</x:v>
      </x:c>
      <x:c r="B1484" t="str">
        <x:f>CHOOSE(WEEKDAY(A1484,2),"Lunes","Martes","Miércoles","Jueves","Viernes","Sábado","Domingo")</x:f>
        <x:v>Lunes</x:v>
      </x:c>
      <x:c r="C1484" t="str">
        <x:f>IF(COUNTIF(FERIADOS!$A$2:$A$250,A1484)&gt;0,"SÍ","NO")</x:f>
        <x:v>NO</x:v>
      </x:c>
      <x:c r="D1484" t="str">
        <x:f>IF(AND(WEEKDAY(A1484,2)&lt;=5,C1484="NO"),"SÍ","NO")</x:f>
        <x:v>SÍ</x:v>
      </x:c>
      <x:c r="E1484" s="2" t="n">
        <x:f>WORKDAY.INTL(A1484-1,1,1,FERIADOS!$A$2:$A$250)</x:f>
        <x:v>47140</x:v>
      </x:c>
      <x:c r="F1484" t="str">
        <x:f>IF(E1484&gt;=WORKDAY.INTL(EOMONTH(E1484,0)+1,-2,1,FERIADOS!$A$2:$A$250),"SÍ","NO")</x:f>
        <x:v>NO</x:v>
      </x:c>
      <x:c r="G1484" s="10" t="n">
        <x:f>IF(F1484="SÍ",EOMONTH(E1484,0)+1,DATE(YEAR(E1484),MONTH(E1484),1))</x:f>
        <x:v>47119</x:v>
      </x:c>
      <x:c r="H1484" t="str">
        <x:f>IF(D1484="NO",IF(C1484="SÍ","FERIADO","FIN DE SEMANA"),"LABORABLE")&amp;IF(F1484="SÍ"," + CIERRE","")</x:f>
        <x:v>LABORABLE</x:v>
      </x:c>
      <x:c r="I1484" t="str">
        <x:f>TEXT(G1484,"yyyy-mm")</x:f>
        <x:v>2029-01</x:v>
      </x:c>
    </x:row>
    <x:row r="1485" ht="19" customHeight="1">
      <x:c r="A1485" s="2" t="n">
        <x:v>47141</x:v>
      </x:c>
      <x:c r="B1485" t="str">
        <x:f>CHOOSE(WEEKDAY(A1485,2),"Lunes","Martes","Miércoles","Jueves","Viernes","Sábado","Domingo")</x:f>
        <x:v>Martes</x:v>
      </x:c>
      <x:c r="C1485" t="str">
        <x:f>IF(COUNTIF(FERIADOS!$A$2:$A$250,A1485)&gt;0,"SÍ","NO")</x:f>
        <x:v>NO</x:v>
      </x:c>
      <x:c r="D1485" t="str">
        <x:f>IF(AND(WEEKDAY(A1485,2)&lt;=5,C1485="NO"),"SÍ","NO")</x:f>
        <x:v>SÍ</x:v>
      </x:c>
      <x:c r="E1485" s="2" t="n">
        <x:f>WORKDAY.INTL(A1485-1,1,1,FERIADOS!$A$2:$A$250)</x:f>
        <x:v>47141</x:v>
      </x:c>
      <x:c r="F1485" t="str">
        <x:f>IF(E1485&gt;=WORKDAY.INTL(EOMONTH(E1485,0)+1,-2,1,FERIADOS!$A$2:$A$250),"SÍ","NO")</x:f>
        <x:v>NO</x:v>
      </x:c>
      <x:c r="G1485" s="10" t="n">
        <x:f>IF(F1485="SÍ",EOMONTH(E1485,0)+1,DATE(YEAR(E1485),MONTH(E1485),1))</x:f>
        <x:v>47119</x:v>
      </x:c>
      <x:c r="H1485" t="str">
        <x:f>IF(D1485="NO",IF(C1485="SÍ","FERIADO","FIN DE SEMANA"),"LABORABLE")&amp;IF(F1485="SÍ"," + CIERRE","")</x:f>
        <x:v>LABORABLE</x:v>
      </x:c>
      <x:c r="I1485" t="str">
        <x:f>TEXT(G1485,"yyyy-mm")</x:f>
        <x:v>2029-01</x:v>
      </x:c>
    </x:row>
    <x:row r="1486" ht="19" customHeight="1">
      <x:c r="A1486" s="2" t="n">
        <x:v>47142</x:v>
      </x:c>
      <x:c r="B1486" t="str">
        <x:f>CHOOSE(WEEKDAY(A1486,2),"Lunes","Martes","Miércoles","Jueves","Viernes","Sábado","Domingo")</x:f>
        <x:v>Miércoles</x:v>
      </x:c>
      <x:c r="C1486" t="str">
        <x:f>IF(COUNTIF(FERIADOS!$A$2:$A$250,A1486)&gt;0,"SÍ","NO")</x:f>
        <x:v>NO</x:v>
      </x:c>
      <x:c r="D1486" t="str">
        <x:f>IF(AND(WEEKDAY(A1486,2)&lt;=5,C1486="NO"),"SÍ","NO")</x:f>
        <x:v>SÍ</x:v>
      </x:c>
      <x:c r="E1486" s="2" t="n">
        <x:f>WORKDAY.INTL(A1486-1,1,1,FERIADOS!$A$2:$A$250)</x:f>
        <x:v>47142</x:v>
      </x:c>
      <x:c r="F1486" t="str">
        <x:f>IF(E1486&gt;=WORKDAY.INTL(EOMONTH(E1486,0)+1,-2,1,FERIADOS!$A$2:$A$250),"SÍ","NO")</x:f>
        <x:v>NO</x:v>
      </x:c>
      <x:c r="G1486" s="10" t="n">
        <x:f>IF(F1486="SÍ",EOMONTH(E1486,0)+1,DATE(YEAR(E1486),MONTH(E1486),1))</x:f>
        <x:v>47119</x:v>
      </x:c>
      <x:c r="H1486" t="str">
        <x:f>IF(D1486="NO",IF(C1486="SÍ","FERIADO","FIN DE SEMANA"),"LABORABLE")&amp;IF(F1486="SÍ"," + CIERRE","")</x:f>
        <x:v>LABORABLE</x:v>
      </x:c>
      <x:c r="I1486" t="str">
        <x:f>TEXT(G1486,"yyyy-mm")</x:f>
        <x:v>2029-01</x:v>
      </x:c>
    </x:row>
    <x:row r="1487" ht="19" customHeight="1">
      <x:c r="A1487" s="2" t="n">
        <x:v>47143</x:v>
      </x:c>
      <x:c r="B1487" t="str">
        <x:f>CHOOSE(WEEKDAY(A1487,2),"Lunes","Martes","Miércoles","Jueves","Viernes","Sábado","Domingo")</x:f>
        <x:v>Jueves</x:v>
      </x:c>
      <x:c r="C1487" t="str">
        <x:f>IF(COUNTIF(FERIADOS!$A$2:$A$250,A1487)&gt;0,"SÍ","NO")</x:f>
        <x:v>NO</x:v>
      </x:c>
      <x:c r="D1487" t="str">
        <x:f>IF(AND(WEEKDAY(A1487,2)&lt;=5,C1487="NO"),"SÍ","NO")</x:f>
        <x:v>SÍ</x:v>
      </x:c>
      <x:c r="E1487" s="2" t="n">
        <x:f>WORKDAY.INTL(A1487-1,1,1,FERIADOS!$A$2:$A$250)</x:f>
        <x:v>47143</x:v>
      </x:c>
      <x:c r="F1487" t="str">
        <x:f>IF(E1487&gt;=WORKDAY.INTL(EOMONTH(E1487,0)+1,-2,1,FERIADOS!$A$2:$A$250),"SÍ","NO")</x:f>
        <x:v>NO</x:v>
      </x:c>
      <x:c r="G1487" s="10" t="n">
        <x:f>IF(F1487="SÍ",EOMONTH(E1487,0)+1,DATE(YEAR(E1487),MONTH(E1487),1))</x:f>
        <x:v>47119</x:v>
      </x:c>
      <x:c r="H1487" t="str">
        <x:f>IF(D1487="NO",IF(C1487="SÍ","FERIADO","FIN DE SEMANA"),"LABORABLE")&amp;IF(F1487="SÍ"," + CIERRE","")</x:f>
        <x:v>LABORABLE</x:v>
      </x:c>
      <x:c r="I1487" t="str">
        <x:f>TEXT(G1487,"yyyy-mm")</x:f>
        <x:v>2029-01</x:v>
      </x:c>
    </x:row>
    <x:row r="1488" ht="19" customHeight="1">
      <x:c r="A1488" s="2" t="n">
        <x:v>47144</x:v>
      </x:c>
      <x:c r="B1488" t="str">
        <x:f>CHOOSE(WEEKDAY(A1488,2),"Lunes","Martes","Miércoles","Jueves","Viernes","Sábado","Domingo")</x:f>
        <x:v>Viernes</x:v>
      </x:c>
      <x:c r="C1488" t="str">
        <x:f>IF(COUNTIF(FERIADOS!$A$2:$A$250,A1488)&gt;0,"SÍ","NO")</x:f>
        <x:v>NO</x:v>
      </x:c>
      <x:c r="D1488" t="str">
        <x:f>IF(AND(WEEKDAY(A1488,2)&lt;=5,C1488="NO"),"SÍ","NO")</x:f>
        <x:v>SÍ</x:v>
      </x:c>
      <x:c r="E1488" s="2" t="n">
        <x:f>WORKDAY.INTL(A1488-1,1,1,FERIADOS!$A$2:$A$250)</x:f>
        <x:v>47144</x:v>
      </x:c>
      <x:c r="F1488" t="str">
        <x:f>IF(E1488&gt;=WORKDAY.INTL(EOMONTH(E1488,0)+1,-2,1,FERIADOS!$A$2:$A$250),"SÍ","NO")</x:f>
        <x:v>NO</x:v>
      </x:c>
      <x:c r="G1488" s="10" t="n">
        <x:f>IF(F1488="SÍ",EOMONTH(E1488,0)+1,DATE(YEAR(E1488),MONTH(E1488),1))</x:f>
        <x:v>47119</x:v>
      </x:c>
      <x:c r="H1488" t="str">
        <x:f>IF(D1488="NO",IF(C1488="SÍ","FERIADO","FIN DE SEMANA"),"LABORABLE")&amp;IF(F1488="SÍ"," + CIERRE","")</x:f>
        <x:v>LABORABLE</x:v>
      </x:c>
      <x:c r="I1488" t="str">
        <x:f>TEXT(G1488,"yyyy-mm")</x:f>
        <x:v>2029-01</x:v>
      </x:c>
    </x:row>
    <x:row r="1489" ht="19" customHeight="1">
      <x:c r="A1489" s="2" t="n">
        <x:v>47145</x:v>
      </x:c>
      <x:c r="B1489" t="str">
        <x:f>CHOOSE(WEEKDAY(A1489,2),"Lunes","Martes","Miércoles","Jueves","Viernes","Sábado","Domingo")</x:f>
        <x:v>Sábado</x:v>
      </x:c>
      <x:c r="C1489" t="str">
        <x:f>IF(COUNTIF(FERIADOS!$A$2:$A$250,A1489)&gt;0,"SÍ","NO")</x:f>
        <x:v>NO</x:v>
      </x:c>
      <x:c r="D1489" t="str">
        <x:f>IF(AND(WEEKDAY(A1489,2)&lt;=5,C1489="NO"),"SÍ","NO")</x:f>
        <x:v>NO</x:v>
      </x:c>
      <x:c r="E1489" s="2" t="n">
        <x:f>WORKDAY.INTL(A1489-1,1,1,FERIADOS!$A$2:$A$250)</x:f>
        <x:v>47147</x:v>
      </x:c>
      <x:c r="F1489" t="str">
        <x:f>IF(E1489&gt;=WORKDAY.INTL(EOMONTH(E1489,0)+1,-2,1,FERIADOS!$A$2:$A$250),"SÍ","NO")</x:f>
        <x:v>NO</x:v>
      </x:c>
      <x:c r="G1489" s="10" t="n">
        <x:f>IF(F1489="SÍ",EOMONTH(E1489,0)+1,DATE(YEAR(E1489),MONTH(E1489),1))</x:f>
        <x:v>47119</x:v>
      </x:c>
      <x:c r="H1489" t="str">
        <x:f>IF(D1489="NO",IF(C1489="SÍ","FERIADO","FIN DE SEMANA"),"LABORABLE")&amp;IF(F1489="SÍ"," + CIERRE","")</x:f>
        <x:v>FIN DE SEMANA</x:v>
      </x:c>
      <x:c r="I1489" t="str">
        <x:f>TEXT(G1489,"yyyy-mm")</x:f>
        <x:v>2029-01</x:v>
      </x:c>
    </x:row>
    <x:row r="1490" ht="19" customHeight="1">
      <x:c r="A1490" s="2" t="n">
        <x:v>47146</x:v>
      </x:c>
      <x:c r="B1490" t="str">
        <x:f>CHOOSE(WEEKDAY(A1490,2),"Lunes","Martes","Miércoles","Jueves","Viernes","Sábado","Domingo")</x:f>
        <x:v>Domingo</x:v>
      </x:c>
      <x:c r="C1490" t="str">
        <x:f>IF(COUNTIF(FERIADOS!$A$2:$A$250,A1490)&gt;0,"SÍ","NO")</x:f>
        <x:v>NO</x:v>
      </x:c>
      <x:c r="D1490" t="str">
        <x:f>IF(AND(WEEKDAY(A1490,2)&lt;=5,C1490="NO"),"SÍ","NO")</x:f>
        <x:v>NO</x:v>
      </x:c>
      <x:c r="E1490" s="2" t="n">
        <x:f>WORKDAY.INTL(A1490-1,1,1,FERIADOS!$A$2:$A$250)</x:f>
        <x:v>47147</x:v>
      </x:c>
      <x:c r="F1490" t="str">
        <x:f>IF(E1490&gt;=WORKDAY.INTL(EOMONTH(E1490,0)+1,-2,1,FERIADOS!$A$2:$A$250),"SÍ","NO")</x:f>
        <x:v>NO</x:v>
      </x:c>
      <x:c r="G1490" s="10" t="n">
        <x:f>IF(F1490="SÍ",EOMONTH(E1490,0)+1,DATE(YEAR(E1490),MONTH(E1490),1))</x:f>
        <x:v>47119</x:v>
      </x:c>
      <x:c r="H1490" t="str">
        <x:f>IF(D1490="NO",IF(C1490="SÍ","FERIADO","FIN DE SEMANA"),"LABORABLE")&amp;IF(F1490="SÍ"," + CIERRE","")</x:f>
        <x:v>FIN DE SEMANA</x:v>
      </x:c>
      <x:c r="I1490" t="str">
        <x:f>TEXT(G1490,"yyyy-mm")</x:f>
        <x:v>2029-01</x:v>
      </x:c>
    </x:row>
    <x:row r="1491" ht="19" customHeight="1">
      <x:c r="A1491" s="2" t="n">
        <x:v>47147</x:v>
      </x:c>
      <x:c r="B1491" t="str">
        <x:f>CHOOSE(WEEKDAY(A1491,2),"Lunes","Martes","Miércoles","Jueves","Viernes","Sábado","Domingo")</x:f>
        <x:v>Lunes</x:v>
      </x:c>
      <x:c r="C1491" t="str">
        <x:f>IF(COUNTIF(FERIADOS!$A$2:$A$250,A1491)&gt;0,"SÍ","NO")</x:f>
        <x:v>NO</x:v>
      </x:c>
      <x:c r="D1491" t="str">
        <x:f>IF(AND(WEEKDAY(A1491,2)&lt;=5,C1491="NO"),"SÍ","NO")</x:f>
        <x:v>SÍ</x:v>
      </x:c>
      <x:c r="E1491" s="2" t="n">
        <x:f>WORKDAY.INTL(A1491-1,1,1,FERIADOS!$A$2:$A$250)</x:f>
        <x:v>47147</x:v>
      </x:c>
      <x:c r="F1491" t="str">
        <x:f>IF(E1491&gt;=WORKDAY.INTL(EOMONTH(E1491,0)+1,-2,1,FERIADOS!$A$2:$A$250),"SÍ","NO")</x:f>
        <x:v>NO</x:v>
      </x:c>
      <x:c r="G1491" s="10" t="n">
        <x:f>IF(F1491="SÍ",EOMONTH(E1491,0)+1,DATE(YEAR(E1491),MONTH(E1491),1))</x:f>
        <x:v>47119</x:v>
      </x:c>
      <x:c r="H1491" t="str">
        <x:f>IF(D1491="NO",IF(C1491="SÍ","FERIADO","FIN DE SEMANA"),"LABORABLE")&amp;IF(F1491="SÍ"," + CIERRE","")</x:f>
        <x:v>LABORABLE</x:v>
      </x:c>
      <x:c r="I1491" t="str">
        <x:f>TEXT(G1491,"yyyy-mm")</x:f>
        <x:v>2029-01</x:v>
      </x:c>
    </x:row>
    <x:row r="1492" ht="19" customHeight="1">
      <x:c r="A1492" s="2" t="n">
        <x:v>47148</x:v>
      </x:c>
      <x:c r="B1492" t="str">
        <x:f>CHOOSE(WEEKDAY(A1492,2),"Lunes","Martes","Miércoles","Jueves","Viernes","Sábado","Domingo")</x:f>
        <x:v>Martes</x:v>
      </x:c>
      <x:c r="C1492" t="str">
        <x:f>IF(COUNTIF(FERIADOS!$A$2:$A$250,A1492)&gt;0,"SÍ","NO")</x:f>
        <x:v>NO</x:v>
      </x:c>
      <x:c r="D1492" t="str">
        <x:f>IF(AND(WEEKDAY(A1492,2)&lt;=5,C1492="NO"),"SÍ","NO")</x:f>
        <x:v>SÍ</x:v>
      </x:c>
      <x:c r="E1492" s="2" t="n">
        <x:f>WORKDAY.INTL(A1492-1,1,1,FERIADOS!$A$2:$A$250)</x:f>
        <x:v>47148</x:v>
      </x:c>
      <x:c r="F1492" t="str">
        <x:f>IF(E1492&gt;=WORKDAY.INTL(EOMONTH(E1492,0)+1,-2,1,FERIADOS!$A$2:$A$250),"SÍ","NO")</x:f>
        <x:v>SÍ</x:v>
      </x:c>
      <x:c r="G1492" s="10" t="n">
        <x:f>IF(F1492="SÍ",EOMONTH(E1492,0)+1,DATE(YEAR(E1492),MONTH(E1492),1))</x:f>
        <x:v>47150</x:v>
      </x:c>
      <x:c r="H1492" t="str">
        <x:f>IF(D1492="NO",IF(C1492="SÍ","FERIADO","FIN DE SEMANA"),"LABORABLE")&amp;IF(F1492="SÍ"," + CIERRE","")</x:f>
        <x:v>LABORABLE + CIERRE</x:v>
      </x:c>
      <x:c r="I1492" t="str">
        <x:f>TEXT(G1492,"yyyy-mm")</x:f>
        <x:v>2029-02</x:v>
      </x:c>
    </x:row>
    <x:row r="1493" ht="19" customHeight="1">
      <x:c r="A1493" s="2" t="n">
        <x:v>47149</x:v>
      </x:c>
      <x:c r="B1493" t="str">
        <x:f>CHOOSE(WEEKDAY(A1493,2),"Lunes","Martes","Miércoles","Jueves","Viernes","Sábado","Domingo")</x:f>
        <x:v>Miércoles</x:v>
      </x:c>
      <x:c r="C1493" t="str">
        <x:f>IF(COUNTIF(FERIADOS!$A$2:$A$250,A1493)&gt;0,"SÍ","NO")</x:f>
        <x:v>NO</x:v>
      </x:c>
      <x:c r="D1493" t="str">
        <x:f>IF(AND(WEEKDAY(A1493,2)&lt;=5,C1493="NO"),"SÍ","NO")</x:f>
        <x:v>SÍ</x:v>
      </x:c>
      <x:c r="E1493" s="2" t="n">
        <x:f>WORKDAY.INTL(A1493-1,1,1,FERIADOS!$A$2:$A$250)</x:f>
        <x:v>47149</x:v>
      </x:c>
      <x:c r="F1493" t="str">
        <x:f>IF(E1493&gt;=WORKDAY.INTL(EOMONTH(E1493,0)+1,-2,1,FERIADOS!$A$2:$A$250),"SÍ","NO")</x:f>
        <x:v>SÍ</x:v>
      </x:c>
      <x:c r="G1493" s="10" t="n">
        <x:f>IF(F1493="SÍ",EOMONTH(E1493,0)+1,DATE(YEAR(E1493),MONTH(E1493),1))</x:f>
        <x:v>47150</x:v>
      </x:c>
      <x:c r="H1493" t="str">
        <x:f>IF(D1493="NO",IF(C1493="SÍ","FERIADO","FIN DE SEMANA"),"LABORABLE")&amp;IF(F1493="SÍ"," + CIERRE","")</x:f>
        <x:v>LABORABLE + CIERRE</x:v>
      </x:c>
      <x:c r="I1493" t="str">
        <x:f>TEXT(G1493,"yyyy-mm")</x:f>
        <x:v>2029-02</x:v>
      </x:c>
    </x:row>
    <x:row r="1494" ht="19" customHeight="1">
      <x:c r="A1494" s="2" t="n">
        <x:v>47150</x:v>
      </x:c>
      <x:c r="B1494" t="str">
        <x:f>CHOOSE(WEEKDAY(A1494,2),"Lunes","Martes","Miércoles","Jueves","Viernes","Sábado","Domingo")</x:f>
        <x:v>Jueves</x:v>
      </x:c>
      <x:c r="C1494" t="str">
        <x:f>IF(COUNTIF(FERIADOS!$A$2:$A$250,A1494)&gt;0,"SÍ","NO")</x:f>
        <x:v>NO</x:v>
      </x:c>
      <x:c r="D1494" t="str">
        <x:f>IF(AND(WEEKDAY(A1494,2)&lt;=5,C1494="NO"),"SÍ","NO")</x:f>
        <x:v>SÍ</x:v>
      </x:c>
      <x:c r="E1494" s="2" t="n">
        <x:f>WORKDAY.INTL(A1494-1,1,1,FERIADOS!$A$2:$A$250)</x:f>
        <x:v>47150</x:v>
      </x:c>
      <x:c r="F1494" t="str">
        <x:f>IF(E1494&gt;=WORKDAY.INTL(EOMONTH(E1494,0)+1,-2,1,FERIADOS!$A$2:$A$250),"SÍ","NO")</x:f>
        <x:v>NO</x:v>
      </x:c>
      <x:c r="G1494" s="10" t="n">
        <x:f>IF(F1494="SÍ",EOMONTH(E1494,0)+1,DATE(YEAR(E1494),MONTH(E1494),1))</x:f>
        <x:v>47150</x:v>
      </x:c>
      <x:c r="H1494" t="str">
        <x:f>IF(D1494="NO",IF(C1494="SÍ","FERIADO","FIN DE SEMANA"),"LABORABLE")&amp;IF(F1494="SÍ"," + CIERRE","")</x:f>
        <x:v>LABORABLE</x:v>
      </x:c>
      <x:c r="I1494" t="str">
        <x:f>TEXT(G1494,"yyyy-mm")</x:f>
        <x:v>2029-02</x:v>
      </x:c>
    </x:row>
    <x:row r="1495" ht="19" customHeight="1">
      <x:c r="A1495" s="2" t="n">
        <x:v>47151</x:v>
      </x:c>
      <x:c r="B1495" t="str">
        <x:f>CHOOSE(WEEKDAY(A1495,2),"Lunes","Martes","Miércoles","Jueves","Viernes","Sábado","Domingo")</x:f>
        <x:v>Viernes</x:v>
      </x:c>
      <x:c r="C1495" t="str">
        <x:f>IF(COUNTIF(FERIADOS!$A$2:$A$250,A1495)&gt;0,"SÍ","NO")</x:f>
        <x:v>NO</x:v>
      </x:c>
      <x:c r="D1495" t="str">
        <x:f>IF(AND(WEEKDAY(A1495,2)&lt;=5,C1495="NO"),"SÍ","NO")</x:f>
        <x:v>SÍ</x:v>
      </x:c>
      <x:c r="E1495" s="2" t="n">
        <x:f>WORKDAY.INTL(A1495-1,1,1,FERIADOS!$A$2:$A$250)</x:f>
        <x:v>47151</x:v>
      </x:c>
      <x:c r="F1495" t="str">
        <x:f>IF(E1495&gt;=WORKDAY.INTL(EOMONTH(E1495,0)+1,-2,1,FERIADOS!$A$2:$A$250),"SÍ","NO")</x:f>
        <x:v>NO</x:v>
      </x:c>
      <x:c r="G1495" s="10" t="n">
        <x:f>IF(F1495="SÍ",EOMONTH(E1495,0)+1,DATE(YEAR(E1495),MONTH(E1495),1))</x:f>
        <x:v>47150</x:v>
      </x:c>
      <x:c r="H1495" t="str">
        <x:f>IF(D1495="NO",IF(C1495="SÍ","FERIADO","FIN DE SEMANA"),"LABORABLE")&amp;IF(F1495="SÍ"," + CIERRE","")</x:f>
        <x:v>LABORABLE</x:v>
      </x:c>
      <x:c r="I1495" t="str">
        <x:f>TEXT(G1495,"yyyy-mm")</x:f>
        <x:v>2029-02</x:v>
      </x:c>
    </x:row>
    <x:row r="1496" ht="19" customHeight="1">
      <x:c r="A1496" s="2" t="n">
        <x:v>47152</x:v>
      </x:c>
      <x:c r="B1496" t="str">
        <x:f>CHOOSE(WEEKDAY(A1496,2),"Lunes","Martes","Miércoles","Jueves","Viernes","Sábado","Domingo")</x:f>
        <x:v>Sábado</x:v>
      </x:c>
      <x:c r="C1496" t="str">
        <x:f>IF(COUNTIF(FERIADOS!$A$2:$A$250,A1496)&gt;0,"SÍ","NO")</x:f>
        <x:v>NO</x:v>
      </x:c>
      <x:c r="D1496" t="str">
        <x:f>IF(AND(WEEKDAY(A1496,2)&lt;=5,C1496="NO"),"SÍ","NO")</x:f>
        <x:v>NO</x:v>
      </x:c>
      <x:c r="E1496" s="2" t="n">
        <x:f>WORKDAY.INTL(A1496-1,1,1,FERIADOS!$A$2:$A$250)</x:f>
        <x:v>47154</x:v>
      </x:c>
      <x:c r="F1496" t="str">
        <x:f>IF(E1496&gt;=WORKDAY.INTL(EOMONTH(E1496,0)+1,-2,1,FERIADOS!$A$2:$A$250),"SÍ","NO")</x:f>
        <x:v>NO</x:v>
      </x:c>
      <x:c r="G1496" s="10" t="n">
        <x:f>IF(F1496="SÍ",EOMONTH(E1496,0)+1,DATE(YEAR(E1496),MONTH(E1496),1))</x:f>
        <x:v>47150</x:v>
      </x:c>
      <x:c r="H1496" t="str">
        <x:f>IF(D1496="NO",IF(C1496="SÍ","FERIADO","FIN DE SEMANA"),"LABORABLE")&amp;IF(F1496="SÍ"," + CIERRE","")</x:f>
        <x:v>FIN DE SEMANA</x:v>
      </x:c>
      <x:c r="I1496" t="str">
        <x:f>TEXT(G1496,"yyyy-mm")</x:f>
        <x:v>2029-02</x:v>
      </x:c>
    </x:row>
    <x:row r="1497" ht="19" customHeight="1">
      <x:c r="A1497" s="2" t="n">
        <x:v>47153</x:v>
      </x:c>
      <x:c r="B1497" t="str">
        <x:f>CHOOSE(WEEKDAY(A1497,2),"Lunes","Martes","Miércoles","Jueves","Viernes","Sábado","Domingo")</x:f>
        <x:v>Domingo</x:v>
      </x:c>
      <x:c r="C1497" t="str">
        <x:f>IF(COUNTIF(FERIADOS!$A$2:$A$250,A1497)&gt;0,"SÍ","NO")</x:f>
        <x:v>NO</x:v>
      </x:c>
      <x:c r="D1497" t="str">
        <x:f>IF(AND(WEEKDAY(A1497,2)&lt;=5,C1497="NO"),"SÍ","NO")</x:f>
        <x:v>NO</x:v>
      </x:c>
      <x:c r="E1497" s="2" t="n">
        <x:f>WORKDAY.INTL(A1497-1,1,1,FERIADOS!$A$2:$A$250)</x:f>
        <x:v>47154</x:v>
      </x:c>
      <x:c r="F1497" t="str">
        <x:f>IF(E1497&gt;=WORKDAY.INTL(EOMONTH(E1497,0)+1,-2,1,FERIADOS!$A$2:$A$250),"SÍ","NO")</x:f>
        <x:v>NO</x:v>
      </x:c>
      <x:c r="G1497" s="10" t="n">
        <x:f>IF(F1497="SÍ",EOMONTH(E1497,0)+1,DATE(YEAR(E1497),MONTH(E1497),1))</x:f>
        <x:v>47150</x:v>
      </x:c>
      <x:c r="H1497" t="str">
        <x:f>IF(D1497="NO",IF(C1497="SÍ","FERIADO","FIN DE SEMANA"),"LABORABLE")&amp;IF(F1497="SÍ"," + CIERRE","")</x:f>
        <x:v>FIN DE SEMANA</x:v>
      </x:c>
      <x:c r="I1497" t="str">
        <x:f>TEXT(G1497,"yyyy-mm")</x:f>
        <x:v>2029-02</x:v>
      </x:c>
    </x:row>
    <x:row r="1498" ht="19" customHeight="1">
      <x:c r="A1498" s="2" t="n">
        <x:v>47154</x:v>
      </x:c>
      <x:c r="B1498" t="str">
        <x:f>CHOOSE(WEEKDAY(A1498,2),"Lunes","Martes","Miércoles","Jueves","Viernes","Sábado","Domingo")</x:f>
        <x:v>Lunes</x:v>
      </x:c>
      <x:c r="C1498" t="str">
        <x:f>IF(COUNTIF(FERIADOS!$A$2:$A$250,A1498)&gt;0,"SÍ","NO")</x:f>
        <x:v>NO</x:v>
      </x:c>
      <x:c r="D1498" t="str">
        <x:f>IF(AND(WEEKDAY(A1498,2)&lt;=5,C1498="NO"),"SÍ","NO")</x:f>
        <x:v>SÍ</x:v>
      </x:c>
      <x:c r="E1498" s="2" t="n">
        <x:f>WORKDAY.INTL(A1498-1,1,1,FERIADOS!$A$2:$A$250)</x:f>
        <x:v>47154</x:v>
      </x:c>
      <x:c r="F1498" t="str">
        <x:f>IF(E1498&gt;=WORKDAY.INTL(EOMONTH(E1498,0)+1,-2,1,FERIADOS!$A$2:$A$250),"SÍ","NO")</x:f>
        <x:v>NO</x:v>
      </x:c>
      <x:c r="G1498" s="10" t="n">
        <x:f>IF(F1498="SÍ",EOMONTH(E1498,0)+1,DATE(YEAR(E1498),MONTH(E1498),1))</x:f>
        <x:v>47150</x:v>
      </x:c>
      <x:c r="H1498" t="str">
        <x:f>IF(D1498="NO",IF(C1498="SÍ","FERIADO","FIN DE SEMANA"),"LABORABLE")&amp;IF(F1498="SÍ"," + CIERRE","")</x:f>
        <x:v>LABORABLE</x:v>
      </x:c>
      <x:c r="I1498" t="str">
        <x:f>TEXT(G1498,"yyyy-mm")</x:f>
        <x:v>2029-02</x:v>
      </x:c>
    </x:row>
    <x:row r="1499" ht="19" customHeight="1">
      <x:c r="A1499" s="2" t="n">
        <x:v>47155</x:v>
      </x:c>
      <x:c r="B1499" t="str">
        <x:f>CHOOSE(WEEKDAY(A1499,2),"Lunes","Martes","Miércoles","Jueves","Viernes","Sábado","Domingo")</x:f>
        <x:v>Martes</x:v>
      </x:c>
      <x:c r="C1499" t="str">
        <x:f>IF(COUNTIF(FERIADOS!$A$2:$A$250,A1499)&gt;0,"SÍ","NO")</x:f>
        <x:v>NO</x:v>
      </x:c>
      <x:c r="D1499" t="str">
        <x:f>IF(AND(WEEKDAY(A1499,2)&lt;=5,C1499="NO"),"SÍ","NO")</x:f>
        <x:v>SÍ</x:v>
      </x:c>
      <x:c r="E1499" s="2" t="n">
        <x:f>WORKDAY.INTL(A1499-1,1,1,FERIADOS!$A$2:$A$250)</x:f>
        <x:v>47155</x:v>
      </x:c>
      <x:c r="F1499" t="str">
        <x:f>IF(E1499&gt;=WORKDAY.INTL(EOMONTH(E1499,0)+1,-2,1,FERIADOS!$A$2:$A$250),"SÍ","NO")</x:f>
        <x:v>NO</x:v>
      </x:c>
      <x:c r="G1499" s="10" t="n">
        <x:f>IF(F1499="SÍ",EOMONTH(E1499,0)+1,DATE(YEAR(E1499),MONTH(E1499),1))</x:f>
        <x:v>47150</x:v>
      </x:c>
      <x:c r="H1499" t="str">
        <x:f>IF(D1499="NO",IF(C1499="SÍ","FERIADO","FIN DE SEMANA"),"LABORABLE")&amp;IF(F1499="SÍ"," + CIERRE","")</x:f>
        <x:v>LABORABLE</x:v>
      </x:c>
      <x:c r="I1499" t="str">
        <x:f>TEXT(G1499,"yyyy-mm")</x:f>
        <x:v>2029-02</x:v>
      </x:c>
    </x:row>
    <x:row r="1500" ht="19" customHeight="1">
      <x:c r="A1500" s="2" t="n">
        <x:v>47156</x:v>
      </x:c>
      <x:c r="B1500" t="str">
        <x:f>CHOOSE(WEEKDAY(A1500,2),"Lunes","Martes","Miércoles","Jueves","Viernes","Sábado","Domingo")</x:f>
        <x:v>Miércoles</x:v>
      </x:c>
      <x:c r="C1500" t="str">
        <x:f>IF(COUNTIF(FERIADOS!$A$2:$A$250,A1500)&gt;0,"SÍ","NO")</x:f>
        <x:v>NO</x:v>
      </x:c>
      <x:c r="D1500" t="str">
        <x:f>IF(AND(WEEKDAY(A1500,2)&lt;=5,C1500="NO"),"SÍ","NO")</x:f>
        <x:v>SÍ</x:v>
      </x:c>
      <x:c r="E1500" s="2" t="n">
        <x:f>WORKDAY.INTL(A1500-1,1,1,FERIADOS!$A$2:$A$250)</x:f>
        <x:v>47156</x:v>
      </x:c>
      <x:c r="F1500" t="str">
        <x:f>IF(E1500&gt;=WORKDAY.INTL(EOMONTH(E1500,0)+1,-2,1,FERIADOS!$A$2:$A$250),"SÍ","NO")</x:f>
        <x:v>NO</x:v>
      </x:c>
      <x:c r="G1500" s="10" t="n">
        <x:f>IF(F1500="SÍ",EOMONTH(E1500,0)+1,DATE(YEAR(E1500),MONTH(E1500),1))</x:f>
        <x:v>47150</x:v>
      </x:c>
      <x:c r="H1500" t="str">
        <x:f>IF(D1500="NO",IF(C1500="SÍ","FERIADO","FIN DE SEMANA"),"LABORABLE")&amp;IF(F1500="SÍ"," + CIERRE","")</x:f>
        <x:v>LABORABLE</x:v>
      </x:c>
      <x:c r="I1500" t="str">
        <x:f>TEXT(G1500,"yyyy-mm")</x:f>
        <x:v>2029-02</x:v>
      </x:c>
    </x:row>
    <x:row r="1501" ht="19" customHeight="1">
      <x:c r="A1501" s="2" t="n">
        <x:v>47157</x:v>
      </x:c>
      <x:c r="B1501" t="str">
        <x:f>CHOOSE(WEEKDAY(A1501,2),"Lunes","Martes","Miércoles","Jueves","Viernes","Sábado","Domingo")</x:f>
        <x:v>Jueves</x:v>
      </x:c>
      <x:c r="C1501" t="str">
        <x:f>IF(COUNTIF(FERIADOS!$A$2:$A$250,A1501)&gt;0,"SÍ","NO")</x:f>
        <x:v>NO</x:v>
      </x:c>
      <x:c r="D1501" t="str">
        <x:f>IF(AND(WEEKDAY(A1501,2)&lt;=5,C1501="NO"),"SÍ","NO")</x:f>
        <x:v>SÍ</x:v>
      </x:c>
      <x:c r="E1501" s="2" t="n">
        <x:f>WORKDAY.INTL(A1501-1,1,1,FERIADOS!$A$2:$A$250)</x:f>
        <x:v>47157</x:v>
      </x:c>
      <x:c r="F1501" t="str">
        <x:f>IF(E1501&gt;=WORKDAY.INTL(EOMONTH(E1501,0)+1,-2,1,FERIADOS!$A$2:$A$250),"SÍ","NO")</x:f>
        <x:v>NO</x:v>
      </x:c>
      <x:c r="G1501" s="10" t="n">
        <x:f>IF(F1501="SÍ",EOMONTH(E1501,0)+1,DATE(YEAR(E1501),MONTH(E1501),1))</x:f>
        <x:v>47150</x:v>
      </x:c>
      <x:c r="H1501" t="str">
        <x:f>IF(D1501="NO",IF(C1501="SÍ","FERIADO","FIN DE SEMANA"),"LABORABLE")&amp;IF(F1501="SÍ"," + CIERRE","")</x:f>
        <x:v>LABORABLE</x:v>
      </x:c>
      <x:c r="I1501" t="str">
        <x:f>TEXT(G1501,"yyyy-mm")</x:f>
        <x:v>2029-02</x:v>
      </x:c>
    </x:row>
    <x:row r="1502" ht="19" customHeight="1">
      <x:c r="A1502" s="2" t="n">
        <x:v>47158</x:v>
      </x:c>
      <x:c r="B1502" t="str">
        <x:f>CHOOSE(WEEKDAY(A1502,2),"Lunes","Martes","Miércoles","Jueves","Viernes","Sábado","Domingo")</x:f>
        <x:v>Viernes</x:v>
      </x:c>
      <x:c r="C1502" t="str">
        <x:f>IF(COUNTIF(FERIADOS!$A$2:$A$250,A1502)&gt;0,"SÍ","NO")</x:f>
        <x:v>NO</x:v>
      </x:c>
      <x:c r="D1502" t="str">
        <x:f>IF(AND(WEEKDAY(A1502,2)&lt;=5,C1502="NO"),"SÍ","NO")</x:f>
        <x:v>SÍ</x:v>
      </x:c>
      <x:c r="E1502" s="2" t="n">
        <x:f>WORKDAY.INTL(A1502-1,1,1,FERIADOS!$A$2:$A$250)</x:f>
        <x:v>47158</x:v>
      </x:c>
      <x:c r="F1502" t="str">
        <x:f>IF(E1502&gt;=WORKDAY.INTL(EOMONTH(E1502,0)+1,-2,1,FERIADOS!$A$2:$A$250),"SÍ","NO")</x:f>
        <x:v>NO</x:v>
      </x:c>
      <x:c r="G1502" s="10" t="n">
        <x:f>IF(F1502="SÍ",EOMONTH(E1502,0)+1,DATE(YEAR(E1502),MONTH(E1502),1))</x:f>
        <x:v>47150</x:v>
      </x:c>
      <x:c r="H1502" t="str">
        <x:f>IF(D1502="NO",IF(C1502="SÍ","FERIADO","FIN DE SEMANA"),"LABORABLE")&amp;IF(F1502="SÍ"," + CIERRE","")</x:f>
        <x:v>LABORABLE</x:v>
      </x:c>
      <x:c r="I1502" t="str">
        <x:f>TEXT(G1502,"yyyy-mm")</x:f>
        <x:v>2029-02</x:v>
      </x:c>
    </x:row>
    <x:row r="1503" ht="19" customHeight="1">
      <x:c r="A1503" s="2" t="n">
        <x:v>47159</x:v>
      </x:c>
      <x:c r="B1503" t="str">
        <x:f>CHOOSE(WEEKDAY(A1503,2),"Lunes","Martes","Miércoles","Jueves","Viernes","Sábado","Domingo")</x:f>
        <x:v>Sábado</x:v>
      </x:c>
      <x:c r="C1503" t="str">
        <x:f>IF(COUNTIF(FERIADOS!$A$2:$A$250,A1503)&gt;0,"SÍ","NO")</x:f>
        <x:v>NO</x:v>
      </x:c>
      <x:c r="D1503" t="str">
        <x:f>IF(AND(WEEKDAY(A1503,2)&lt;=5,C1503="NO"),"SÍ","NO")</x:f>
        <x:v>NO</x:v>
      </x:c>
      <x:c r="E1503" s="2" t="n">
        <x:f>WORKDAY.INTL(A1503-1,1,1,FERIADOS!$A$2:$A$250)</x:f>
        <x:v>47163</x:v>
      </x:c>
      <x:c r="F1503" t="str">
        <x:f>IF(E1503&gt;=WORKDAY.INTL(EOMONTH(E1503,0)+1,-2,1,FERIADOS!$A$2:$A$250),"SÍ","NO")</x:f>
        <x:v>NO</x:v>
      </x:c>
      <x:c r="G1503" s="10" t="n">
        <x:f>IF(F1503="SÍ",EOMONTH(E1503,0)+1,DATE(YEAR(E1503),MONTH(E1503),1))</x:f>
        <x:v>47150</x:v>
      </x:c>
      <x:c r="H1503" t="str">
        <x:f>IF(D1503="NO",IF(C1503="SÍ","FERIADO","FIN DE SEMANA"),"LABORABLE")&amp;IF(F1503="SÍ"," + CIERRE","")</x:f>
        <x:v>FIN DE SEMANA</x:v>
      </x:c>
      <x:c r="I1503" t="str">
        <x:f>TEXT(G1503,"yyyy-mm")</x:f>
        <x:v>2029-02</x:v>
      </x:c>
    </x:row>
    <x:row r="1504" ht="19" customHeight="1">
      <x:c r="A1504" s="2" t="n">
        <x:v>47160</x:v>
      </x:c>
      <x:c r="B1504" t="str">
        <x:f>CHOOSE(WEEKDAY(A1504,2),"Lunes","Martes","Miércoles","Jueves","Viernes","Sábado","Domingo")</x:f>
        <x:v>Domingo</x:v>
      </x:c>
      <x:c r="C1504" t="str">
        <x:f>IF(COUNTIF(FERIADOS!$A$2:$A$250,A1504)&gt;0,"SÍ","NO")</x:f>
        <x:v>NO</x:v>
      </x:c>
      <x:c r="D1504" t="str">
        <x:f>IF(AND(WEEKDAY(A1504,2)&lt;=5,C1504="NO"),"SÍ","NO")</x:f>
        <x:v>NO</x:v>
      </x:c>
      <x:c r="E1504" s="2" t="n">
        <x:f>WORKDAY.INTL(A1504-1,1,1,FERIADOS!$A$2:$A$250)</x:f>
        <x:v>47163</x:v>
      </x:c>
      <x:c r="F1504" t="str">
        <x:f>IF(E1504&gt;=WORKDAY.INTL(EOMONTH(E1504,0)+1,-2,1,FERIADOS!$A$2:$A$250),"SÍ","NO")</x:f>
        <x:v>NO</x:v>
      </x:c>
      <x:c r="G1504" s="10" t="n">
        <x:f>IF(F1504="SÍ",EOMONTH(E1504,0)+1,DATE(YEAR(E1504),MONTH(E1504),1))</x:f>
        <x:v>47150</x:v>
      </x:c>
      <x:c r="H1504" t="str">
        <x:f>IF(D1504="NO",IF(C1504="SÍ","FERIADO","FIN DE SEMANA"),"LABORABLE")&amp;IF(F1504="SÍ"," + CIERRE","")</x:f>
        <x:v>FIN DE SEMANA</x:v>
      </x:c>
      <x:c r="I1504" t="str">
        <x:f>TEXT(G1504,"yyyy-mm")</x:f>
        <x:v>2029-02</x:v>
      </x:c>
    </x:row>
    <x:row r="1505" ht="19" customHeight="1">
      <x:c r="A1505" s="2" t="n">
        <x:v>47161</x:v>
      </x:c>
      <x:c r="B1505" t="str">
        <x:f>CHOOSE(WEEKDAY(A1505,2),"Lunes","Martes","Miércoles","Jueves","Viernes","Sábado","Domingo")</x:f>
        <x:v>Lunes</x:v>
      </x:c>
      <x:c r="C1505" t="str">
        <x:f>IF(COUNTIF(FERIADOS!$A$2:$A$250,A1505)&gt;0,"SÍ","NO")</x:f>
        <x:v>SÍ</x:v>
      </x:c>
      <x:c r="D1505" t="str">
        <x:f>IF(AND(WEEKDAY(A1505,2)&lt;=5,C1505="NO"),"SÍ","NO")</x:f>
        <x:v>NO</x:v>
      </x:c>
      <x:c r="E1505" s="2" t="n">
        <x:f>WORKDAY.INTL(A1505-1,1,1,FERIADOS!$A$2:$A$250)</x:f>
        <x:v>47163</x:v>
      </x:c>
      <x:c r="F1505" t="str">
        <x:f>IF(E1505&gt;=WORKDAY.INTL(EOMONTH(E1505,0)+1,-2,1,FERIADOS!$A$2:$A$250),"SÍ","NO")</x:f>
        <x:v>NO</x:v>
      </x:c>
      <x:c r="G1505" s="10" t="n">
        <x:f>IF(F1505="SÍ",EOMONTH(E1505,0)+1,DATE(YEAR(E1505),MONTH(E1505),1))</x:f>
        <x:v>47150</x:v>
      </x:c>
      <x:c r="H1505" t="str">
        <x:f>IF(D1505="NO",IF(C1505="SÍ","FERIADO","FIN DE SEMANA"),"LABORABLE")&amp;IF(F1505="SÍ"," + CIERRE","")</x:f>
        <x:v>FERIADO</x:v>
      </x:c>
      <x:c r="I1505" t="str">
        <x:f>TEXT(G1505,"yyyy-mm")</x:f>
        <x:v>2029-02</x:v>
      </x:c>
    </x:row>
    <x:row r="1506" ht="19" customHeight="1">
      <x:c r="A1506" s="2" t="n">
        <x:v>47162</x:v>
      </x:c>
      <x:c r="B1506" t="str">
        <x:f>CHOOSE(WEEKDAY(A1506,2),"Lunes","Martes","Miércoles","Jueves","Viernes","Sábado","Domingo")</x:f>
        <x:v>Martes</x:v>
      </x:c>
      <x:c r="C1506" t="str">
        <x:f>IF(COUNTIF(FERIADOS!$A$2:$A$250,A1506)&gt;0,"SÍ","NO")</x:f>
        <x:v>SÍ</x:v>
      </x:c>
      <x:c r="D1506" t="str">
        <x:f>IF(AND(WEEKDAY(A1506,2)&lt;=5,C1506="NO"),"SÍ","NO")</x:f>
        <x:v>NO</x:v>
      </x:c>
      <x:c r="E1506" s="2" t="n">
        <x:f>WORKDAY.INTL(A1506-1,1,1,FERIADOS!$A$2:$A$250)</x:f>
        <x:v>47163</x:v>
      </x:c>
      <x:c r="F1506" t="str">
        <x:f>IF(E1506&gt;=WORKDAY.INTL(EOMONTH(E1506,0)+1,-2,1,FERIADOS!$A$2:$A$250),"SÍ","NO")</x:f>
        <x:v>NO</x:v>
      </x:c>
      <x:c r="G1506" s="10" t="n">
        <x:f>IF(F1506="SÍ",EOMONTH(E1506,0)+1,DATE(YEAR(E1506),MONTH(E1506),1))</x:f>
        <x:v>47150</x:v>
      </x:c>
      <x:c r="H1506" t="str">
        <x:f>IF(D1506="NO",IF(C1506="SÍ","FERIADO","FIN DE SEMANA"),"LABORABLE")&amp;IF(F1506="SÍ"," + CIERRE","")</x:f>
        <x:v>FERIADO</x:v>
      </x:c>
      <x:c r="I1506" t="str">
        <x:f>TEXT(G1506,"yyyy-mm")</x:f>
        <x:v>2029-02</x:v>
      </x:c>
    </x:row>
    <x:row r="1507" ht="19" customHeight="1">
      <x:c r="A1507" s="2" t="n">
        <x:v>47163</x:v>
      </x:c>
      <x:c r="B1507" t="str">
        <x:f>CHOOSE(WEEKDAY(A1507,2),"Lunes","Martes","Miércoles","Jueves","Viernes","Sábado","Domingo")</x:f>
        <x:v>Miércoles</x:v>
      </x:c>
      <x:c r="C1507" t="str">
        <x:f>IF(COUNTIF(FERIADOS!$A$2:$A$250,A1507)&gt;0,"SÍ","NO")</x:f>
        <x:v>NO</x:v>
      </x:c>
      <x:c r="D1507" t="str">
        <x:f>IF(AND(WEEKDAY(A1507,2)&lt;=5,C1507="NO"),"SÍ","NO")</x:f>
        <x:v>SÍ</x:v>
      </x:c>
      <x:c r="E1507" s="2" t="n">
        <x:f>WORKDAY.INTL(A1507-1,1,1,FERIADOS!$A$2:$A$250)</x:f>
        <x:v>47163</x:v>
      </x:c>
      <x:c r="F1507" t="str">
        <x:f>IF(E1507&gt;=WORKDAY.INTL(EOMONTH(E1507,0)+1,-2,1,FERIADOS!$A$2:$A$250),"SÍ","NO")</x:f>
        <x:v>NO</x:v>
      </x:c>
      <x:c r="G1507" s="10" t="n">
        <x:f>IF(F1507="SÍ",EOMONTH(E1507,0)+1,DATE(YEAR(E1507),MONTH(E1507),1))</x:f>
        <x:v>47150</x:v>
      </x:c>
      <x:c r="H1507" t="str">
        <x:f>IF(D1507="NO",IF(C1507="SÍ","FERIADO","FIN DE SEMANA"),"LABORABLE")&amp;IF(F1507="SÍ"," + CIERRE","")</x:f>
        <x:v>LABORABLE</x:v>
      </x:c>
      <x:c r="I1507" t="str">
        <x:f>TEXT(G1507,"yyyy-mm")</x:f>
        <x:v>2029-02</x:v>
      </x:c>
    </x:row>
    <x:row r="1508" ht="19" customHeight="1">
      <x:c r="A1508" s="2" t="n">
        <x:v>47164</x:v>
      </x:c>
      <x:c r="B1508" t="str">
        <x:f>CHOOSE(WEEKDAY(A1508,2),"Lunes","Martes","Miércoles","Jueves","Viernes","Sábado","Domingo")</x:f>
        <x:v>Jueves</x:v>
      </x:c>
      <x:c r="C1508" t="str">
        <x:f>IF(COUNTIF(FERIADOS!$A$2:$A$250,A1508)&gt;0,"SÍ","NO")</x:f>
        <x:v>NO</x:v>
      </x:c>
      <x:c r="D1508" t="str">
        <x:f>IF(AND(WEEKDAY(A1508,2)&lt;=5,C1508="NO"),"SÍ","NO")</x:f>
        <x:v>SÍ</x:v>
      </x:c>
      <x:c r="E1508" s="2" t="n">
        <x:f>WORKDAY.INTL(A1508-1,1,1,FERIADOS!$A$2:$A$250)</x:f>
        <x:v>47164</x:v>
      </x:c>
      <x:c r="F1508" t="str">
        <x:f>IF(E1508&gt;=WORKDAY.INTL(EOMONTH(E1508,0)+1,-2,1,FERIADOS!$A$2:$A$250),"SÍ","NO")</x:f>
        <x:v>NO</x:v>
      </x:c>
      <x:c r="G1508" s="10" t="n">
        <x:f>IF(F1508="SÍ",EOMONTH(E1508,0)+1,DATE(YEAR(E1508),MONTH(E1508),1))</x:f>
        <x:v>47150</x:v>
      </x:c>
      <x:c r="H1508" t="str">
        <x:f>IF(D1508="NO",IF(C1508="SÍ","FERIADO","FIN DE SEMANA"),"LABORABLE")&amp;IF(F1508="SÍ"," + CIERRE","")</x:f>
        <x:v>LABORABLE</x:v>
      </x:c>
      <x:c r="I1508" t="str">
        <x:f>TEXT(G1508,"yyyy-mm")</x:f>
        <x:v>2029-02</x:v>
      </x:c>
    </x:row>
    <x:row r="1509" ht="19" customHeight="1">
      <x:c r="A1509" s="2" t="n">
        <x:v>47165</x:v>
      </x:c>
      <x:c r="B1509" t="str">
        <x:f>CHOOSE(WEEKDAY(A1509,2),"Lunes","Martes","Miércoles","Jueves","Viernes","Sábado","Domingo")</x:f>
        <x:v>Viernes</x:v>
      </x:c>
      <x:c r="C1509" t="str">
        <x:f>IF(COUNTIF(FERIADOS!$A$2:$A$250,A1509)&gt;0,"SÍ","NO")</x:f>
        <x:v>NO</x:v>
      </x:c>
      <x:c r="D1509" t="str">
        <x:f>IF(AND(WEEKDAY(A1509,2)&lt;=5,C1509="NO"),"SÍ","NO")</x:f>
        <x:v>SÍ</x:v>
      </x:c>
      <x:c r="E1509" s="2" t="n">
        <x:f>WORKDAY.INTL(A1509-1,1,1,FERIADOS!$A$2:$A$250)</x:f>
        <x:v>47165</x:v>
      </x:c>
      <x:c r="F1509" t="str">
        <x:f>IF(E1509&gt;=WORKDAY.INTL(EOMONTH(E1509,0)+1,-2,1,FERIADOS!$A$2:$A$250),"SÍ","NO")</x:f>
        <x:v>NO</x:v>
      </x:c>
      <x:c r="G1509" s="10" t="n">
        <x:f>IF(F1509="SÍ",EOMONTH(E1509,0)+1,DATE(YEAR(E1509),MONTH(E1509),1))</x:f>
        <x:v>47150</x:v>
      </x:c>
      <x:c r="H1509" t="str">
        <x:f>IF(D1509="NO",IF(C1509="SÍ","FERIADO","FIN DE SEMANA"),"LABORABLE")&amp;IF(F1509="SÍ"," + CIERRE","")</x:f>
        <x:v>LABORABLE</x:v>
      </x:c>
      <x:c r="I1509" t="str">
        <x:f>TEXT(G1509,"yyyy-mm")</x:f>
        <x:v>2029-02</x:v>
      </x:c>
    </x:row>
    <x:row r="1510" ht="19" customHeight="1">
      <x:c r="A1510" s="2" t="n">
        <x:v>47166</x:v>
      </x:c>
      <x:c r="B1510" t="str">
        <x:f>CHOOSE(WEEKDAY(A1510,2),"Lunes","Martes","Miércoles","Jueves","Viernes","Sábado","Domingo")</x:f>
        <x:v>Sábado</x:v>
      </x:c>
      <x:c r="C1510" t="str">
        <x:f>IF(COUNTIF(FERIADOS!$A$2:$A$250,A1510)&gt;0,"SÍ","NO")</x:f>
        <x:v>NO</x:v>
      </x:c>
      <x:c r="D1510" t="str">
        <x:f>IF(AND(WEEKDAY(A1510,2)&lt;=5,C1510="NO"),"SÍ","NO")</x:f>
        <x:v>NO</x:v>
      </x:c>
      <x:c r="E1510" s="2" t="n">
        <x:f>WORKDAY.INTL(A1510-1,1,1,FERIADOS!$A$2:$A$250)</x:f>
        <x:v>47168</x:v>
      </x:c>
      <x:c r="F1510" t="str">
        <x:f>IF(E1510&gt;=WORKDAY.INTL(EOMONTH(E1510,0)+1,-2,1,FERIADOS!$A$2:$A$250),"SÍ","NO")</x:f>
        <x:v>NO</x:v>
      </x:c>
      <x:c r="G1510" s="10" t="n">
        <x:f>IF(F1510="SÍ",EOMONTH(E1510,0)+1,DATE(YEAR(E1510),MONTH(E1510),1))</x:f>
        <x:v>47150</x:v>
      </x:c>
      <x:c r="H1510" t="str">
        <x:f>IF(D1510="NO",IF(C1510="SÍ","FERIADO","FIN DE SEMANA"),"LABORABLE")&amp;IF(F1510="SÍ"," + CIERRE","")</x:f>
        <x:v>FIN DE SEMANA</x:v>
      </x:c>
      <x:c r="I1510" t="str">
        <x:f>TEXT(G1510,"yyyy-mm")</x:f>
        <x:v>2029-02</x:v>
      </x:c>
    </x:row>
    <x:row r="1511" ht="19" customHeight="1">
      <x:c r="A1511" s="2" t="n">
        <x:v>47167</x:v>
      </x:c>
      <x:c r="B1511" t="str">
        <x:f>CHOOSE(WEEKDAY(A1511,2),"Lunes","Martes","Miércoles","Jueves","Viernes","Sábado","Domingo")</x:f>
        <x:v>Domingo</x:v>
      </x:c>
      <x:c r="C1511" t="str">
        <x:f>IF(COUNTIF(FERIADOS!$A$2:$A$250,A1511)&gt;0,"SÍ","NO")</x:f>
        <x:v>NO</x:v>
      </x:c>
      <x:c r="D1511" t="str">
        <x:f>IF(AND(WEEKDAY(A1511,2)&lt;=5,C1511="NO"),"SÍ","NO")</x:f>
        <x:v>NO</x:v>
      </x:c>
      <x:c r="E1511" s="2" t="n">
        <x:f>WORKDAY.INTL(A1511-1,1,1,FERIADOS!$A$2:$A$250)</x:f>
        <x:v>47168</x:v>
      </x:c>
      <x:c r="F1511" t="str">
        <x:f>IF(E1511&gt;=WORKDAY.INTL(EOMONTH(E1511,0)+1,-2,1,FERIADOS!$A$2:$A$250),"SÍ","NO")</x:f>
        <x:v>NO</x:v>
      </x:c>
      <x:c r="G1511" s="10" t="n">
        <x:f>IF(F1511="SÍ",EOMONTH(E1511,0)+1,DATE(YEAR(E1511),MONTH(E1511),1))</x:f>
        <x:v>47150</x:v>
      </x:c>
      <x:c r="H1511" t="str">
        <x:f>IF(D1511="NO",IF(C1511="SÍ","FERIADO","FIN DE SEMANA"),"LABORABLE")&amp;IF(F1511="SÍ"," + CIERRE","")</x:f>
        <x:v>FIN DE SEMANA</x:v>
      </x:c>
      <x:c r="I1511" t="str">
        <x:f>TEXT(G1511,"yyyy-mm")</x:f>
        <x:v>2029-02</x:v>
      </x:c>
    </x:row>
    <x:row r="1512" ht="19" customHeight="1">
      <x:c r="A1512" s="2" t="n">
        <x:v>47168</x:v>
      </x:c>
      <x:c r="B1512" t="str">
        <x:f>CHOOSE(WEEKDAY(A1512,2),"Lunes","Martes","Miércoles","Jueves","Viernes","Sábado","Domingo")</x:f>
        <x:v>Lunes</x:v>
      </x:c>
      <x:c r="C1512" t="str">
        <x:f>IF(COUNTIF(FERIADOS!$A$2:$A$250,A1512)&gt;0,"SÍ","NO")</x:f>
        <x:v>NO</x:v>
      </x:c>
      <x:c r="D1512" t="str">
        <x:f>IF(AND(WEEKDAY(A1512,2)&lt;=5,C1512="NO"),"SÍ","NO")</x:f>
        <x:v>SÍ</x:v>
      </x:c>
      <x:c r="E1512" s="2" t="n">
        <x:f>WORKDAY.INTL(A1512-1,1,1,FERIADOS!$A$2:$A$250)</x:f>
        <x:v>47168</x:v>
      </x:c>
      <x:c r="F1512" t="str">
        <x:f>IF(E1512&gt;=WORKDAY.INTL(EOMONTH(E1512,0)+1,-2,1,FERIADOS!$A$2:$A$250),"SÍ","NO")</x:f>
        <x:v>NO</x:v>
      </x:c>
      <x:c r="G1512" s="10" t="n">
        <x:f>IF(F1512="SÍ",EOMONTH(E1512,0)+1,DATE(YEAR(E1512),MONTH(E1512),1))</x:f>
        <x:v>47150</x:v>
      </x:c>
      <x:c r="H1512" t="str">
        <x:f>IF(D1512="NO",IF(C1512="SÍ","FERIADO","FIN DE SEMANA"),"LABORABLE")&amp;IF(F1512="SÍ"," + CIERRE","")</x:f>
        <x:v>LABORABLE</x:v>
      </x:c>
      <x:c r="I1512" t="str">
        <x:f>TEXT(G1512,"yyyy-mm")</x:f>
        <x:v>2029-02</x:v>
      </x:c>
    </x:row>
    <x:row r="1513" ht="19" customHeight="1">
      <x:c r="A1513" s="2" t="n">
        <x:v>47169</x:v>
      </x:c>
      <x:c r="B1513" t="str">
        <x:f>CHOOSE(WEEKDAY(A1513,2),"Lunes","Martes","Miércoles","Jueves","Viernes","Sábado","Domingo")</x:f>
        <x:v>Martes</x:v>
      </x:c>
      <x:c r="C1513" t="str">
        <x:f>IF(COUNTIF(FERIADOS!$A$2:$A$250,A1513)&gt;0,"SÍ","NO")</x:f>
        <x:v>NO</x:v>
      </x:c>
      <x:c r="D1513" t="str">
        <x:f>IF(AND(WEEKDAY(A1513,2)&lt;=5,C1513="NO"),"SÍ","NO")</x:f>
        <x:v>SÍ</x:v>
      </x:c>
      <x:c r="E1513" s="2" t="n">
        <x:f>WORKDAY.INTL(A1513-1,1,1,FERIADOS!$A$2:$A$250)</x:f>
        <x:v>47169</x:v>
      </x:c>
      <x:c r="F1513" t="str">
        <x:f>IF(E1513&gt;=WORKDAY.INTL(EOMONTH(E1513,0)+1,-2,1,FERIADOS!$A$2:$A$250),"SÍ","NO")</x:f>
        <x:v>NO</x:v>
      </x:c>
      <x:c r="G1513" s="10" t="n">
        <x:f>IF(F1513="SÍ",EOMONTH(E1513,0)+1,DATE(YEAR(E1513),MONTH(E1513),1))</x:f>
        <x:v>47150</x:v>
      </x:c>
      <x:c r="H1513" t="str">
        <x:f>IF(D1513="NO",IF(C1513="SÍ","FERIADO","FIN DE SEMANA"),"LABORABLE")&amp;IF(F1513="SÍ"," + CIERRE","")</x:f>
        <x:v>LABORABLE</x:v>
      </x:c>
      <x:c r="I1513" t="str">
        <x:f>TEXT(G1513,"yyyy-mm")</x:f>
        <x:v>2029-02</x:v>
      </x:c>
    </x:row>
    <x:row r="1514" ht="19" customHeight="1">
      <x:c r="A1514" s="2" t="n">
        <x:v>47170</x:v>
      </x:c>
      <x:c r="B1514" t="str">
        <x:f>CHOOSE(WEEKDAY(A1514,2),"Lunes","Martes","Miércoles","Jueves","Viernes","Sábado","Domingo")</x:f>
        <x:v>Miércoles</x:v>
      </x:c>
      <x:c r="C1514" t="str">
        <x:f>IF(COUNTIF(FERIADOS!$A$2:$A$250,A1514)&gt;0,"SÍ","NO")</x:f>
        <x:v>NO</x:v>
      </x:c>
      <x:c r="D1514" t="str">
        <x:f>IF(AND(WEEKDAY(A1514,2)&lt;=5,C1514="NO"),"SÍ","NO")</x:f>
        <x:v>SÍ</x:v>
      </x:c>
      <x:c r="E1514" s="2" t="n">
        <x:f>WORKDAY.INTL(A1514-1,1,1,FERIADOS!$A$2:$A$250)</x:f>
        <x:v>47170</x:v>
      </x:c>
      <x:c r="F1514" t="str">
        <x:f>IF(E1514&gt;=WORKDAY.INTL(EOMONTH(E1514,0)+1,-2,1,FERIADOS!$A$2:$A$250),"SÍ","NO")</x:f>
        <x:v>NO</x:v>
      </x:c>
      <x:c r="G1514" s="10" t="n">
        <x:f>IF(F1514="SÍ",EOMONTH(E1514,0)+1,DATE(YEAR(E1514),MONTH(E1514),1))</x:f>
        <x:v>47150</x:v>
      </x:c>
      <x:c r="H1514" t="str">
        <x:f>IF(D1514="NO",IF(C1514="SÍ","FERIADO","FIN DE SEMANA"),"LABORABLE")&amp;IF(F1514="SÍ"," + CIERRE","")</x:f>
        <x:v>LABORABLE</x:v>
      </x:c>
      <x:c r="I1514" t="str">
        <x:f>TEXT(G1514,"yyyy-mm")</x:f>
        <x:v>2029-02</x:v>
      </x:c>
    </x:row>
    <x:row r="1515" ht="19" customHeight="1">
      <x:c r="A1515" s="2" t="n">
        <x:v>47171</x:v>
      </x:c>
      <x:c r="B1515" t="str">
        <x:f>CHOOSE(WEEKDAY(A1515,2),"Lunes","Martes","Miércoles","Jueves","Viernes","Sábado","Domingo")</x:f>
        <x:v>Jueves</x:v>
      </x:c>
      <x:c r="C1515" t="str">
        <x:f>IF(COUNTIF(FERIADOS!$A$2:$A$250,A1515)&gt;0,"SÍ","NO")</x:f>
        <x:v>NO</x:v>
      </x:c>
      <x:c r="D1515" t="str">
        <x:f>IF(AND(WEEKDAY(A1515,2)&lt;=5,C1515="NO"),"SÍ","NO")</x:f>
        <x:v>SÍ</x:v>
      </x:c>
      <x:c r="E1515" s="2" t="n">
        <x:f>WORKDAY.INTL(A1515-1,1,1,FERIADOS!$A$2:$A$250)</x:f>
        <x:v>47171</x:v>
      </x:c>
      <x:c r="F1515" t="str">
        <x:f>IF(E1515&gt;=WORKDAY.INTL(EOMONTH(E1515,0)+1,-2,1,FERIADOS!$A$2:$A$250),"SÍ","NO")</x:f>
        <x:v>NO</x:v>
      </x:c>
      <x:c r="G1515" s="10" t="n">
        <x:f>IF(F1515="SÍ",EOMONTH(E1515,0)+1,DATE(YEAR(E1515),MONTH(E1515),1))</x:f>
        <x:v>47150</x:v>
      </x:c>
      <x:c r="H1515" t="str">
        <x:f>IF(D1515="NO",IF(C1515="SÍ","FERIADO","FIN DE SEMANA"),"LABORABLE")&amp;IF(F1515="SÍ"," + CIERRE","")</x:f>
        <x:v>LABORABLE</x:v>
      </x:c>
      <x:c r="I1515" t="str">
        <x:f>TEXT(G1515,"yyyy-mm")</x:f>
        <x:v>2029-02</x:v>
      </x:c>
    </x:row>
    <x:row r="1516" ht="19" customHeight="1">
      <x:c r="A1516" s="2" t="n">
        <x:v>47172</x:v>
      </x:c>
      <x:c r="B1516" t="str">
        <x:f>CHOOSE(WEEKDAY(A1516,2),"Lunes","Martes","Miércoles","Jueves","Viernes","Sábado","Domingo")</x:f>
        <x:v>Viernes</x:v>
      </x:c>
      <x:c r="C1516" t="str">
        <x:f>IF(COUNTIF(FERIADOS!$A$2:$A$250,A1516)&gt;0,"SÍ","NO")</x:f>
        <x:v>NO</x:v>
      </x:c>
      <x:c r="D1516" t="str">
        <x:f>IF(AND(WEEKDAY(A1516,2)&lt;=5,C1516="NO"),"SÍ","NO")</x:f>
        <x:v>SÍ</x:v>
      </x:c>
      <x:c r="E1516" s="2" t="n">
        <x:f>WORKDAY.INTL(A1516-1,1,1,FERIADOS!$A$2:$A$250)</x:f>
        <x:v>47172</x:v>
      </x:c>
      <x:c r="F1516" t="str">
        <x:f>IF(E1516&gt;=WORKDAY.INTL(EOMONTH(E1516,0)+1,-2,1,FERIADOS!$A$2:$A$250),"SÍ","NO")</x:f>
        <x:v>NO</x:v>
      </x:c>
      <x:c r="G1516" s="10" t="n">
        <x:f>IF(F1516="SÍ",EOMONTH(E1516,0)+1,DATE(YEAR(E1516),MONTH(E1516),1))</x:f>
        <x:v>47150</x:v>
      </x:c>
      <x:c r="H1516" t="str">
        <x:f>IF(D1516="NO",IF(C1516="SÍ","FERIADO","FIN DE SEMANA"),"LABORABLE")&amp;IF(F1516="SÍ"," + CIERRE","")</x:f>
        <x:v>LABORABLE</x:v>
      </x:c>
      <x:c r="I1516" t="str">
        <x:f>TEXT(G1516,"yyyy-mm")</x:f>
        <x:v>2029-02</x:v>
      </x:c>
    </x:row>
    <x:row r="1517" ht="19" customHeight="1">
      <x:c r="A1517" s="2" t="n">
        <x:v>47173</x:v>
      </x:c>
      <x:c r="B1517" t="str">
        <x:f>CHOOSE(WEEKDAY(A1517,2),"Lunes","Martes","Miércoles","Jueves","Viernes","Sábado","Domingo")</x:f>
        <x:v>Sábado</x:v>
      </x:c>
      <x:c r="C1517" t="str">
        <x:f>IF(COUNTIF(FERIADOS!$A$2:$A$250,A1517)&gt;0,"SÍ","NO")</x:f>
        <x:v>NO</x:v>
      </x:c>
      <x:c r="D1517" t="str">
        <x:f>IF(AND(WEEKDAY(A1517,2)&lt;=5,C1517="NO"),"SÍ","NO")</x:f>
        <x:v>NO</x:v>
      </x:c>
      <x:c r="E1517" s="2" t="n">
        <x:f>WORKDAY.INTL(A1517-1,1,1,FERIADOS!$A$2:$A$250)</x:f>
        <x:v>47175</x:v>
      </x:c>
      <x:c r="F1517" t="str">
        <x:f>IF(E1517&gt;=WORKDAY.INTL(EOMONTH(E1517,0)+1,-2,1,FERIADOS!$A$2:$A$250),"SÍ","NO")</x:f>
        <x:v>NO</x:v>
      </x:c>
      <x:c r="G1517" s="10" t="n">
        <x:f>IF(F1517="SÍ",EOMONTH(E1517,0)+1,DATE(YEAR(E1517),MONTH(E1517),1))</x:f>
        <x:v>47150</x:v>
      </x:c>
      <x:c r="H1517" t="str">
        <x:f>IF(D1517="NO",IF(C1517="SÍ","FERIADO","FIN DE SEMANA"),"LABORABLE")&amp;IF(F1517="SÍ"," + CIERRE","")</x:f>
        <x:v>FIN DE SEMANA</x:v>
      </x:c>
      <x:c r="I1517" t="str">
        <x:f>TEXT(G1517,"yyyy-mm")</x:f>
        <x:v>2029-02</x:v>
      </x:c>
    </x:row>
    <x:row r="1518" ht="19" customHeight="1">
      <x:c r="A1518" s="2" t="n">
        <x:v>47174</x:v>
      </x:c>
      <x:c r="B1518" t="str">
        <x:f>CHOOSE(WEEKDAY(A1518,2),"Lunes","Martes","Miércoles","Jueves","Viernes","Sábado","Domingo")</x:f>
        <x:v>Domingo</x:v>
      </x:c>
      <x:c r="C1518" t="str">
        <x:f>IF(COUNTIF(FERIADOS!$A$2:$A$250,A1518)&gt;0,"SÍ","NO")</x:f>
        <x:v>NO</x:v>
      </x:c>
      <x:c r="D1518" t="str">
        <x:f>IF(AND(WEEKDAY(A1518,2)&lt;=5,C1518="NO"),"SÍ","NO")</x:f>
        <x:v>NO</x:v>
      </x:c>
      <x:c r="E1518" s="2" t="n">
        <x:f>WORKDAY.INTL(A1518-1,1,1,FERIADOS!$A$2:$A$250)</x:f>
        <x:v>47175</x:v>
      </x:c>
      <x:c r="F1518" t="str">
        <x:f>IF(E1518&gt;=WORKDAY.INTL(EOMONTH(E1518,0)+1,-2,1,FERIADOS!$A$2:$A$250),"SÍ","NO")</x:f>
        <x:v>NO</x:v>
      </x:c>
      <x:c r="G1518" s="10" t="n">
        <x:f>IF(F1518="SÍ",EOMONTH(E1518,0)+1,DATE(YEAR(E1518),MONTH(E1518),1))</x:f>
        <x:v>47150</x:v>
      </x:c>
      <x:c r="H1518" t="str">
        <x:f>IF(D1518="NO",IF(C1518="SÍ","FERIADO","FIN DE SEMANA"),"LABORABLE")&amp;IF(F1518="SÍ"," + CIERRE","")</x:f>
        <x:v>FIN DE SEMANA</x:v>
      </x:c>
      <x:c r="I1518" t="str">
        <x:f>TEXT(G1518,"yyyy-mm")</x:f>
        <x:v>2029-02</x:v>
      </x:c>
    </x:row>
    <x:row r="1519" ht="19" customHeight="1">
      <x:c r="A1519" s="2" t="n">
        <x:v>47175</x:v>
      </x:c>
      <x:c r="B1519" t="str">
        <x:f>CHOOSE(WEEKDAY(A1519,2),"Lunes","Martes","Miércoles","Jueves","Viernes","Sábado","Domingo")</x:f>
        <x:v>Lunes</x:v>
      </x:c>
      <x:c r="C1519" t="str">
        <x:f>IF(COUNTIF(FERIADOS!$A$2:$A$250,A1519)&gt;0,"SÍ","NO")</x:f>
        <x:v>NO</x:v>
      </x:c>
      <x:c r="D1519" t="str">
        <x:f>IF(AND(WEEKDAY(A1519,2)&lt;=5,C1519="NO"),"SÍ","NO")</x:f>
        <x:v>SÍ</x:v>
      </x:c>
      <x:c r="E1519" s="2" t="n">
        <x:f>WORKDAY.INTL(A1519-1,1,1,FERIADOS!$A$2:$A$250)</x:f>
        <x:v>47175</x:v>
      </x:c>
      <x:c r="F1519" t="str">
        <x:f>IF(E1519&gt;=WORKDAY.INTL(EOMONTH(E1519,0)+1,-2,1,FERIADOS!$A$2:$A$250),"SÍ","NO")</x:f>
        <x:v>NO</x:v>
      </x:c>
      <x:c r="G1519" s="10" t="n">
        <x:f>IF(F1519="SÍ",EOMONTH(E1519,0)+1,DATE(YEAR(E1519),MONTH(E1519),1))</x:f>
        <x:v>47150</x:v>
      </x:c>
      <x:c r="H1519" t="str">
        <x:f>IF(D1519="NO",IF(C1519="SÍ","FERIADO","FIN DE SEMANA"),"LABORABLE")&amp;IF(F1519="SÍ"," + CIERRE","")</x:f>
        <x:v>LABORABLE</x:v>
      </x:c>
      <x:c r="I1519" t="str">
        <x:f>TEXT(G1519,"yyyy-mm")</x:f>
        <x:v>2029-02</x:v>
      </x:c>
    </x:row>
    <x:row r="1520" ht="19" customHeight="1">
      <x:c r="A1520" s="2" t="n">
        <x:v>47176</x:v>
      </x:c>
      <x:c r="B1520" t="str">
        <x:f>CHOOSE(WEEKDAY(A1520,2),"Lunes","Martes","Miércoles","Jueves","Viernes","Sábado","Domingo")</x:f>
        <x:v>Martes</x:v>
      </x:c>
      <x:c r="C1520" t="str">
        <x:f>IF(COUNTIF(FERIADOS!$A$2:$A$250,A1520)&gt;0,"SÍ","NO")</x:f>
        <x:v>NO</x:v>
      </x:c>
      <x:c r="D1520" t="str">
        <x:f>IF(AND(WEEKDAY(A1520,2)&lt;=5,C1520="NO"),"SÍ","NO")</x:f>
        <x:v>SÍ</x:v>
      </x:c>
      <x:c r="E1520" s="2" t="n">
        <x:f>WORKDAY.INTL(A1520-1,1,1,FERIADOS!$A$2:$A$250)</x:f>
        <x:v>47176</x:v>
      </x:c>
      <x:c r="F1520" t="str">
        <x:f>IF(E1520&gt;=WORKDAY.INTL(EOMONTH(E1520,0)+1,-2,1,FERIADOS!$A$2:$A$250),"SÍ","NO")</x:f>
        <x:v>SÍ</x:v>
      </x:c>
      <x:c r="G1520" s="10" t="n">
        <x:f>IF(F1520="SÍ",EOMONTH(E1520,0)+1,DATE(YEAR(E1520),MONTH(E1520),1))</x:f>
        <x:v>47178</x:v>
      </x:c>
      <x:c r="H1520" t="str">
        <x:f>IF(D1520="NO",IF(C1520="SÍ","FERIADO","FIN DE SEMANA"),"LABORABLE")&amp;IF(F1520="SÍ"," + CIERRE","")</x:f>
        <x:v>LABORABLE + CIERRE</x:v>
      </x:c>
      <x:c r="I1520" t="str">
        <x:f>TEXT(G1520,"yyyy-mm")</x:f>
        <x:v>2029-03</x:v>
      </x:c>
    </x:row>
    <x:row r="1521" ht="19" customHeight="1">
      <x:c r="A1521" s="2" t="n">
        <x:v>47177</x:v>
      </x:c>
      <x:c r="B1521" t="str">
        <x:f>CHOOSE(WEEKDAY(A1521,2),"Lunes","Martes","Miércoles","Jueves","Viernes","Sábado","Domingo")</x:f>
        <x:v>Miércoles</x:v>
      </x:c>
      <x:c r="C1521" t="str">
        <x:f>IF(COUNTIF(FERIADOS!$A$2:$A$250,A1521)&gt;0,"SÍ","NO")</x:f>
        <x:v>NO</x:v>
      </x:c>
      <x:c r="D1521" t="str">
        <x:f>IF(AND(WEEKDAY(A1521,2)&lt;=5,C1521="NO"),"SÍ","NO")</x:f>
        <x:v>SÍ</x:v>
      </x:c>
      <x:c r="E1521" s="2" t="n">
        <x:f>WORKDAY.INTL(A1521-1,1,1,FERIADOS!$A$2:$A$250)</x:f>
        <x:v>47177</x:v>
      </x:c>
      <x:c r="F1521" t="str">
        <x:f>IF(E1521&gt;=WORKDAY.INTL(EOMONTH(E1521,0)+1,-2,1,FERIADOS!$A$2:$A$250),"SÍ","NO")</x:f>
        <x:v>SÍ</x:v>
      </x:c>
      <x:c r="G1521" s="10" t="n">
        <x:f>IF(F1521="SÍ",EOMONTH(E1521,0)+1,DATE(YEAR(E1521),MONTH(E1521),1))</x:f>
        <x:v>47178</x:v>
      </x:c>
      <x:c r="H1521" t="str">
        <x:f>IF(D1521="NO",IF(C1521="SÍ","FERIADO","FIN DE SEMANA"),"LABORABLE")&amp;IF(F1521="SÍ"," + CIERRE","")</x:f>
        <x:v>LABORABLE + CIERRE</x:v>
      </x:c>
      <x:c r="I1521" t="str">
        <x:f>TEXT(G1521,"yyyy-mm")</x:f>
        <x:v>2029-03</x:v>
      </x:c>
    </x:row>
    <x:row r="1522" ht="19" customHeight="1">
      <x:c r="A1522" s="2" t="n">
        <x:v>47178</x:v>
      </x:c>
      <x:c r="B1522" t="str">
        <x:f>CHOOSE(WEEKDAY(A1522,2),"Lunes","Martes","Miércoles","Jueves","Viernes","Sábado","Domingo")</x:f>
        <x:v>Jueves</x:v>
      </x:c>
      <x:c r="C1522" t="str">
        <x:f>IF(COUNTIF(FERIADOS!$A$2:$A$250,A1522)&gt;0,"SÍ","NO")</x:f>
        <x:v>NO</x:v>
      </x:c>
      <x:c r="D1522" t="str">
        <x:f>IF(AND(WEEKDAY(A1522,2)&lt;=5,C1522="NO"),"SÍ","NO")</x:f>
        <x:v>SÍ</x:v>
      </x:c>
      <x:c r="E1522" s="2" t="n">
        <x:f>WORKDAY.INTL(A1522-1,1,1,FERIADOS!$A$2:$A$250)</x:f>
        <x:v>47178</x:v>
      </x:c>
      <x:c r="F1522" t="str">
        <x:f>IF(E1522&gt;=WORKDAY.INTL(EOMONTH(E1522,0)+1,-2,1,FERIADOS!$A$2:$A$250),"SÍ","NO")</x:f>
        <x:v>NO</x:v>
      </x:c>
      <x:c r="G1522" s="10" t="n">
        <x:f>IF(F1522="SÍ",EOMONTH(E1522,0)+1,DATE(YEAR(E1522),MONTH(E1522),1))</x:f>
        <x:v>47178</x:v>
      </x:c>
      <x:c r="H1522" t="str">
        <x:f>IF(D1522="NO",IF(C1522="SÍ","FERIADO","FIN DE SEMANA"),"LABORABLE")&amp;IF(F1522="SÍ"," + CIERRE","")</x:f>
        <x:v>LABORABLE</x:v>
      </x:c>
      <x:c r="I1522" t="str">
        <x:f>TEXT(G1522,"yyyy-mm")</x:f>
        <x:v>2029-03</x:v>
      </x:c>
    </x:row>
    <x:row r="1523" ht="19" customHeight="1">
      <x:c r="A1523" s="2" t="n">
        <x:v>47179</x:v>
      </x:c>
      <x:c r="B1523" t="str">
        <x:f>CHOOSE(WEEKDAY(A1523,2),"Lunes","Martes","Miércoles","Jueves","Viernes","Sábado","Domingo")</x:f>
        <x:v>Viernes</x:v>
      </x:c>
      <x:c r="C1523" t="str">
        <x:f>IF(COUNTIF(FERIADOS!$A$2:$A$250,A1523)&gt;0,"SÍ","NO")</x:f>
        <x:v>NO</x:v>
      </x:c>
      <x:c r="D1523" t="str">
        <x:f>IF(AND(WEEKDAY(A1523,2)&lt;=5,C1523="NO"),"SÍ","NO")</x:f>
        <x:v>SÍ</x:v>
      </x:c>
      <x:c r="E1523" s="2" t="n">
        <x:f>WORKDAY.INTL(A1523-1,1,1,FERIADOS!$A$2:$A$250)</x:f>
        <x:v>47179</x:v>
      </x:c>
      <x:c r="F1523" t="str">
        <x:f>IF(E1523&gt;=WORKDAY.INTL(EOMONTH(E1523,0)+1,-2,1,FERIADOS!$A$2:$A$250),"SÍ","NO")</x:f>
        <x:v>NO</x:v>
      </x:c>
      <x:c r="G1523" s="10" t="n">
        <x:f>IF(F1523="SÍ",EOMONTH(E1523,0)+1,DATE(YEAR(E1523),MONTH(E1523),1))</x:f>
        <x:v>47178</x:v>
      </x:c>
      <x:c r="H1523" t="str">
        <x:f>IF(D1523="NO",IF(C1523="SÍ","FERIADO","FIN DE SEMANA"),"LABORABLE")&amp;IF(F1523="SÍ"," + CIERRE","")</x:f>
        <x:v>LABORABLE</x:v>
      </x:c>
      <x:c r="I1523" t="str">
        <x:f>TEXT(G1523,"yyyy-mm")</x:f>
        <x:v>2029-03</x:v>
      </x:c>
    </x:row>
    <x:row r="1524" ht="19" customHeight="1">
      <x:c r="A1524" s="2" t="n">
        <x:v>47180</x:v>
      </x:c>
      <x:c r="B1524" t="str">
        <x:f>CHOOSE(WEEKDAY(A1524,2),"Lunes","Martes","Miércoles","Jueves","Viernes","Sábado","Domingo")</x:f>
        <x:v>Sábado</x:v>
      </x:c>
      <x:c r="C1524" t="str">
        <x:f>IF(COUNTIF(FERIADOS!$A$2:$A$250,A1524)&gt;0,"SÍ","NO")</x:f>
        <x:v>NO</x:v>
      </x:c>
      <x:c r="D1524" t="str">
        <x:f>IF(AND(WEEKDAY(A1524,2)&lt;=5,C1524="NO"),"SÍ","NO")</x:f>
        <x:v>NO</x:v>
      </x:c>
      <x:c r="E1524" s="2" t="n">
        <x:f>WORKDAY.INTL(A1524-1,1,1,FERIADOS!$A$2:$A$250)</x:f>
        <x:v>47182</x:v>
      </x:c>
      <x:c r="F1524" t="str">
        <x:f>IF(E1524&gt;=WORKDAY.INTL(EOMONTH(E1524,0)+1,-2,1,FERIADOS!$A$2:$A$250),"SÍ","NO")</x:f>
        <x:v>NO</x:v>
      </x:c>
      <x:c r="G1524" s="10" t="n">
        <x:f>IF(F1524="SÍ",EOMONTH(E1524,0)+1,DATE(YEAR(E1524),MONTH(E1524),1))</x:f>
        <x:v>47178</x:v>
      </x:c>
      <x:c r="H1524" t="str">
        <x:f>IF(D1524="NO",IF(C1524="SÍ","FERIADO","FIN DE SEMANA"),"LABORABLE")&amp;IF(F1524="SÍ"," + CIERRE","")</x:f>
        <x:v>FIN DE SEMANA</x:v>
      </x:c>
      <x:c r="I1524" t="str">
        <x:f>TEXT(G1524,"yyyy-mm")</x:f>
        <x:v>2029-03</x:v>
      </x:c>
    </x:row>
    <x:row r="1525" ht="19" customHeight="1">
      <x:c r="A1525" s="2" t="n">
        <x:v>47181</x:v>
      </x:c>
      <x:c r="B1525" t="str">
        <x:f>CHOOSE(WEEKDAY(A1525,2),"Lunes","Martes","Miércoles","Jueves","Viernes","Sábado","Domingo")</x:f>
        <x:v>Domingo</x:v>
      </x:c>
      <x:c r="C1525" t="str">
        <x:f>IF(COUNTIF(FERIADOS!$A$2:$A$250,A1525)&gt;0,"SÍ","NO")</x:f>
        <x:v>NO</x:v>
      </x:c>
      <x:c r="D1525" t="str">
        <x:f>IF(AND(WEEKDAY(A1525,2)&lt;=5,C1525="NO"),"SÍ","NO")</x:f>
        <x:v>NO</x:v>
      </x:c>
      <x:c r="E1525" s="2" t="n">
        <x:f>WORKDAY.INTL(A1525-1,1,1,FERIADOS!$A$2:$A$250)</x:f>
        <x:v>47182</x:v>
      </x:c>
      <x:c r="F1525" t="str">
        <x:f>IF(E1525&gt;=WORKDAY.INTL(EOMONTH(E1525,0)+1,-2,1,FERIADOS!$A$2:$A$250),"SÍ","NO")</x:f>
        <x:v>NO</x:v>
      </x:c>
      <x:c r="G1525" s="10" t="n">
        <x:f>IF(F1525="SÍ",EOMONTH(E1525,0)+1,DATE(YEAR(E1525),MONTH(E1525),1))</x:f>
        <x:v>47178</x:v>
      </x:c>
      <x:c r="H1525" t="str">
        <x:f>IF(D1525="NO",IF(C1525="SÍ","FERIADO","FIN DE SEMANA"),"LABORABLE")&amp;IF(F1525="SÍ"," + CIERRE","")</x:f>
        <x:v>FIN DE SEMANA</x:v>
      </x:c>
      <x:c r="I1525" t="str">
        <x:f>TEXT(G1525,"yyyy-mm")</x:f>
        <x:v>2029-03</x:v>
      </x:c>
    </x:row>
    <x:row r="1526" ht="19" customHeight="1">
      <x:c r="A1526" s="2" t="n">
        <x:v>47182</x:v>
      </x:c>
      <x:c r="B1526" t="str">
        <x:f>CHOOSE(WEEKDAY(A1526,2),"Lunes","Martes","Miércoles","Jueves","Viernes","Sábado","Domingo")</x:f>
        <x:v>Lunes</x:v>
      </x:c>
      <x:c r="C1526" t="str">
        <x:f>IF(COUNTIF(FERIADOS!$A$2:$A$250,A1526)&gt;0,"SÍ","NO")</x:f>
        <x:v>NO</x:v>
      </x:c>
      <x:c r="D1526" t="str">
        <x:f>IF(AND(WEEKDAY(A1526,2)&lt;=5,C1526="NO"),"SÍ","NO")</x:f>
        <x:v>SÍ</x:v>
      </x:c>
      <x:c r="E1526" s="2" t="n">
        <x:f>WORKDAY.INTL(A1526-1,1,1,FERIADOS!$A$2:$A$250)</x:f>
        <x:v>47182</x:v>
      </x:c>
      <x:c r="F1526" t="str">
        <x:f>IF(E1526&gt;=WORKDAY.INTL(EOMONTH(E1526,0)+1,-2,1,FERIADOS!$A$2:$A$250),"SÍ","NO")</x:f>
        <x:v>NO</x:v>
      </x:c>
      <x:c r="G1526" s="10" t="n">
        <x:f>IF(F1526="SÍ",EOMONTH(E1526,0)+1,DATE(YEAR(E1526),MONTH(E1526),1))</x:f>
        <x:v>47178</x:v>
      </x:c>
      <x:c r="H1526" t="str">
        <x:f>IF(D1526="NO",IF(C1526="SÍ","FERIADO","FIN DE SEMANA"),"LABORABLE")&amp;IF(F1526="SÍ"," + CIERRE","")</x:f>
        <x:v>LABORABLE</x:v>
      </x:c>
      <x:c r="I1526" t="str">
        <x:f>TEXT(G1526,"yyyy-mm")</x:f>
        <x:v>2029-03</x:v>
      </x:c>
    </x:row>
    <x:row r="1527" ht="19" customHeight="1">
      <x:c r="A1527" s="2" t="n">
        <x:v>47183</x:v>
      </x:c>
      <x:c r="B1527" t="str">
        <x:f>CHOOSE(WEEKDAY(A1527,2),"Lunes","Martes","Miércoles","Jueves","Viernes","Sábado","Domingo")</x:f>
        <x:v>Martes</x:v>
      </x:c>
      <x:c r="C1527" t="str">
        <x:f>IF(COUNTIF(FERIADOS!$A$2:$A$250,A1527)&gt;0,"SÍ","NO")</x:f>
        <x:v>NO</x:v>
      </x:c>
      <x:c r="D1527" t="str">
        <x:f>IF(AND(WEEKDAY(A1527,2)&lt;=5,C1527="NO"),"SÍ","NO")</x:f>
        <x:v>SÍ</x:v>
      </x:c>
      <x:c r="E1527" s="2" t="n">
        <x:f>WORKDAY.INTL(A1527-1,1,1,FERIADOS!$A$2:$A$250)</x:f>
        <x:v>47183</x:v>
      </x:c>
      <x:c r="F1527" t="str">
        <x:f>IF(E1527&gt;=WORKDAY.INTL(EOMONTH(E1527,0)+1,-2,1,FERIADOS!$A$2:$A$250),"SÍ","NO")</x:f>
        <x:v>NO</x:v>
      </x:c>
      <x:c r="G1527" s="10" t="n">
        <x:f>IF(F1527="SÍ",EOMONTH(E1527,0)+1,DATE(YEAR(E1527),MONTH(E1527),1))</x:f>
        <x:v>47178</x:v>
      </x:c>
      <x:c r="H1527" t="str">
        <x:f>IF(D1527="NO",IF(C1527="SÍ","FERIADO","FIN DE SEMANA"),"LABORABLE")&amp;IF(F1527="SÍ"," + CIERRE","")</x:f>
        <x:v>LABORABLE</x:v>
      </x:c>
      <x:c r="I1527" t="str">
        <x:f>TEXT(G1527,"yyyy-mm")</x:f>
        <x:v>2029-03</x:v>
      </x:c>
    </x:row>
    <x:row r="1528" ht="19" customHeight="1">
      <x:c r="A1528" s="2" t="n">
        <x:v>47184</x:v>
      </x:c>
      <x:c r="B1528" t="str">
        <x:f>CHOOSE(WEEKDAY(A1528,2),"Lunes","Martes","Miércoles","Jueves","Viernes","Sábado","Domingo")</x:f>
        <x:v>Miércoles</x:v>
      </x:c>
      <x:c r="C1528" t="str">
        <x:f>IF(COUNTIF(FERIADOS!$A$2:$A$250,A1528)&gt;0,"SÍ","NO")</x:f>
        <x:v>NO</x:v>
      </x:c>
      <x:c r="D1528" t="str">
        <x:f>IF(AND(WEEKDAY(A1528,2)&lt;=5,C1528="NO"),"SÍ","NO")</x:f>
        <x:v>SÍ</x:v>
      </x:c>
      <x:c r="E1528" s="2" t="n">
        <x:f>WORKDAY.INTL(A1528-1,1,1,FERIADOS!$A$2:$A$250)</x:f>
        <x:v>47184</x:v>
      </x:c>
      <x:c r="F1528" t="str">
        <x:f>IF(E1528&gt;=WORKDAY.INTL(EOMONTH(E1528,0)+1,-2,1,FERIADOS!$A$2:$A$250),"SÍ","NO")</x:f>
        <x:v>NO</x:v>
      </x:c>
      <x:c r="G1528" s="10" t="n">
        <x:f>IF(F1528="SÍ",EOMONTH(E1528,0)+1,DATE(YEAR(E1528),MONTH(E1528),1))</x:f>
        <x:v>47178</x:v>
      </x:c>
      <x:c r="H1528" t="str">
        <x:f>IF(D1528="NO",IF(C1528="SÍ","FERIADO","FIN DE SEMANA"),"LABORABLE")&amp;IF(F1528="SÍ"," + CIERRE","")</x:f>
        <x:v>LABORABLE</x:v>
      </x:c>
      <x:c r="I1528" t="str">
        <x:f>TEXT(G1528,"yyyy-mm")</x:f>
        <x:v>2029-03</x:v>
      </x:c>
    </x:row>
    <x:row r="1529" ht="19" customHeight="1">
      <x:c r="A1529" s="2" t="n">
        <x:v>47185</x:v>
      </x:c>
      <x:c r="B1529" t="str">
        <x:f>CHOOSE(WEEKDAY(A1529,2),"Lunes","Martes","Miércoles","Jueves","Viernes","Sábado","Domingo")</x:f>
        <x:v>Jueves</x:v>
      </x:c>
      <x:c r="C1529" t="str">
        <x:f>IF(COUNTIF(FERIADOS!$A$2:$A$250,A1529)&gt;0,"SÍ","NO")</x:f>
        <x:v>NO</x:v>
      </x:c>
      <x:c r="D1529" t="str">
        <x:f>IF(AND(WEEKDAY(A1529,2)&lt;=5,C1529="NO"),"SÍ","NO")</x:f>
        <x:v>SÍ</x:v>
      </x:c>
      <x:c r="E1529" s="2" t="n">
        <x:f>WORKDAY.INTL(A1529-1,1,1,FERIADOS!$A$2:$A$250)</x:f>
        <x:v>47185</x:v>
      </x:c>
      <x:c r="F1529" t="str">
        <x:f>IF(E1529&gt;=WORKDAY.INTL(EOMONTH(E1529,0)+1,-2,1,FERIADOS!$A$2:$A$250),"SÍ","NO")</x:f>
        <x:v>NO</x:v>
      </x:c>
      <x:c r="G1529" s="10" t="n">
        <x:f>IF(F1529="SÍ",EOMONTH(E1529,0)+1,DATE(YEAR(E1529),MONTH(E1529),1))</x:f>
        <x:v>47178</x:v>
      </x:c>
      <x:c r="H1529" t="str">
        <x:f>IF(D1529="NO",IF(C1529="SÍ","FERIADO","FIN DE SEMANA"),"LABORABLE")&amp;IF(F1529="SÍ"," + CIERRE","")</x:f>
        <x:v>LABORABLE</x:v>
      </x:c>
      <x:c r="I1529" t="str">
        <x:f>TEXT(G1529,"yyyy-mm")</x:f>
        <x:v>2029-03</x:v>
      </x:c>
    </x:row>
    <x:row r="1530" ht="19" customHeight="1">
      <x:c r="A1530" s="2" t="n">
        <x:v>47186</x:v>
      </x:c>
      <x:c r="B1530" t="str">
        <x:f>CHOOSE(WEEKDAY(A1530,2),"Lunes","Martes","Miércoles","Jueves","Viernes","Sábado","Domingo")</x:f>
        <x:v>Viernes</x:v>
      </x:c>
      <x:c r="C1530" t="str">
        <x:f>IF(COUNTIF(FERIADOS!$A$2:$A$250,A1530)&gt;0,"SÍ","NO")</x:f>
        <x:v>NO</x:v>
      </x:c>
      <x:c r="D1530" t="str">
        <x:f>IF(AND(WEEKDAY(A1530,2)&lt;=5,C1530="NO"),"SÍ","NO")</x:f>
        <x:v>SÍ</x:v>
      </x:c>
      <x:c r="E1530" s="2" t="n">
        <x:f>WORKDAY.INTL(A1530-1,1,1,FERIADOS!$A$2:$A$250)</x:f>
        <x:v>47186</x:v>
      </x:c>
      <x:c r="F1530" t="str">
        <x:f>IF(E1530&gt;=WORKDAY.INTL(EOMONTH(E1530,0)+1,-2,1,FERIADOS!$A$2:$A$250),"SÍ","NO")</x:f>
        <x:v>NO</x:v>
      </x:c>
      <x:c r="G1530" s="10" t="n">
        <x:f>IF(F1530="SÍ",EOMONTH(E1530,0)+1,DATE(YEAR(E1530),MONTH(E1530),1))</x:f>
        <x:v>47178</x:v>
      </x:c>
      <x:c r="H1530" t="str">
        <x:f>IF(D1530="NO",IF(C1530="SÍ","FERIADO","FIN DE SEMANA"),"LABORABLE")&amp;IF(F1530="SÍ"," + CIERRE","")</x:f>
        <x:v>LABORABLE</x:v>
      </x:c>
      <x:c r="I1530" t="str">
        <x:f>TEXT(G1530,"yyyy-mm")</x:f>
        <x:v>2029-03</x:v>
      </x:c>
    </x:row>
    <x:row r="1531" ht="19" customHeight="1">
      <x:c r="A1531" s="2" t="n">
        <x:v>47187</x:v>
      </x:c>
      <x:c r="B1531" t="str">
        <x:f>CHOOSE(WEEKDAY(A1531,2),"Lunes","Martes","Miércoles","Jueves","Viernes","Sábado","Domingo")</x:f>
        <x:v>Sábado</x:v>
      </x:c>
      <x:c r="C1531" t="str">
        <x:f>IF(COUNTIF(FERIADOS!$A$2:$A$250,A1531)&gt;0,"SÍ","NO")</x:f>
        <x:v>NO</x:v>
      </x:c>
      <x:c r="D1531" t="str">
        <x:f>IF(AND(WEEKDAY(A1531,2)&lt;=5,C1531="NO"),"SÍ","NO")</x:f>
        <x:v>NO</x:v>
      </x:c>
      <x:c r="E1531" s="2" t="n">
        <x:f>WORKDAY.INTL(A1531-1,1,1,FERIADOS!$A$2:$A$250)</x:f>
        <x:v>47189</x:v>
      </x:c>
      <x:c r="F1531" t="str">
        <x:f>IF(E1531&gt;=WORKDAY.INTL(EOMONTH(E1531,0)+1,-2,1,FERIADOS!$A$2:$A$250),"SÍ","NO")</x:f>
        <x:v>NO</x:v>
      </x:c>
      <x:c r="G1531" s="10" t="n">
        <x:f>IF(F1531="SÍ",EOMONTH(E1531,0)+1,DATE(YEAR(E1531),MONTH(E1531),1))</x:f>
        <x:v>47178</x:v>
      </x:c>
      <x:c r="H1531" t="str">
        <x:f>IF(D1531="NO",IF(C1531="SÍ","FERIADO","FIN DE SEMANA"),"LABORABLE")&amp;IF(F1531="SÍ"," + CIERRE","")</x:f>
        <x:v>FIN DE SEMANA</x:v>
      </x:c>
      <x:c r="I1531" t="str">
        <x:f>TEXT(G1531,"yyyy-mm")</x:f>
        <x:v>2029-03</x:v>
      </x:c>
    </x:row>
    <x:row r="1532" ht="19" customHeight="1">
      <x:c r="A1532" s="2" t="n">
        <x:v>47188</x:v>
      </x:c>
      <x:c r="B1532" t="str">
        <x:f>CHOOSE(WEEKDAY(A1532,2),"Lunes","Martes","Miércoles","Jueves","Viernes","Sábado","Domingo")</x:f>
        <x:v>Domingo</x:v>
      </x:c>
      <x:c r="C1532" t="str">
        <x:f>IF(COUNTIF(FERIADOS!$A$2:$A$250,A1532)&gt;0,"SÍ","NO")</x:f>
        <x:v>NO</x:v>
      </x:c>
      <x:c r="D1532" t="str">
        <x:f>IF(AND(WEEKDAY(A1532,2)&lt;=5,C1532="NO"),"SÍ","NO")</x:f>
        <x:v>NO</x:v>
      </x:c>
      <x:c r="E1532" s="2" t="n">
        <x:f>WORKDAY.INTL(A1532-1,1,1,FERIADOS!$A$2:$A$250)</x:f>
        <x:v>47189</x:v>
      </x:c>
      <x:c r="F1532" t="str">
        <x:f>IF(E1532&gt;=WORKDAY.INTL(EOMONTH(E1532,0)+1,-2,1,FERIADOS!$A$2:$A$250),"SÍ","NO")</x:f>
        <x:v>NO</x:v>
      </x:c>
      <x:c r="G1532" s="10" t="n">
        <x:f>IF(F1532="SÍ",EOMONTH(E1532,0)+1,DATE(YEAR(E1532),MONTH(E1532),1))</x:f>
        <x:v>47178</x:v>
      </x:c>
      <x:c r="H1532" t="str">
        <x:f>IF(D1532="NO",IF(C1532="SÍ","FERIADO","FIN DE SEMANA"),"LABORABLE")&amp;IF(F1532="SÍ"," + CIERRE","")</x:f>
        <x:v>FIN DE SEMANA</x:v>
      </x:c>
      <x:c r="I1532" t="str">
        <x:f>TEXT(G1532,"yyyy-mm")</x:f>
        <x:v>2029-03</x:v>
      </x:c>
    </x:row>
    <x:row r="1533" ht="19" customHeight="1">
      <x:c r="A1533" s="2" t="n">
        <x:v>47189</x:v>
      </x:c>
      <x:c r="B1533" t="str">
        <x:f>CHOOSE(WEEKDAY(A1533,2),"Lunes","Martes","Miércoles","Jueves","Viernes","Sábado","Domingo")</x:f>
        <x:v>Lunes</x:v>
      </x:c>
      <x:c r="C1533" t="str">
        <x:f>IF(COUNTIF(FERIADOS!$A$2:$A$250,A1533)&gt;0,"SÍ","NO")</x:f>
        <x:v>NO</x:v>
      </x:c>
      <x:c r="D1533" t="str">
        <x:f>IF(AND(WEEKDAY(A1533,2)&lt;=5,C1533="NO"),"SÍ","NO")</x:f>
        <x:v>SÍ</x:v>
      </x:c>
      <x:c r="E1533" s="2" t="n">
        <x:f>WORKDAY.INTL(A1533-1,1,1,FERIADOS!$A$2:$A$250)</x:f>
        <x:v>47189</x:v>
      </x:c>
      <x:c r="F1533" t="str">
        <x:f>IF(E1533&gt;=WORKDAY.INTL(EOMONTH(E1533,0)+1,-2,1,FERIADOS!$A$2:$A$250),"SÍ","NO")</x:f>
        <x:v>NO</x:v>
      </x:c>
      <x:c r="G1533" s="10" t="n">
        <x:f>IF(F1533="SÍ",EOMONTH(E1533,0)+1,DATE(YEAR(E1533),MONTH(E1533),1))</x:f>
        <x:v>47178</x:v>
      </x:c>
      <x:c r="H1533" t="str">
        <x:f>IF(D1533="NO",IF(C1533="SÍ","FERIADO","FIN DE SEMANA"),"LABORABLE")&amp;IF(F1533="SÍ"," + CIERRE","")</x:f>
        <x:v>LABORABLE</x:v>
      </x:c>
      <x:c r="I1533" t="str">
        <x:f>TEXT(G1533,"yyyy-mm")</x:f>
        <x:v>2029-03</x:v>
      </x:c>
    </x:row>
    <x:row r="1534" ht="19" customHeight="1">
      <x:c r="A1534" s="2" t="n">
        <x:v>47190</x:v>
      </x:c>
      <x:c r="B1534" t="str">
        <x:f>CHOOSE(WEEKDAY(A1534,2),"Lunes","Martes","Miércoles","Jueves","Viernes","Sábado","Domingo")</x:f>
        <x:v>Martes</x:v>
      </x:c>
      <x:c r="C1534" t="str">
        <x:f>IF(COUNTIF(FERIADOS!$A$2:$A$250,A1534)&gt;0,"SÍ","NO")</x:f>
        <x:v>NO</x:v>
      </x:c>
      <x:c r="D1534" t="str">
        <x:f>IF(AND(WEEKDAY(A1534,2)&lt;=5,C1534="NO"),"SÍ","NO")</x:f>
        <x:v>SÍ</x:v>
      </x:c>
      <x:c r="E1534" s="2" t="n">
        <x:f>WORKDAY.INTL(A1534-1,1,1,FERIADOS!$A$2:$A$250)</x:f>
        <x:v>47190</x:v>
      </x:c>
      <x:c r="F1534" t="str">
        <x:f>IF(E1534&gt;=WORKDAY.INTL(EOMONTH(E1534,0)+1,-2,1,FERIADOS!$A$2:$A$250),"SÍ","NO")</x:f>
        <x:v>NO</x:v>
      </x:c>
      <x:c r="G1534" s="10" t="n">
        <x:f>IF(F1534="SÍ",EOMONTH(E1534,0)+1,DATE(YEAR(E1534),MONTH(E1534),1))</x:f>
        <x:v>47178</x:v>
      </x:c>
      <x:c r="H1534" t="str">
        <x:f>IF(D1534="NO",IF(C1534="SÍ","FERIADO","FIN DE SEMANA"),"LABORABLE")&amp;IF(F1534="SÍ"," + CIERRE","")</x:f>
        <x:v>LABORABLE</x:v>
      </x:c>
      <x:c r="I1534" t="str">
        <x:f>TEXT(G1534,"yyyy-mm")</x:f>
        <x:v>2029-03</x:v>
      </x:c>
    </x:row>
    <x:row r="1535" ht="19" customHeight="1">
      <x:c r="A1535" s="2" t="n">
        <x:v>47191</x:v>
      </x:c>
      <x:c r="B1535" t="str">
        <x:f>CHOOSE(WEEKDAY(A1535,2),"Lunes","Martes","Miércoles","Jueves","Viernes","Sábado","Domingo")</x:f>
        <x:v>Miércoles</x:v>
      </x:c>
      <x:c r="C1535" t="str">
        <x:f>IF(COUNTIF(FERIADOS!$A$2:$A$250,A1535)&gt;0,"SÍ","NO")</x:f>
        <x:v>NO</x:v>
      </x:c>
      <x:c r="D1535" t="str">
        <x:f>IF(AND(WEEKDAY(A1535,2)&lt;=5,C1535="NO"),"SÍ","NO")</x:f>
        <x:v>SÍ</x:v>
      </x:c>
      <x:c r="E1535" s="2" t="n">
        <x:f>WORKDAY.INTL(A1535-1,1,1,FERIADOS!$A$2:$A$250)</x:f>
        <x:v>47191</x:v>
      </x:c>
      <x:c r="F1535" t="str">
        <x:f>IF(E1535&gt;=WORKDAY.INTL(EOMONTH(E1535,0)+1,-2,1,FERIADOS!$A$2:$A$250),"SÍ","NO")</x:f>
        <x:v>NO</x:v>
      </x:c>
      <x:c r="G1535" s="10" t="n">
        <x:f>IF(F1535="SÍ",EOMONTH(E1535,0)+1,DATE(YEAR(E1535),MONTH(E1535),1))</x:f>
        <x:v>47178</x:v>
      </x:c>
      <x:c r="H1535" t="str">
        <x:f>IF(D1535="NO",IF(C1535="SÍ","FERIADO","FIN DE SEMANA"),"LABORABLE")&amp;IF(F1535="SÍ"," + CIERRE","")</x:f>
        <x:v>LABORABLE</x:v>
      </x:c>
      <x:c r="I1535" t="str">
        <x:f>TEXT(G1535,"yyyy-mm")</x:f>
        <x:v>2029-03</x:v>
      </x:c>
    </x:row>
    <x:row r="1536" ht="19" customHeight="1">
      <x:c r="A1536" s="2" t="n">
        <x:v>47192</x:v>
      </x:c>
      <x:c r="B1536" t="str">
        <x:f>CHOOSE(WEEKDAY(A1536,2),"Lunes","Martes","Miércoles","Jueves","Viernes","Sábado","Domingo")</x:f>
        <x:v>Jueves</x:v>
      </x:c>
      <x:c r="C1536" t="str">
        <x:f>IF(COUNTIF(FERIADOS!$A$2:$A$250,A1536)&gt;0,"SÍ","NO")</x:f>
        <x:v>NO</x:v>
      </x:c>
      <x:c r="D1536" t="str">
        <x:f>IF(AND(WEEKDAY(A1536,2)&lt;=5,C1536="NO"),"SÍ","NO")</x:f>
        <x:v>SÍ</x:v>
      </x:c>
      <x:c r="E1536" s="2" t="n">
        <x:f>WORKDAY.INTL(A1536-1,1,1,FERIADOS!$A$2:$A$250)</x:f>
        <x:v>47192</x:v>
      </x:c>
      <x:c r="F1536" t="str">
        <x:f>IF(E1536&gt;=WORKDAY.INTL(EOMONTH(E1536,0)+1,-2,1,FERIADOS!$A$2:$A$250),"SÍ","NO")</x:f>
        <x:v>NO</x:v>
      </x:c>
      <x:c r="G1536" s="10" t="n">
        <x:f>IF(F1536="SÍ",EOMONTH(E1536,0)+1,DATE(YEAR(E1536),MONTH(E1536),1))</x:f>
        <x:v>47178</x:v>
      </x:c>
      <x:c r="H1536" t="str">
        <x:f>IF(D1536="NO",IF(C1536="SÍ","FERIADO","FIN DE SEMANA"),"LABORABLE")&amp;IF(F1536="SÍ"," + CIERRE","")</x:f>
        <x:v>LABORABLE</x:v>
      </x:c>
      <x:c r="I1536" t="str">
        <x:f>TEXT(G1536,"yyyy-mm")</x:f>
        <x:v>2029-03</x:v>
      </x:c>
    </x:row>
    <x:row r="1537" ht="19" customHeight="1">
      <x:c r="A1537" s="2" t="n">
        <x:v>47193</x:v>
      </x:c>
      <x:c r="B1537" t="str">
        <x:f>CHOOSE(WEEKDAY(A1537,2),"Lunes","Martes","Miércoles","Jueves","Viernes","Sábado","Domingo")</x:f>
        <x:v>Viernes</x:v>
      </x:c>
      <x:c r="C1537" t="str">
        <x:f>IF(COUNTIF(FERIADOS!$A$2:$A$250,A1537)&gt;0,"SÍ","NO")</x:f>
        <x:v>NO</x:v>
      </x:c>
      <x:c r="D1537" t="str">
        <x:f>IF(AND(WEEKDAY(A1537,2)&lt;=5,C1537="NO"),"SÍ","NO")</x:f>
        <x:v>SÍ</x:v>
      </x:c>
      <x:c r="E1537" s="2" t="n">
        <x:f>WORKDAY.INTL(A1537-1,1,1,FERIADOS!$A$2:$A$250)</x:f>
        <x:v>47193</x:v>
      </x:c>
      <x:c r="F1537" t="str">
        <x:f>IF(E1537&gt;=WORKDAY.INTL(EOMONTH(E1537,0)+1,-2,1,FERIADOS!$A$2:$A$250),"SÍ","NO")</x:f>
        <x:v>NO</x:v>
      </x:c>
      <x:c r="G1537" s="10" t="n">
        <x:f>IF(F1537="SÍ",EOMONTH(E1537,0)+1,DATE(YEAR(E1537),MONTH(E1537),1))</x:f>
        <x:v>47178</x:v>
      </x:c>
      <x:c r="H1537" t="str">
        <x:f>IF(D1537="NO",IF(C1537="SÍ","FERIADO","FIN DE SEMANA"),"LABORABLE")&amp;IF(F1537="SÍ"," + CIERRE","")</x:f>
        <x:v>LABORABLE</x:v>
      </x:c>
      <x:c r="I1537" t="str">
        <x:f>TEXT(G1537,"yyyy-mm")</x:f>
        <x:v>2029-03</x:v>
      </x:c>
    </x:row>
    <x:row r="1538" ht="19" customHeight="1">
      <x:c r="A1538" s="2" t="n">
        <x:v>47194</x:v>
      </x:c>
      <x:c r="B1538" t="str">
        <x:f>CHOOSE(WEEKDAY(A1538,2),"Lunes","Martes","Miércoles","Jueves","Viernes","Sábado","Domingo")</x:f>
        <x:v>Sábado</x:v>
      </x:c>
      <x:c r="C1538" t="str">
        <x:f>IF(COUNTIF(FERIADOS!$A$2:$A$250,A1538)&gt;0,"SÍ","NO")</x:f>
        <x:v>NO</x:v>
      </x:c>
      <x:c r="D1538" t="str">
        <x:f>IF(AND(WEEKDAY(A1538,2)&lt;=5,C1538="NO"),"SÍ","NO")</x:f>
        <x:v>NO</x:v>
      </x:c>
      <x:c r="E1538" s="2" t="n">
        <x:f>WORKDAY.INTL(A1538-1,1,1,FERIADOS!$A$2:$A$250)</x:f>
        <x:v>47196</x:v>
      </x:c>
      <x:c r="F1538" t="str">
        <x:f>IF(E1538&gt;=WORKDAY.INTL(EOMONTH(E1538,0)+1,-2,1,FERIADOS!$A$2:$A$250),"SÍ","NO")</x:f>
        <x:v>NO</x:v>
      </x:c>
      <x:c r="G1538" s="10" t="n">
        <x:f>IF(F1538="SÍ",EOMONTH(E1538,0)+1,DATE(YEAR(E1538),MONTH(E1538),1))</x:f>
        <x:v>47178</x:v>
      </x:c>
      <x:c r="H1538" t="str">
        <x:f>IF(D1538="NO",IF(C1538="SÍ","FERIADO","FIN DE SEMANA"),"LABORABLE")&amp;IF(F1538="SÍ"," + CIERRE","")</x:f>
        <x:v>FIN DE SEMANA</x:v>
      </x:c>
      <x:c r="I1538" t="str">
        <x:f>TEXT(G1538,"yyyy-mm")</x:f>
        <x:v>2029-03</x:v>
      </x:c>
    </x:row>
    <x:row r="1539" ht="19" customHeight="1">
      <x:c r="A1539" s="2" t="n">
        <x:v>47195</x:v>
      </x:c>
      <x:c r="B1539" t="str">
        <x:f>CHOOSE(WEEKDAY(A1539,2),"Lunes","Martes","Miércoles","Jueves","Viernes","Sábado","Domingo")</x:f>
        <x:v>Domingo</x:v>
      </x:c>
      <x:c r="C1539" t="str">
        <x:f>IF(COUNTIF(FERIADOS!$A$2:$A$250,A1539)&gt;0,"SÍ","NO")</x:f>
        <x:v>NO</x:v>
      </x:c>
      <x:c r="D1539" t="str">
        <x:f>IF(AND(WEEKDAY(A1539,2)&lt;=5,C1539="NO"),"SÍ","NO")</x:f>
        <x:v>NO</x:v>
      </x:c>
      <x:c r="E1539" s="2" t="n">
        <x:f>WORKDAY.INTL(A1539-1,1,1,FERIADOS!$A$2:$A$250)</x:f>
        <x:v>47196</x:v>
      </x:c>
      <x:c r="F1539" t="str">
        <x:f>IF(E1539&gt;=WORKDAY.INTL(EOMONTH(E1539,0)+1,-2,1,FERIADOS!$A$2:$A$250),"SÍ","NO")</x:f>
        <x:v>NO</x:v>
      </x:c>
      <x:c r="G1539" s="10" t="n">
        <x:f>IF(F1539="SÍ",EOMONTH(E1539,0)+1,DATE(YEAR(E1539),MONTH(E1539),1))</x:f>
        <x:v>47178</x:v>
      </x:c>
      <x:c r="H1539" t="str">
        <x:f>IF(D1539="NO",IF(C1539="SÍ","FERIADO","FIN DE SEMANA"),"LABORABLE")&amp;IF(F1539="SÍ"," + CIERRE","")</x:f>
        <x:v>FIN DE SEMANA</x:v>
      </x:c>
      <x:c r="I1539" t="str">
        <x:f>TEXT(G1539,"yyyy-mm")</x:f>
        <x:v>2029-03</x:v>
      </x:c>
    </x:row>
    <x:row r="1540" ht="19" customHeight="1">
      <x:c r="A1540" s="2" t="n">
        <x:v>47196</x:v>
      </x:c>
      <x:c r="B1540" t="str">
        <x:f>CHOOSE(WEEKDAY(A1540,2),"Lunes","Martes","Miércoles","Jueves","Viernes","Sábado","Domingo")</x:f>
        <x:v>Lunes</x:v>
      </x:c>
      <x:c r="C1540" t="str">
        <x:f>IF(COUNTIF(FERIADOS!$A$2:$A$250,A1540)&gt;0,"SÍ","NO")</x:f>
        <x:v>NO</x:v>
      </x:c>
      <x:c r="D1540" t="str">
        <x:f>IF(AND(WEEKDAY(A1540,2)&lt;=5,C1540="NO"),"SÍ","NO")</x:f>
        <x:v>SÍ</x:v>
      </x:c>
      <x:c r="E1540" s="2" t="n">
        <x:f>WORKDAY.INTL(A1540-1,1,1,FERIADOS!$A$2:$A$250)</x:f>
        <x:v>47196</x:v>
      </x:c>
      <x:c r="F1540" t="str">
        <x:f>IF(E1540&gt;=WORKDAY.INTL(EOMONTH(E1540,0)+1,-2,1,FERIADOS!$A$2:$A$250),"SÍ","NO")</x:f>
        <x:v>NO</x:v>
      </x:c>
      <x:c r="G1540" s="10" t="n">
        <x:f>IF(F1540="SÍ",EOMONTH(E1540,0)+1,DATE(YEAR(E1540),MONTH(E1540),1))</x:f>
        <x:v>47178</x:v>
      </x:c>
      <x:c r="H1540" t="str">
        <x:f>IF(D1540="NO",IF(C1540="SÍ","FERIADO","FIN DE SEMANA"),"LABORABLE")&amp;IF(F1540="SÍ"," + CIERRE","")</x:f>
        <x:v>LABORABLE</x:v>
      </x:c>
      <x:c r="I1540" t="str">
        <x:f>TEXT(G1540,"yyyy-mm")</x:f>
        <x:v>2029-03</x:v>
      </x:c>
    </x:row>
    <x:row r="1541" ht="19" customHeight="1">
      <x:c r="A1541" s="2" t="n">
        <x:v>47197</x:v>
      </x:c>
      <x:c r="B1541" t="str">
        <x:f>CHOOSE(WEEKDAY(A1541,2),"Lunes","Martes","Miércoles","Jueves","Viernes","Sábado","Domingo")</x:f>
        <x:v>Martes</x:v>
      </x:c>
      <x:c r="C1541" t="str">
        <x:f>IF(COUNTIF(FERIADOS!$A$2:$A$250,A1541)&gt;0,"SÍ","NO")</x:f>
        <x:v>NO</x:v>
      </x:c>
      <x:c r="D1541" t="str">
        <x:f>IF(AND(WEEKDAY(A1541,2)&lt;=5,C1541="NO"),"SÍ","NO")</x:f>
        <x:v>SÍ</x:v>
      </x:c>
      <x:c r="E1541" s="2" t="n">
        <x:f>WORKDAY.INTL(A1541-1,1,1,FERIADOS!$A$2:$A$250)</x:f>
        <x:v>47197</x:v>
      </x:c>
      <x:c r="F1541" t="str">
        <x:f>IF(E1541&gt;=WORKDAY.INTL(EOMONTH(E1541,0)+1,-2,1,FERIADOS!$A$2:$A$250),"SÍ","NO")</x:f>
        <x:v>NO</x:v>
      </x:c>
      <x:c r="G1541" s="10" t="n">
        <x:f>IF(F1541="SÍ",EOMONTH(E1541,0)+1,DATE(YEAR(E1541),MONTH(E1541),1))</x:f>
        <x:v>47178</x:v>
      </x:c>
      <x:c r="H1541" t="str">
        <x:f>IF(D1541="NO",IF(C1541="SÍ","FERIADO","FIN DE SEMANA"),"LABORABLE")&amp;IF(F1541="SÍ"," + CIERRE","")</x:f>
        <x:v>LABORABLE</x:v>
      </x:c>
      <x:c r="I1541" t="str">
        <x:f>TEXT(G1541,"yyyy-mm")</x:f>
        <x:v>2029-03</x:v>
      </x:c>
    </x:row>
    <x:row r="1542" ht="19" customHeight="1">
      <x:c r="A1542" s="2" t="n">
        <x:v>47198</x:v>
      </x:c>
      <x:c r="B1542" t="str">
        <x:f>CHOOSE(WEEKDAY(A1542,2),"Lunes","Martes","Miércoles","Jueves","Viernes","Sábado","Domingo")</x:f>
        <x:v>Miércoles</x:v>
      </x:c>
      <x:c r="C1542" t="str">
        <x:f>IF(COUNTIF(FERIADOS!$A$2:$A$250,A1542)&gt;0,"SÍ","NO")</x:f>
        <x:v>NO</x:v>
      </x:c>
      <x:c r="D1542" t="str">
        <x:f>IF(AND(WEEKDAY(A1542,2)&lt;=5,C1542="NO"),"SÍ","NO")</x:f>
        <x:v>SÍ</x:v>
      </x:c>
      <x:c r="E1542" s="2" t="n">
        <x:f>WORKDAY.INTL(A1542-1,1,1,FERIADOS!$A$2:$A$250)</x:f>
        <x:v>47198</x:v>
      </x:c>
      <x:c r="F1542" t="str">
        <x:f>IF(E1542&gt;=WORKDAY.INTL(EOMONTH(E1542,0)+1,-2,1,FERIADOS!$A$2:$A$250),"SÍ","NO")</x:f>
        <x:v>NO</x:v>
      </x:c>
      <x:c r="G1542" s="10" t="n">
        <x:f>IF(F1542="SÍ",EOMONTH(E1542,0)+1,DATE(YEAR(E1542),MONTH(E1542),1))</x:f>
        <x:v>47178</x:v>
      </x:c>
      <x:c r="H1542" t="str">
        <x:f>IF(D1542="NO",IF(C1542="SÍ","FERIADO","FIN DE SEMANA"),"LABORABLE")&amp;IF(F1542="SÍ"," + CIERRE","")</x:f>
        <x:v>LABORABLE</x:v>
      </x:c>
      <x:c r="I1542" t="str">
        <x:f>TEXT(G1542,"yyyy-mm")</x:f>
        <x:v>2029-03</x:v>
      </x:c>
    </x:row>
    <x:row r="1543" ht="19" customHeight="1">
      <x:c r="A1543" s="2" t="n">
        <x:v>47199</x:v>
      </x:c>
      <x:c r="B1543" t="str">
        <x:f>CHOOSE(WEEKDAY(A1543,2),"Lunes","Martes","Miércoles","Jueves","Viernes","Sábado","Domingo")</x:f>
        <x:v>Jueves</x:v>
      </x:c>
      <x:c r="C1543" t="str">
        <x:f>IF(COUNTIF(FERIADOS!$A$2:$A$250,A1543)&gt;0,"SÍ","NO")</x:f>
        <x:v>NO</x:v>
      </x:c>
      <x:c r="D1543" t="str">
        <x:f>IF(AND(WEEKDAY(A1543,2)&lt;=5,C1543="NO"),"SÍ","NO")</x:f>
        <x:v>SÍ</x:v>
      </x:c>
      <x:c r="E1543" s="2" t="n">
        <x:f>WORKDAY.INTL(A1543-1,1,1,FERIADOS!$A$2:$A$250)</x:f>
        <x:v>47199</x:v>
      </x:c>
      <x:c r="F1543" t="str">
        <x:f>IF(E1543&gt;=WORKDAY.INTL(EOMONTH(E1543,0)+1,-2,1,FERIADOS!$A$2:$A$250),"SÍ","NO")</x:f>
        <x:v>NO</x:v>
      </x:c>
      <x:c r="G1543" s="10" t="n">
        <x:f>IF(F1543="SÍ",EOMONTH(E1543,0)+1,DATE(YEAR(E1543),MONTH(E1543),1))</x:f>
        <x:v>47178</x:v>
      </x:c>
      <x:c r="H1543" t="str">
        <x:f>IF(D1543="NO",IF(C1543="SÍ","FERIADO","FIN DE SEMANA"),"LABORABLE")&amp;IF(F1543="SÍ"," + CIERRE","")</x:f>
        <x:v>LABORABLE</x:v>
      </x:c>
      <x:c r="I1543" t="str">
        <x:f>TEXT(G1543,"yyyy-mm")</x:f>
        <x:v>2029-03</x:v>
      </x:c>
    </x:row>
    <x:row r="1544" ht="19" customHeight="1">
      <x:c r="A1544" s="2" t="n">
        <x:v>47200</x:v>
      </x:c>
      <x:c r="B1544" t="str">
        <x:f>CHOOSE(WEEKDAY(A1544,2),"Lunes","Martes","Miércoles","Jueves","Viernes","Sábado","Domingo")</x:f>
        <x:v>Viernes</x:v>
      </x:c>
      <x:c r="C1544" t="str">
        <x:f>IF(COUNTIF(FERIADOS!$A$2:$A$250,A1544)&gt;0,"SÍ","NO")</x:f>
        <x:v>NO</x:v>
      </x:c>
      <x:c r="D1544" t="str">
        <x:f>IF(AND(WEEKDAY(A1544,2)&lt;=5,C1544="NO"),"SÍ","NO")</x:f>
        <x:v>SÍ</x:v>
      </x:c>
      <x:c r="E1544" s="2" t="n">
        <x:f>WORKDAY.INTL(A1544-1,1,1,FERIADOS!$A$2:$A$250)</x:f>
        <x:v>47200</x:v>
      </x:c>
      <x:c r="F1544" t="str">
        <x:f>IF(E1544&gt;=WORKDAY.INTL(EOMONTH(E1544,0)+1,-2,1,FERIADOS!$A$2:$A$250),"SÍ","NO")</x:f>
        <x:v>NO</x:v>
      </x:c>
      <x:c r="G1544" s="10" t="n">
        <x:f>IF(F1544="SÍ",EOMONTH(E1544,0)+1,DATE(YEAR(E1544),MONTH(E1544),1))</x:f>
        <x:v>47178</x:v>
      </x:c>
      <x:c r="H1544" t="str">
        <x:f>IF(D1544="NO",IF(C1544="SÍ","FERIADO","FIN DE SEMANA"),"LABORABLE")&amp;IF(F1544="SÍ"," + CIERRE","")</x:f>
        <x:v>LABORABLE</x:v>
      </x:c>
      <x:c r="I1544" t="str">
        <x:f>TEXT(G1544,"yyyy-mm")</x:f>
        <x:v>2029-03</x:v>
      </x:c>
    </x:row>
    <x:row r="1545" ht="19" customHeight="1">
      <x:c r="A1545" s="2" t="n">
        <x:v>47201</x:v>
      </x:c>
      <x:c r="B1545" t="str">
        <x:f>CHOOSE(WEEKDAY(A1545,2),"Lunes","Martes","Miércoles","Jueves","Viernes","Sábado","Domingo")</x:f>
        <x:v>Sábado</x:v>
      </x:c>
      <x:c r="C1545" t="str">
        <x:f>IF(COUNTIF(FERIADOS!$A$2:$A$250,A1545)&gt;0,"SÍ","NO")</x:f>
        <x:v>NO</x:v>
      </x:c>
      <x:c r="D1545" t="str">
        <x:f>IF(AND(WEEKDAY(A1545,2)&lt;=5,C1545="NO"),"SÍ","NO")</x:f>
        <x:v>NO</x:v>
      </x:c>
      <x:c r="E1545" s="2" t="n">
        <x:f>WORKDAY.INTL(A1545-1,1,1,FERIADOS!$A$2:$A$250)</x:f>
        <x:v>47203</x:v>
      </x:c>
      <x:c r="F1545" t="str">
        <x:f>IF(E1545&gt;=WORKDAY.INTL(EOMONTH(E1545,0)+1,-2,1,FERIADOS!$A$2:$A$250),"SÍ","NO")</x:f>
        <x:v>NO</x:v>
      </x:c>
      <x:c r="G1545" s="10" t="n">
        <x:f>IF(F1545="SÍ",EOMONTH(E1545,0)+1,DATE(YEAR(E1545),MONTH(E1545),1))</x:f>
        <x:v>47178</x:v>
      </x:c>
      <x:c r="H1545" t="str">
        <x:f>IF(D1545="NO",IF(C1545="SÍ","FERIADO","FIN DE SEMANA"),"LABORABLE")&amp;IF(F1545="SÍ"," + CIERRE","")</x:f>
        <x:v>FIN DE SEMANA</x:v>
      </x:c>
      <x:c r="I1545" t="str">
        <x:f>TEXT(G1545,"yyyy-mm")</x:f>
        <x:v>2029-03</x:v>
      </x:c>
    </x:row>
    <x:row r="1546" ht="19" customHeight="1">
      <x:c r="A1546" s="2" t="n">
        <x:v>47202</x:v>
      </x:c>
      <x:c r="B1546" t="str">
        <x:f>CHOOSE(WEEKDAY(A1546,2),"Lunes","Martes","Miércoles","Jueves","Viernes","Sábado","Domingo")</x:f>
        <x:v>Domingo</x:v>
      </x:c>
      <x:c r="C1546" t="str">
        <x:f>IF(COUNTIF(FERIADOS!$A$2:$A$250,A1546)&gt;0,"SÍ","NO")</x:f>
        <x:v>NO</x:v>
      </x:c>
      <x:c r="D1546" t="str">
        <x:f>IF(AND(WEEKDAY(A1546,2)&lt;=5,C1546="NO"),"SÍ","NO")</x:f>
        <x:v>NO</x:v>
      </x:c>
      <x:c r="E1546" s="2" t="n">
        <x:f>WORKDAY.INTL(A1546-1,1,1,FERIADOS!$A$2:$A$250)</x:f>
        <x:v>47203</x:v>
      </x:c>
      <x:c r="F1546" t="str">
        <x:f>IF(E1546&gt;=WORKDAY.INTL(EOMONTH(E1546,0)+1,-2,1,FERIADOS!$A$2:$A$250),"SÍ","NO")</x:f>
        <x:v>NO</x:v>
      </x:c>
      <x:c r="G1546" s="10" t="n">
        <x:f>IF(F1546="SÍ",EOMONTH(E1546,0)+1,DATE(YEAR(E1546),MONTH(E1546),1))</x:f>
        <x:v>47178</x:v>
      </x:c>
      <x:c r="H1546" t="str">
        <x:f>IF(D1546="NO",IF(C1546="SÍ","FERIADO","FIN DE SEMANA"),"LABORABLE")&amp;IF(F1546="SÍ"," + CIERRE","")</x:f>
        <x:v>FIN DE SEMANA</x:v>
      </x:c>
      <x:c r="I1546" t="str">
        <x:f>TEXT(G1546,"yyyy-mm")</x:f>
        <x:v>2029-03</x:v>
      </x:c>
    </x:row>
    <x:row r="1547" ht="19" customHeight="1">
      <x:c r="A1547" s="2" t="n">
        <x:v>47203</x:v>
      </x:c>
      <x:c r="B1547" t="str">
        <x:f>CHOOSE(WEEKDAY(A1547,2),"Lunes","Martes","Miércoles","Jueves","Viernes","Sábado","Domingo")</x:f>
        <x:v>Lunes</x:v>
      </x:c>
      <x:c r="C1547" t="str">
        <x:f>IF(COUNTIF(FERIADOS!$A$2:$A$250,A1547)&gt;0,"SÍ","NO")</x:f>
        <x:v>NO</x:v>
      </x:c>
      <x:c r="D1547" t="str">
        <x:f>IF(AND(WEEKDAY(A1547,2)&lt;=5,C1547="NO"),"SÍ","NO")</x:f>
        <x:v>SÍ</x:v>
      </x:c>
      <x:c r="E1547" s="2" t="n">
        <x:f>WORKDAY.INTL(A1547-1,1,1,FERIADOS!$A$2:$A$250)</x:f>
        <x:v>47203</x:v>
      </x:c>
      <x:c r="F1547" t="str">
        <x:f>IF(E1547&gt;=WORKDAY.INTL(EOMONTH(E1547,0)+1,-2,1,FERIADOS!$A$2:$A$250),"SÍ","NO")</x:f>
        <x:v>NO</x:v>
      </x:c>
      <x:c r="G1547" s="10" t="n">
        <x:f>IF(F1547="SÍ",EOMONTH(E1547,0)+1,DATE(YEAR(E1547),MONTH(E1547),1))</x:f>
        <x:v>47178</x:v>
      </x:c>
      <x:c r="H1547" t="str">
        <x:f>IF(D1547="NO",IF(C1547="SÍ","FERIADO","FIN DE SEMANA"),"LABORABLE")&amp;IF(F1547="SÍ"," + CIERRE","")</x:f>
        <x:v>LABORABLE</x:v>
      </x:c>
      <x:c r="I1547" t="str">
        <x:f>TEXT(G1547,"yyyy-mm")</x:f>
        <x:v>2029-03</x:v>
      </x:c>
    </x:row>
    <x:row r="1548" ht="19" customHeight="1">
      <x:c r="A1548" s="2" t="n">
        <x:v>47204</x:v>
      </x:c>
      <x:c r="B1548" t="str">
        <x:f>CHOOSE(WEEKDAY(A1548,2),"Lunes","Martes","Miércoles","Jueves","Viernes","Sábado","Domingo")</x:f>
        <x:v>Martes</x:v>
      </x:c>
      <x:c r="C1548" t="str">
        <x:f>IF(COUNTIF(FERIADOS!$A$2:$A$250,A1548)&gt;0,"SÍ","NO")</x:f>
        <x:v>NO</x:v>
      </x:c>
      <x:c r="D1548" t="str">
        <x:f>IF(AND(WEEKDAY(A1548,2)&lt;=5,C1548="NO"),"SÍ","NO")</x:f>
        <x:v>SÍ</x:v>
      </x:c>
      <x:c r="E1548" s="2" t="n">
        <x:f>WORKDAY.INTL(A1548-1,1,1,FERIADOS!$A$2:$A$250)</x:f>
        <x:v>47204</x:v>
      </x:c>
      <x:c r="F1548" t="str">
        <x:f>IF(E1548&gt;=WORKDAY.INTL(EOMONTH(E1548,0)+1,-2,1,FERIADOS!$A$2:$A$250),"SÍ","NO")</x:f>
        <x:v>NO</x:v>
      </x:c>
      <x:c r="G1548" s="10" t="n">
        <x:f>IF(F1548="SÍ",EOMONTH(E1548,0)+1,DATE(YEAR(E1548),MONTH(E1548),1))</x:f>
        <x:v>47178</x:v>
      </x:c>
      <x:c r="H1548" t="str">
        <x:f>IF(D1548="NO",IF(C1548="SÍ","FERIADO","FIN DE SEMANA"),"LABORABLE")&amp;IF(F1548="SÍ"," + CIERRE","")</x:f>
        <x:v>LABORABLE</x:v>
      </x:c>
      <x:c r="I1548" t="str">
        <x:f>TEXT(G1548,"yyyy-mm")</x:f>
        <x:v>2029-03</x:v>
      </x:c>
    </x:row>
    <x:row r="1549" ht="19" customHeight="1">
      <x:c r="A1549" s="2" t="n">
        <x:v>47205</x:v>
      </x:c>
      <x:c r="B1549" t="str">
        <x:f>CHOOSE(WEEKDAY(A1549,2),"Lunes","Martes","Miércoles","Jueves","Viernes","Sábado","Domingo")</x:f>
        <x:v>Miércoles</x:v>
      </x:c>
      <x:c r="C1549" t="str">
        <x:f>IF(COUNTIF(FERIADOS!$A$2:$A$250,A1549)&gt;0,"SÍ","NO")</x:f>
        <x:v>NO</x:v>
      </x:c>
      <x:c r="D1549" t="str">
        <x:f>IF(AND(WEEKDAY(A1549,2)&lt;=5,C1549="NO"),"SÍ","NO")</x:f>
        <x:v>SÍ</x:v>
      </x:c>
      <x:c r="E1549" s="2" t="n">
        <x:f>WORKDAY.INTL(A1549-1,1,1,FERIADOS!$A$2:$A$250)</x:f>
        <x:v>47205</x:v>
      </x:c>
      <x:c r="F1549" t="str">
        <x:f>IF(E1549&gt;=WORKDAY.INTL(EOMONTH(E1549,0)+1,-2,1,FERIADOS!$A$2:$A$250),"SÍ","NO")</x:f>
        <x:v>SÍ</x:v>
      </x:c>
      <x:c r="G1549" s="10" t="n">
        <x:f>IF(F1549="SÍ",EOMONTH(E1549,0)+1,DATE(YEAR(E1549),MONTH(E1549),1))</x:f>
        <x:v>47209</x:v>
      </x:c>
      <x:c r="H1549" t="str">
        <x:f>IF(D1549="NO",IF(C1549="SÍ","FERIADO","FIN DE SEMANA"),"LABORABLE")&amp;IF(F1549="SÍ"," + CIERRE","")</x:f>
        <x:v>LABORABLE + CIERRE</x:v>
      </x:c>
      <x:c r="I1549" t="str">
        <x:f>TEXT(G1549,"yyyy-mm")</x:f>
        <x:v>2029-04</x:v>
      </x:c>
    </x:row>
    <x:row r="1550" ht="19" customHeight="1">
      <x:c r="A1550" s="2" t="n">
        <x:v>47206</x:v>
      </x:c>
      <x:c r="B1550" t="str">
        <x:f>CHOOSE(WEEKDAY(A1550,2),"Lunes","Martes","Miércoles","Jueves","Viernes","Sábado","Domingo")</x:f>
        <x:v>Jueves</x:v>
      </x:c>
      <x:c r="C1550" t="str">
        <x:f>IF(COUNTIF(FERIADOS!$A$2:$A$250,A1550)&gt;0,"SÍ","NO")</x:f>
        <x:v>NO</x:v>
      </x:c>
      <x:c r="D1550" t="str">
        <x:f>IF(AND(WEEKDAY(A1550,2)&lt;=5,C1550="NO"),"SÍ","NO")</x:f>
        <x:v>SÍ</x:v>
      </x:c>
      <x:c r="E1550" s="2" t="n">
        <x:f>WORKDAY.INTL(A1550-1,1,1,FERIADOS!$A$2:$A$250)</x:f>
        <x:v>47206</x:v>
      </x:c>
      <x:c r="F1550" t="str">
        <x:f>IF(E1550&gt;=WORKDAY.INTL(EOMONTH(E1550,0)+1,-2,1,FERIADOS!$A$2:$A$250),"SÍ","NO")</x:f>
        <x:v>SÍ</x:v>
      </x:c>
      <x:c r="G1550" s="10" t="n">
        <x:f>IF(F1550="SÍ",EOMONTH(E1550,0)+1,DATE(YEAR(E1550),MONTH(E1550),1))</x:f>
        <x:v>47209</x:v>
      </x:c>
      <x:c r="H1550" t="str">
        <x:f>IF(D1550="NO",IF(C1550="SÍ","FERIADO","FIN DE SEMANA"),"LABORABLE")&amp;IF(F1550="SÍ"," + CIERRE","")</x:f>
        <x:v>LABORABLE + CIERRE</x:v>
      </x:c>
      <x:c r="I1550" t="str">
        <x:f>TEXT(G1550,"yyyy-mm")</x:f>
        <x:v>2029-04</x:v>
      </x:c>
    </x:row>
    <x:row r="1551" ht="19" customHeight="1">
      <x:c r="A1551" s="2" t="n">
        <x:v>47207</x:v>
      </x:c>
      <x:c r="B1551" t="str">
        <x:f>CHOOSE(WEEKDAY(A1551,2),"Lunes","Martes","Miércoles","Jueves","Viernes","Sábado","Domingo")</x:f>
        <x:v>Viernes</x:v>
      </x:c>
      <x:c r="C1551" t="str">
        <x:f>IF(COUNTIF(FERIADOS!$A$2:$A$250,A1551)&gt;0,"SÍ","NO")</x:f>
        <x:v>SÍ</x:v>
      </x:c>
      <x:c r="D1551" t="str">
        <x:f>IF(AND(WEEKDAY(A1551,2)&lt;=5,C1551="NO"),"SÍ","NO")</x:f>
        <x:v>NO</x:v>
      </x:c>
      <x:c r="E1551" s="2" t="n">
        <x:f>WORKDAY.INTL(A1551-1,1,1,FERIADOS!$A$2:$A$250)</x:f>
        <x:v>47210</x:v>
      </x:c>
      <x:c r="F1551" t="str">
        <x:f>IF(E1551&gt;=WORKDAY.INTL(EOMONTH(E1551,0)+1,-2,1,FERIADOS!$A$2:$A$250),"SÍ","NO")</x:f>
        <x:v>NO</x:v>
      </x:c>
      <x:c r="G1551" s="10" t="n">
        <x:f>IF(F1551="SÍ",EOMONTH(E1551,0)+1,DATE(YEAR(E1551),MONTH(E1551),1))</x:f>
        <x:v>47209</x:v>
      </x:c>
      <x:c r="H1551" t="str">
        <x:f>IF(D1551="NO",IF(C1551="SÍ","FERIADO","FIN DE SEMANA"),"LABORABLE")&amp;IF(F1551="SÍ"," + CIERRE","")</x:f>
        <x:v>FERIADO</x:v>
      </x:c>
      <x:c r="I1551" t="str">
        <x:f>TEXT(G1551,"yyyy-mm")</x:f>
        <x:v>2029-04</x:v>
      </x:c>
    </x:row>
    <x:row r="1552" ht="19" customHeight="1">
      <x:c r="A1552" s="2" t="n">
        <x:v>47208</x:v>
      </x:c>
      <x:c r="B1552" t="str">
        <x:f>CHOOSE(WEEKDAY(A1552,2),"Lunes","Martes","Miércoles","Jueves","Viernes","Sábado","Domingo")</x:f>
        <x:v>Sábado</x:v>
      </x:c>
      <x:c r="C1552" t="str">
        <x:f>IF(COUNTIF(FERIADOS!$A$2:$A$250,A1552)&gt;0,"SÍ","NO")</x:f>
        <x:v>NO</x:v>
      </x:c>
      <x:c r="D1552" t="str">
        <x:f>IF(AND(WEEKDAY(A1552,2)&lt;=5,C1552="NO"),"SÍ","NO")</x:f>
        <x:v>NO</x:v>
      </x:c>
      <x:c r="E1552" s="2" t="n">
        <x:f>WORKDAY.INTL(A1552-1,1,1,FERIADOS!$A$2:$A$250)</x:f>
        <x:v>47210</x:v>
      </x:c>
      <x:c r="F1552" t="str">
        <x:f>IF(E1552&gt;=WORKDAY.INTL(EOMONTH(E1552,0)+1,-2,1,FERIADOS!$A$2:$A$250),"SÍ","NO")</x:f>
        <x:v>NO</x:v>
      </x:c>
      <x:c r="G1552" s="10" t="n">
        <x:f>IF(F1552="SÍ",EOMONTH(E1552,0)+1,DATE(YEAR(E1552),MONTH(E1552),1))</x:f>
        <x:v>47209</x:v>
      </x:c>
      <x:c r="H1552" t="str">
        <x:f>IF(D1552="NO",IF(C1552="SÍ","FERIADO","FIN DE SEMANA"),"LABORABLE")&amp;IF(F1552="SÍ"," + CIERRE","")</x:f>
        <x:v>FIN DE SEMANA</x:v>
      </x:c>
      <x:c r="I1552" t="str">
        <x:f>TEXT(G1552,"yyyy-mm")</x:f>
        <x:v>2029-04</x:v>
      </x:c>
    </x:row>
    <x:row r="1553" ht="19" customHeight="1">
      <x:c r="A1553" s="2" t="n">
        <x:v>47209</x:v>
      </x:c>
      <x:c r="B1553" t="str">
        <x:f>CHOOSE(WEEKDAY(A1553,2),"Lunes","Martes","Miércoles","Jueves","Viernes","Sábado","Domingo")</x:f>
        <x:v>Domingo</x:v>
      </x:c>
      <x:c r="C1553" t="str">
        <x:f>IF(COUNTIF(FERIADOS!$A$2:$A$250,A1553)&gt;0,"SÍ","NO")</x:f>
        <x:v>NO</x:v>
      </x:c>
      <x:c r="D1553" t="str">
        <x:f>IF(AND(WEEKDAY(A1553,2)&lt;=5,C1553="NO"),"SÍ","NO")</x:f>
        <x:v>NO</x:v>
      </x:c>
      <x:c r="E1553" s="2" t="n">
        <x:f>WORKDAY.INTL(A1553-1,1,1,FERIADOS!$A$2:$A$250)</x:f>
        <x:v>47210</x:v>
      </x:c>
      <x:c r="F1553" t="str">
        <x:f>IF(E1553&gt;=WORKDAY.INTL(EOMONTH(E1553,0)+1,-2,1,FERIADOS!$A$2:$A$250),"SÍ","NO")</x:f>
        <x:v>NO</x:v>
      </x:c>
      <x:c r="G1553" s="10" t="n">
        <x:f>IF(F1553="SÍ",EOMONTH(E1553,0)+1,DATE(YEAR(E1553),MONTH(E1553),1))</x:f>
        <x:v>47209</x:v>
      </x:c>
      <x:c r="H1553" t="str">
        <x:f>IF(D1553="NO",IF(C1553="SÍ","FERIADO","FIN DE SEMANA"),"LABORABLE")&amp;IF(F1553="SÍ"," + CIERRE","")</x:f>
        <x:v>FIN DE SEMANA</x:v>
      </x:c>
      <x:c r="I1553" t="str">
        <x:f>TEXT(G1553,"yyyy-mm")</x:f>
        <x:v>2029-04</x:v>
      </x:c>
    </x:row>
    <x:row r="1554" ht="19" customHeight="1">
      <x:c r="A1554" s="2" t="n">
        <x:v>47210</x:v>
      </x:c>
      <x:c r="B1554" t="str">
        <x:f>CHOOSE(WEEKDAY(A1554,2),"Lunes","Martes","Miércoles","Jueves","Viernes","Sábado","Domingo")</x:f>
        <x:v>Lunes</x:v>
      </x:c>
      <x:c r="C1554" t="str">
        <x:f>IF(COUNTIF(FERIADOS!$A$2:$A$250,A1554)&gt;0,"SÍ","NO")</x:f>
        <x:v>NO</x:v>
      </x:c>
      <x:c r="D1554" t="str">
        <x:f>IF(AND(WEEKDAY(A1554,2)&lt;=5,C1554="NO"),"SÍ","NO")</x:f>
        <x:v>SÍ</x:v>
      </x:c>
      <x:c r="E1554" s="2" t="n">
        <x:f>WORKDAY.INTL(A1554-1,1,1,FERIADOS!$A$2:$A$250)</x:f>
        <x:v>47210</x:v>
      </x:c>
      <x:c r="F1554" t="str">
        <x:f>IF(E1554&gt;=WORKDAY.INTL(EOMONTH(E1554,0)+1,-2,1,FERIADOS!$A$2:$A$250),"SÍ","NO")</x:f>
        <x:v>NO</x:v>
      </x:c>
      <x:c r="G1554" s="10" t="n">
        <x:f>IF(F1554="SÍ",EOMONTH(E1554,0)+1,DATE(YEAR(E1554),MONTH(E1554),1))</x:f>
        <x:v>47209</x:v>
      </x:c>
      <x:c r="H1554" t="str">
        <x:f>IF(D1554="NO",IF(C1554="SÍ","FERIADO","FIN DE SEMANA"),"LABORABLE")&amp;IF(F1554="SÍ"," + CIERRE","")</x:f>
        <x:v>LABORABLE</x:v>
      </x:c>
      <x:c r="I1554" t="str">
        <x:f>TEXT(G1554,"yyyy-mm")</x:f>
        <x:v>2029-04</x:v>
      </x:c>
    </x:row>
    <x:row r="1555" ht="19" customHeight="1">
      <x:c r="A1555" s="2" t="n">
        <x:v>47211</x:v>
      </x:c>
      <x:c r="B1555" t="str">
        <x:f>CHOOSE(WEEKDAY(A1555,2),"Lunes","Martes","Miércoles","Jueves","Viernes","Sábado","Domingo")</x:f>
        <x:v>Martes</x:v>
      </x:c>
      <x:c r="C1555" t="str">
        <x:f>IF(COUNTIF(FERIADOS!$A$2:$A$250,A1555)&gt;0,"SÍ","NO")</x:f>
        <x:v>NO</x:v>
      </x:c>
      <x:c r="D1555" t="str">
        <x:f>IF(AND(WEEKDAY(A1555,2)&lt;=5,C1555="NO"),"SÍ","NO")</x:f>
        <x:v>SÍ</x:v>
      </x:c>
      <x:c r="E1555" s="2" t="n">
        <x:f>WORKDAY.INTL(A1555-1,1,1,FERIADOS!$A$2:$A$250)</x:f>
        <x:v>47211</x:v>
      </x:c>
      <x:c r="F1555" t="str">
        <x:f>IF(E1555&gt;=WORKDAY.INTL(EOMONTH(E1555,0)+1,-2,1,FERIADOS!$A$2:$A$250),"SÍ","NO")</x:f>
        <x:v>NO</x:v>
      </x:c>
      <x:c r="G1555" s="10" t="n">
        <x:f>IF(F1555="SÍ",EOMONTH(E1555,0)+1,DATE(YEAR(E1555),MONTH(E1555),1))</x:f>
        <x:v>47209</x:v>
      </x:c>
      <x:c r="H1555" t="str">
        <x:f>IF(D1555="NO",IF(C1555="SÍ","FERIADO","FIN DE SEMANA"),"LABORABLE")&amp;IF(F1555="SÍ"," + CIERRE","")</x:f>
        <x:v>LABORABLE</x:v>
      </x:c>
      <x:c r="I1555" t="str">
        <x:f>TEXT(G1555,"yyyy-mm")</x:f>
        <x:v>2029-04</x:v>
      </x:c>
    </x:row>
    <x:row r="1556" ht="19" customHeight="1">
      <x:c r="A1556" s="2" t="n">
        <x:v>47212</x:v>
      </x:c>
      <x:c r="B1556" t="str">
        <x:f>CHOOSE(WEEKDAY(A1556,2),"Lunes","Martes","Miércoles","Jueves","Viernes","Sábado","Domingo")</x:f>
        <x:v>Miércoles</x:v>
      </x:c>
      <x:c r="C1556" t="str">
        <x:f>IF(COUNTIF(FERIADOS!$A$2:$A$250,A1556)&gt;0,"SÍ","NO")</x:f>
        <x:v>NO</x:v>
      </x:c>
      <x:c r="D1556" t="str">
        <x:f>IF(AND(WEEKDAY(A1556,2)&lt;=5,C1556="NO"),"SÍ","NO")</x:f>
        <x:v>SÍ</x:v>
      </x:c>
      <x:c r="E1556" s="2" t="n">
        <x:f>WORKDAY.INTL(A1556-1,1,1,FERIADOS!$A$2:$A$250)</x:f>
        <x:v>47212</x:v>
      </x:c>
      <x:c r="F1556" t="str">
        <x:f>IF(E1556&gt;=WORKDAY.INTL(EOMONTH(E1556,0)+1,-2,1,FERIADOS!$A$2:$A$250),"SÍ","NO")</x:f>
        <x:v>NO</x:v>
      </x:c>
      <x:c r="G1556" s="10" t="n">
        <x:f>IF(F1556="SÍ",EOMONTH(E1556,0)+1,DATE(YEAR(E1556),MONTH(E1556),1))</x:f>
        <x:v>47209</x:v>
      </x:c>
      <x:c r="H1556" t="str">
        <x:f>IF(D1556="NO",IF(C1556="SÍ","FERIADO","FIN DE SEMANA"),"LABORABLE")&amp;IF(F1556="SÍ"," + CIERRE","")</x:f>
        <x:v>LABORABLE</x:v>
      </x:c>
      <x:c r="I1556" t="str">
        <x:f>TEXT(G1556,"yyyy-mm")</x:f>
        <x:v>2029-04</x:v>
      </x:c>
    </x:row>
    <x:row r="1557" ht="19" customHeight="1">
      <x:c r="A1557" s="2" t="n">
        <x:v>47213</x:v>
      </x:c>
      <x:c r="B1557" t="str">
        <x:f>CHOOSE(WEEKDAY(A1557,2),"Lunes","Martes","Miércoles","Jueves","Viernes","Sábado","Domingo")</x:f>
        <x:v>Jueves</x:v>
      </x:c>
      <x:c r="C1557" t="str">
        <x:f>IF(COUNTIF(FERIADOS!$A$2:$A$250,A1557)&gt;0,"SÍ","NO")</x:f>
        <x:v>NO</x:v>
      </x:c>
      <x:c r="D1557" t="str">
        <x:f>IF(AND(WEEKDAY(A1557,2)&lt;=5,C1557="NO"),"SÍ","NO")</x:f>
        <x:v>SÍ</x:v>
      </x:c>
      <x:c r="E1557" s="2" t="n">
        <x:f>WORKDAY.INTL(A1557-1,1,1,FERIADOS!$A$2:$A$250)</x:f>
        <x:v>47213</x:v>
      </x:c>
      <x:c r="F1557" t="str">
        <x:f>IF(E1557&gt;=WORKDAY.INTL(EOMONTH(E1557,0)+1,-2,1,FERIADOS!$A$2:$A$250),"SÍ","NO")</x:f>
        <x:v>NO</x:v>
      </x:c>
      <x:c r="G1557" s="10" t="n">
        <x:f>IF(F1557="SÍ",EOMONTH(E1557,0)+1,DATE(YEAR(E1557),MONTH(E1557),1))</x:f>
        <x:v>47209</x:v>
      </x:c>
      <x:c r="H1557" t="str">
        <x:f>IF(D1557="NO",IF(C1557="SÍ","FERIADO","FIN DE SEMANA"),"LABORABLE")&amp;IF(F1557="SÍ"," + CIERRE","")</x:f>
        <x:v>LABORABLE</x:v>
      </x:c>
      <x:c r="I1557" t="str">
        <x:f>TEXT(G1557,"yyyy-mm")</x:f>
        <x:v>2029-04</x:v>
      </x:c>
    </x:row>
    <x:row r="1558" ht="19" customHeight="1">
      <x:c r="A1558" s="2" t="n">
        <x:v>47214</x:v>
      </x:c>
      <x:c r="B1558" t="str">
        <x:f>CHOOSE(WEEKDAY(A1558,2),"Lunes","Martes","Miércoles","Jueves","Viernes","Sábado","Domingo")</x:f>
        <x:v>Viernes</x:v>
      </x:c>
      <x:c r="C1558" t="str">
        <x:f>IF(COUNTIF(FERIADOS!$A$2:$A$250,A1558)&gt;0,"SÍ","NO")</x:f>
        <x:v>NO</x:v>
      </x:c>
      <x:c r="D1558" t="str">
        <x:f>IF(AND(WEEKDAY(A1558,2)&lt;=5,C1558="NO"),"SÍ","NO")</x:f>
        <x:v>SÍ</x:v>
      </x:c>
      <x:c r="E1558" s="2" t="n">
        <x:f>WORKDAY.INTL(A1558-1,1,1,FERIADOS!$A$2:$A$250)</x:f>
        <x:v>47214</x:v>
      </x:c>
      <x:c r="F1558" t="str">
        <x:f>IF(E1558&gt;=WORKDAY.INTL(EOMONTH(E1558,0)+1,-2,1,FERIADOS!$A$2:$A$250),"SÍ","NO")</x:f>
        <x:v>NO</x:v>
      </x:c>
      <x:c r="G1558" s="10" t="n">
        <x:f>IF(F1558="SÍ",EOMONTH(E1558,0)+1,DATE(YEAR(E1558),MONTH(E1558),1))</x:f>
        <x:v>47209</x:v>
      </x:c>
      <x:c r="H1558" t="str">
        <x:f>IF(D1558="NO",IF(C1558="SÍ","FERIADO","FIN DE SEMANA"),"LABORABLE")&amp;IF(F1558="SÍ"," + CIERRE","")</x:f>
        <x:v>LABORABLE</x:v>
      </x:c>
      <x:c r="I1558" t="str">
        <x:f>TEXT(G1558,"yyyy-mm")</x:f>
        <x:v>2029-04</x:v>
      </x:c>
    </x:row>
    <x:row r="1559" ht="19" customHeight="1">
      <x:c r="A1559" s="2" t="n">
        <x:v>47215</x:v>
      </x:c>
      <x:c r="B1559" t="str">
        <x:f>CHOOSE(WEEKDAY(A1559,2),"Lunes","Martes","Miércoles","Jueves","Viernes","Sábado","Domingo")</x:f>
        <x:v>Sábado</x:v>
      </x:c>
      <x:c r="C1559" t="str">
        <x:f>IF(COUNTIF(FERIADOS!$A$2:$A$250,A1559)&gt;0,"SÍ","NO")</x:f>
        <x:v>NO</x:v>
      </x:c>
      <x:c r="D1559" t="str">
        <x:f>IF(AND(WEEKDAY(A1559,2)&lt;=5,C1559="NO"),"SÍ","NO")</x:f>
        <x:v>NO</x:v>
      </x:c>
      <x:c r="E1559" s="2" t="n">
        <x:f>WORKDAY.INTL(A1559-1,1,1,FERIADOS!$A$2:$A$250)</x:f>
        <x:v>47217</x:v>
      </x:c>
      <x:c r="F1559" t="str">
        <x:f>IF(E1559&gt;=WORKDAY.INTL(EOMONTH(E1559,0)+1,-2,1,FERIADOS!$A$2:$A$250),"SÍ","NO")</x:f>
        <x:v>NO</x:v>
      </x:c>
      <x:c r="G1559" s="10" t="n">
        <x:f>IF(F1559="SÍ",EOMONTH(E1559,0)+1,DATE(YEAR(E1559),MONTH(E1559),1))</x:f>
        <x:v>47209</x:v>
      </x:c>
      <x:c r="H1559" t="str">
        <x:f>IF(D1559="NO",IF(C1559="SÍ","FERIADO","FIN DE SEMANA"),"LABORABLE")&amp;IF(F1559="SÍ"," + CIERRE","")</x:f>
        <x:v>FIN DE SEMANA</x:v>
      </x:c>
      <x:c r="I1559" t="str">
        <x:f>TEXT(G1559,"yyyy-mm")</x:f>
        <x:v>2029-04</x:v>
      </x:c>
    </x:row>
    <x:row r="1560" ht="19" customHeight="1">
      <x:c r="A1560" s="2" t="n">
        <x:v>47216</x:v>
      </x:c>
      <x:c r="B1560" t="str">
        <x:f>CHOOSE(WEEKDAY(A1560,2),"Lunes","Martes","Miércoles","Jueves","Viernes","Sábado","Domingo")</x:f>
        <x:v>Domingo</x:v>
      </x:c>
      <x:c r="C1560" t="str">
        <x:f>IF(COUNTIF(FERIADOS!$A$2:$A$250,A1560)&gt;0,"SÍ","NO")</x:f>
        <x:v>NO</x:v>
      </x:c>
      <x:c r="D1560" t="str">
        <x:f>IF(AND(WEEKDAY(A1560,2)&lt;=5,C1560="NO"),"SÍ","NO")</x:f>
        <x:v>NO</x:v>
      </x:c>
      <x:c r="E1560" s="2" t="n">
        <x:f>WORKDAY.INTL(A1560-1,1,1,FERIADOS!$A$2:$A$250)</x:f>
        <x:v>47217</x:v>
      </x:c>
      <x:c r="F1560" t="str">
        <x:f>IF(E1560&gt;=WORKDAY.INTL(EOMONTH(E1560,0)+1,-2,1,FERIADOS!$A$2:$A$250),"SÍ","NO")</x:f>
        <x:v>NO</x:v>
      </x:c>
      <x:c r="G1560" s="10" t="n">
        <x:f>IF(F1560="SÍ",EOMONTH(E1560,0)+1,DATE(YEAR(E1560),MONTH(E1560),1))</x:f>
        <x:v>47209</x:v>
      </x:c>
      <x:c r="H1560" t="str">
        <x:f>IF(D1560="NO",IF(C1560="SÍ","FERIADO","FIN DE SEMANA"),"LABORABLE")&amp;IF(F1560="SÍ"," + CIERRE","")</x:f>
        <x:v>FIN DE SEMANA</x:v>
      </x:c>
      <x:c r="I1560" t="str">
        <x:f>TEXT(G1560,"yyyy-mm")</x:f>
        <x:v>2029-04</x:v>
      </x:c>
    </x:row>
    <x:row r="1561" ht="19" customHeight="1">
      <x:c r="A1561" s="2" t="n">
        <x:v>47217</x:v>
      </x:c>
      <x:c r="B1561" t="str">
        <x:f>CHOOSE(WEEKDAY(A1561,2),"Lunes","Martes","Miércoles","Jueves","Viernes","Sábado","Domingo")</x:f>
        <x:v>Lunes</x:v>
      </x:c>
      <x:c r="C1561" t="str">
        <x:f>IF(COUNTIF(FERIADOS!$A$2:$A$250,A1561)&gt;0,"SÍ","NO")</x:f>
        <x:v>NO</x:v>
      </x:c>
      <x:c r="D1561" t="str">
        <x:f>IF(AND(WEEKDAY(A1561,2)&lt;=5,C1561="NO"),"SÍ","NO")</x:f>
        <x:v>SÍ</x:v>
      </x:c>
      <x:c r="E1561" s="2" t="n">
        <x:f>WORKDAY.INTL(A1561-1,1,1,FERIADOS!$A$2:$A$250)</x:f>
        <x:v>47217</x:v>
      </x:c>
      <x:c r="F1561" t="str">
        <x:f>IF(E1561&gt;=WORKDAY.INTL(EOMONTH(E1561,0)+1,-2,1,FERIADOS!$A$2:$A$250),"SÍ","NO")</x:f>
        <x:v>NO</x:v>
      </x:c>
      <x:c r="G1561" s="10" t="n">
        <x:f>IF(F1561="SÍ",EOMONTH(E1561,0)+1,DATE(YEAR(E1561),MONTH(E1561),1))</x:f>
        <x:v>47209</x:v>
      </x:c>
      <x:c r="H1561" t="str">
        <x:f>IF(D1561="NO",IF(C1561="SÍ","FERIADO","FIN DE SEMANA"),"LABORABLE")&amp;IF(F1561="SÍ"," + CIERRE","")</x:f>
        <x:v>LABORABLE</x:v>
      </x:c>
      <x:c r="I1561" t="str">
        <x:f>TEXT(G1561,"yyyy-mm")</x:f>
        <x:v>2029-04</x:v>
      </x:c>
    </x:row>
    <x:row r="1562" ht="19" customHeight="1">
      <x:c r="A1562" s="2" t="n">
        <x:v>47218</x:v>
      </x:c>
      <x:c r="B1562" t="str">
        <x:f>CHOOSE(WEEKDAY(A1562,2),"Lunes","Martes","Miércoles","Jueves","Viernes","Sábado","Domingo")</x:f>
        <x:v>Martes</x:v>
      </x:c>
      <x:c r="C1562" t="str">
        <x:f>IF(COUNTIF(FERIADOS!$A$2:$A$250,A1562)&gt;0,"SÍ","NO")</x:f>
        <x:v>NO</x:v>
      </x:c>
      <x:c r="D1562" t="str">
        <x:f>IF(AND(WEEKDAY(A1562,2)&lt;=5,C1562="NO"),"SÍ","NO")</x:f>
        <x:v>SÍ</x:v>
      </x:c>
      <x:c r="E1562" s="2" t="n">
        <x:f>WORKDAY.INTL(A1562-1,1,1,FERIADOS!$A$2:$A$250)</x:f>
        <x:v>47218</x:v>
      </x:c>
      <x:c r="F1562" t="str">
        <x:f>IF(E1562&gt;=WORKDAY.INTL(EOMONTH(E1562,0)+1,-2,1,FERIADOS!$A$2:$A$250),"SÍ","NO")</x:f>
        <x:v>NO</x:v>
      </x:c>
      <x:c r="G1562" s="10" t="n">
        <x:f>IF(F1562="SÍ",EOMONTH(E1562,0)+1,DATE(YEAR(E1562),MONTH(E1562),1))</x:f>
        <x:v>47209</x:v>
      </x:c>
      <x:c r="H1562" t="str">
        <x:f>IF(D1562="NO",IF(C1562="SÍ","FERIADO","FIN DE SEMANA"),"LABORABLE")&amp;IF(F1562="SÍ"," + CIERRE","")</x:f>
        <x:v>LABORABLE</x:v>
      </x:c>
      <x:c r="I1562" t="str">
        <x:f>TEXT(G1562,"yyyy-mm")</x:f>
        <x:v>2029-04</x:v>
      </x:c>
    </x:row>
    <x:row r="1563" ht="19" customHeight="1">
      <x:c r="A1563" s="2" t="n">
        <x:v>47219</x:v>
      </x:c>
      <x:c r="B1563" t="str">
        <x:f>CHOOSE(WEEKDAY(A1563,2),"Lunes","Martes","Miércoles","Jueves","Viernes","Sábado","Domingo")</x:f>
        <x:v>Miércoles</x:v>
      </x:c>
      <x:c r="C1563" t="str">
        <x:f>IF(COUNTIF(FERIADOS!$A$2:$A$250,A1563)&gt;0,"SÍ","NO")</x:f>
        <x:v>NO</x:v>
      </x:c>
      <x:c r="D1563" t="str">
        <x:f>IF(AND(WEEKDAY(A1563,2)&lt;=5,C1563="NO"),"SÍ","NO")</x:f>
        <x:v>SÍ</x:v>
      </x:c>
      <x:c r="E1563" s="2" t="n">
        <x:f>WORKDAY.INTL(A1563-1,1,1,FERIADOS!$A$2:$A$250)</x:f>
        <x:v>47219</x:v>
      </x:c>
      <x:c r="F1563" t="str">
        <x:f>IF(E1563&gt;=WORKDAY.INTL(EOMONTH(E1563,0)+1,-2,1,FERIADOS!$A$2:$A$250),"SÍ","NO")</x:f>
        <x:v>NO</x:v>
      </x:c>
      <x:c r="G1563" s="10" t="n">
        <x:f>IF(F1563="SÍ",EOMONTH(E1563,0)+1,DATE(YEAR(E1563),MONTH(E1563),1))</x:f>
        <x:v>47209</x:v>
      </x:c>
      <x:c r="H1563" t="str">
        <x:f>IF(D1563="NO",IF(C1563="SÍ","FERIADO","FIN DE SEMANA"),"LABORABLE")&amp;IF(F1563="SÍ"," + CIERRE","")</x:f>
        <x:v>LABORABLE</x:v>
      </x:c>
      <x:c r="I1563" t="str">
        <x:f>TEXT(G1563,"yyyy-mm")</x:f>
        <x:v>2029-04</x:v>
      </x:c>
    </x:row>
    <x:row r="1564" ht="19" customHeight="1">
      <x:c r="A1564" s="2" t="n">
        <x:v>47220</x:v>
      </x:c>
      <x:c r="B1564" t="str">
        <x:f>CHOOSE(WEEKDAY(A1564,2),"Lunes","Martes","Miércoles","Jueves","Viernes","Sábado","Domingo")</x:f>
        <x:v>Jueves</x:v>
      </x:c>
      <x:c r="C1564" t="str">
        <x:f>IF(COUNTIF(FERIADOS!$A$2:$A$250,A1564)&gt;0,"SÍ","NO")</x:f>
        <x:v>NO</x:v>
      </x:c>
      <x:c r="D1564" t="str">
        <x:f>IF(AND(WEEKDAY(A1564,2)&lt;=5,C1564="NO"),"SÍ","NO")</x:f>
        <x:v>SÍ</x:v>
      </x:c>
      <x:c r="E1564" s="2" t="n">
        <x:f>WORKDAY.INTL(A1564-1,1,1,FERIADOS!$A$2:$A$250)</x:f>
        <x:v>47220</x:v>
      </x:c>
      <x:c r="F1564" t="str">
        <x:f>IF(E1564&gt;=WORKDAY.INTL(EOMONTH(E1564,0)+1,-2,1,FERIADOS!$A$2:$A$250),"SÍ","NO")</x:f>
        <x:v>NO</x:v>
      </x:c>
      <x:c r="G1564" s="10" t="n">
        <x:f>IF(F1564="SÍ",EOMONTH(E1564,0)+1,DATE(YEAR(E1564),MONTH(E1564),1))</x:f>
        <x:v>47209</x:v>
      </x:c>
      <x:c r="H1564" t="str">
        <x:f>IF(D1564="NO",IF(C1564="SÍ","FERIADO","FIN DE SEMANA"),"LABORABLE")&amp;IF(F1564="SÍ"," + CIERRE","")</x:f>
        <x:v>LABORABLE</x:v>
      </x:c>
      <x:c r="I1564" t="str">
        <x:f>TEXT(G1564,"yyyy-mm")</x:f>
        <x:v>2029-04</x:v>
      </x:c>
    </x:row>
    <x:row r="1565" ht="19" customHeight="1">
      <x:c r="A1565" s="2" t="n">
        <x:v>47221</x:v>
      </x:c>
      <x:c r="B1565" t="str">
        <x:f>CHOOSE(WEEKDAY(A1565,2),"Lunes","Martes","Miércoles","Jueves","Viernes","Sábado","Domingo")</x:f>
        <x:v>Viernes</x:v>
      </x:c>
      <x:c r="C1565" t="str">
        <x:f>IF(COUNTIF(FERIADOS!$A$2:$A$250,A1565)&gt;0,"SÍ","NO")</x:f>
        <x:v>NO</x:v>
      </x:c>
      <x:c r="D1565" t="str">
        <x:f>IF(AND(WEEKDAY(A1565,2)&lt;=5,C1565="NO"),"SÍ","NO")</x:f>
        <x:v>SÍ</x:v>
      </x:c>
      <x:c r="E1565" s="2" t="n">
        <x:f>WORKDAY.INTL(A1565-1,1,1,FERIADOS!$A$2:$A$250)</x:f>
        <x:v>47221</x:v>
      </x:c>
      <x:c r="F1565" t="str">
        <x:f>IF(E1565&gt;=WORKDAY.INTL(EOMONTH(E1565,0)+1,-2,1,FERIADOS!$A$2:$A$250),"SÍ","NO")</x:f>
        <x:v>NO</x:v>
      </x:c>
      <x:c r="G1565" s="10" t="n">
        <x:f>IF(F1565="SÍ",EOMONTH(E1565,0)+1,DATE(YEAR(E1565),MONTH(E1565),1))</x:f>
        <x:v>47209</x:v>
      </x:c>
      <x:c r="H1565" t="str">
        <x:f>IF(D1565="NO",IF(C1565="SÍ","FERIADO","FIN DE SEMANA"),"LABORABLE")&amp;IF(F1565="SÍ"," + CIERRE","")</x:f>
        <x:v>LABORABLE</x:v>
      </x:c>
      <x:c r="I1565" t="str">
        <x:f>TEXT(G1565,"yyyy-mm")</x:f>
        <x:v>2029-04</x:v>
      </x:c>
    </x:row>
    <x:row r="1566" ht="19" customHeight="1">
      <x:c r="A1566" s="2" t="n">
        <x:v>47222</x:v>
      </x:c>
      <x:c r="B1566" t="str">
        <x:f>CHOOSE(WEEKDAY(A1566,2),"Lunes","Martes","Miércoles","Jueves","Viernes","Sábado","Domingo")</x:f>
        <x:v>Sábado</x:v>
      </x:c>
      <x:c r="C1566" t="str">
        <x:f>IF(COUNTIF(FERIADOS!$A$2:$A$250,A1566)&gt;0,"SÍ","NO")</x:f>
        <x:v>NO</x:v>
      </x:c>
      <x:c r="D1566" t="str">
        <x:f>IF(AND(WEEKDAY(A1566,2)&lt;=5,C1566="NO"),"SÍ","NO")</x:f>
        <x:v>NO</x:v>
      </x:c>
      <x:c r="E1566" s="2" t="n">
        <x:f>WORKDAY.INTL(A1566-1,1,1,FERIADOS!$A$2:$A$250)</x:f>
        <x:v>47224</x:v>
      </x:c>
      <x:c r="F1566" t="str">
        <x:f>IF(E1566&gt;=WORKDAY.INTL(EOMONTH(E1566,0)+1,-2,1,FERIADOS!$A$2:$A$250),"SÍ","NO")</x:f>
        <x:v>NO</x:v>
      </x:c>
      <x:c r="G1566" s="10" t="n">
        <x:f>IF(F1566="SÍ",EOMONTH(E1566,0)+1,DATE(YEAR(E1566),MONTH(E1566),1))</x:f>
        <x:v>47209</x:v>
      </x:c>
      <x:c r="H1566" t="str">
        <x:f>IF(D1566="NO",IF(C1566="SÍ","FERIADO","FIN DE SEMANA"),"LABORABLE")&amp;IF(F1566="SÍ"," + CIERRE","")</x:f>
        <x:v>FIN DE SEMANA</x:v>
      </x:c>
      <x:c r="I1566" t="str">
        <x:f>TEXT(G1566,"yyyy-mm")</x:f>
        <x:v>2029-04</x:v>
      </x:c>
    </x:row>
    <x:row r="1567" ht="19" customHeight="1">
      <x:c r="A1567" s="2" t="n">
        <x:v>47223</x:v>
      </x:c>
      <x:c r="B1567" t="str">
        <x:f>CHOOSE(WEEKDAY(A1567,2),"Lunes","Martes","Miércoles","Jueves","Viernes","Sábado","Domingo")</x:f>
        <x:v>Domingo</x:v>
      </x:c>
      <x:c r="C1567" t="str">
        <x:f>IF(COUNTIF(FERIADOS!$A$2:$A$250,A1567)&gt;0,"SÍ","NO")</x:f>
        <x:v>NO</x:v>
      </x:c>
      <x:c r="D1567" t="str">
        <x:f>IF(AND(WEEKDAY(A1567,2)&lt;=5,C1567="NO"),"SÍ","NO")</x:f>
        <x:v>NO</x:v>
      </x:c>
      <x:c r="E1567" s="2" t="n">
        <x:f>WORKDAY.INTL(A1567-1,1,1,FERIADOS!$A$2:$A$250)</x:f>
        <x:v>47224</x:v>
      </x:c>
      <x:c r="F1567" t="str">
        <x:f>IF(E1567&gt;=WORKDAY.INTL(EOMONTH(E1567,0)+1,-2,1,FERIADOS!$A$2:$A$250),"SÍ","NO")</x:f>
        <x:v>NO</x:v>
      </x:c>
      <x:c r="G1567" s="10" t="n">
        <x:f>IF(F1567="SÍ",EOMONTH(E1567,0)+1,DATE(YEAR(E1567),MONTH(E1567),1))</x:f>
        <x:v>47209</x:v>
      </x:c>
      <x:c r="H1567" t="str">
        <x:f>IF(D1567="NO",IF(C1567="SÍ","FERIADO","FIN DE SEMANA"),"LABORABLE")&amp;IF(F1567="SÍ"," + CIERRE","")</x:f>
        <x:v>FIN DE SEMANA</x:v>
      </x:c>
      <x:c r="I1567" t="str">
        <x:f>TEXT(G1567,"yyyy-mm")</x:f>
        <x:v>2029-04</x:v>
      </x:c>
    </x:row>
    <x:row r="1568" ht="19" customHeight="1">
      <x:c r="A1568" s="2" t="n">
        <x:v>47224</x:v>
      </x:c>
      <x:c r="B1568" t="str">
        <x:f>CHOOSE(WEEKDAY(A1568,2),"Lunes","Martes","Miércoles","Jueves","Viernes","Sábado","Domingo")</x:f>
        <x:v>Lunes</x:v>
      </x:c>
      <x:c r="C1568" t="str">
        <x:f>IF(COUNTIF(FERIADOS!$A$2:$A$250,A1568)&gt;0,"SÍ","NO")</x:f>
        <x:v>NO</x:v>
      </x:c>
      <x:c r="D1568" t="str">
        <x:f>IF(AND(WEEKDAY(A1568,2)&lt;=5,C1568="NO"),"SÍ","NO")</x:f>
        <x:v>SÍ</x:v>
      </x:c>
      <x:c r="E1568" s="2" t="n">
        <x:f>WORKDAY.INTL(A1568-1,1,1,FERIADOS!$A$2:$A$250)</x:f>
        <x:v>47224</x:v>
      </x:c>
      <x:c r="F1568" t="str">
        <x:f>IF(E1568&gt;=WORKDAY.INTL(EOMONTH(E1568,0)+1,-2,1,FERIADOS!$A$2:$A$250),"SÍ","NO")</x:f>
        <x:v>NO</x:v>
      </x:c>
      <x:c r="G1568" s="10" t="n">
        <x:f>IF(F1568="SÍ",EOMONTH(E1568,0)+1,DATE(YEAR(E1568),MONTH(E1568),1))</x:f>
        <x:v>47209</x:v>
      </x:c>
      <x:c r="H1568" t="str">
        <x:f>IF(D1568="NO",IF(C1568="SÍ","FERIADO","FIN DE SEMANA"),"LABORABLE")&amp;IF(F1568="SÍ"," + CIERRE","")</x:f>
        <x:v>LABORABLE</x:v>
      </x:c>
      <x:c r="I1568" t="str">
        <x:f>TEXT(G1568,"yyyy-mm")</x:f>
        <x:v>2029-04</x:v>
      </x:c>
    </x:row>
    <x:row r="1569" ht="19" customHeight="1">
      <x:c r="A1569" s="2" t="n">
        <x:v>47225</x:v>
      </x:c>
      <x:c r="B1569" t="str">
        <x:f>CHOOSE(WEEKDAY(A1569,2),"Lunes","Martes","Miércoles","Jueves","Viernes","Sábado","Domingo")</x:f>
        <x:v>Martes</x:v>
      </x:c>
      <x:c r="C1569" t="str">
        <x:f>IF(COUNTIF(FERIADOS!$A$2:$A$250,A1569)&gt;0,"SÍ","NO")</x:f>
        <x:v>NO</x:v>
      </x:c>
      <x:c r="D1569" t="str">
        <x:f>IF(AND(WEEKDAY(A1569,2)&lt;=5,C1569="NO"),"SÍ","NO")</x:f>
        <x:v>SÍ</x:v>
      </x:c>
      <x:c r="E1569" s="2" t="n">
        <x:f>WORKDAY.INTL(A1569-1,1,1,FERIADOS!$A$2:$A$250)</x:f>
        <x:v>47225</x:v>
      </x:c>
      <x:c r="F1569" t="str">
        <x:f>IF(E1569&gt;=WORKDAY.INTL(EOMONTH(E1569,0)+1,-2,1,FERIADOS!$A$2:$A$250),"SÍ","NO")</x:f>
        <x:v>NO</x:v>
      </x:c>
      <x:c r="G1569" s="10" t="n">
        <x:f>IF(F1569="SÍ",EOMONTH(E1569,0)+1,DATE(YEAR(E1569),MONTH(E1569),1))</x:f>
        <x:v>47209</x:v>
      </x:c>
      <x:c r="H1569" t="str">
        <x:f>IF(D1569="NO",IF(C1569="SÍ","FERIADO","FIN DE SEMANA"),"LABORABLE")&amp;IF(F1569="SÍ"," + CIERRE","")</x:f>
        <x:v>LABORABLE</x:v>
      </x:c>
      <x:c r="I1569" t="str">
        <x:f>TEXT(G1569,"yyyy-mm")</x:f>
        <x:v>2029-04</x:v>
      </x:c>
    </x:row>
    <x:row r="1570" ht="19" customHeight="1">
      <x:c r="A1570" s="2" t="n">
        <x:v>47226</x:v>
      </x:c>
      <x:c r="B1570" t="str">
        <x:f>CHOOSE(WEEKDAY(A1570,2),"Lunes","Martes","Miércoles","Jueves","Viernes","Sábado","Domingo")</x:f>
        <x:v>Miércoles</x:v>
      </x:c>
      <x:c r="C1570" t="str">
        <x:f>IF(COUNTIF(FERIADOS!$A$2:$A$250,A1570)&gt;0,"SÍ","NO")</x:f>
        <x:v>NO</x:v>
      </x:c>
      <x:c r="D1570" t="str">
        <x:f>IF(AND(WEEKDAY(A1570,2)&lt;=5,C1570="NO"),"SÍ","NO")</x:f>
        <x:v>SÍ</x:v>
      </x:c>
      <x:c r="E1570" s="2" t="n">
        <x:f>WORKDAY.INTL(A1570-1,1,1,FERIADOS!$A$2:$A$250)</x:f>
        <x:v>47226</x:v>
      </x:c>
      <x:c r="F1570" t="str">
        <x:f>IF(E1570&gt;=WORKDAY.INTL(EOMONTH(E1570,0)+1,-2,1,FERIADOS!$A$2:$A$250),"SÍ","NO")</x:f>
        <x:v>NO</x:v>
      </x:c>
      <x:c r="G1570" s="10" t="n">
        <x:f>IF(F1570="SÍ",EOMONTH(E1570,0)+1,DATE(YEAR(E1570),MONTH(E1570),1))</x:f>
        <x:v>47209</x:v>
      </x:c>
      <x:c r="H1570" t="str">
        <x:f>IF(D1570="NO",IF(C1570="SÍ","FERIADO","FIN DE SEMANA"),"LABORABLE")&amp;IF(F1570="SÍ"," + CIERRE","")</x:f>
        <x:v>LABORABLE</x:v>
      </x:c>
      <x:c r="I1570" t="str">
        <x:f>TEXT(G1570,"yyyy-mm")</x:f>
        <x:v>2029-04</x:v>
      </x:c>
    </x:row>
    <x:row r="1571" ht="19" customHeight="1">
      <x:c r="A1571" s="2" t="n">
        <x:v>47227</x:v>
      </x:c>
      <x:c r="B1571" t="str">
        <x:f>CHOOSE(WEEKDAY(A1571,2),"Lunes","Martes","Miércoles","Jueves","Viernes","Sábado","Domingo")</x:f>
        <x:v>Jueves</x:v>
      </x:c>
      <x:c r="C1571" t="str">
        <x:f>IF(COUNTIF(FERIADOS!$A$2:$A$250,A1571)&gt;0,"SÍ","NO")</x:f>
        <x:v>NO</x:v>
      </x:c>
      <x:c r="D1571" t="str">
        <x:f>IF(AND(WEEKDAY(A1571,2)&lt;=5,C1571="NO"),"SÍ","NO")</x:f>
        <x:v>SÍ</x:v>
      </x:c>
      <x:c r="E1571" s="2" t="n">
        <x:f>WORKDAY.INTL(A1571-1,1,1,FERIADOS!$A$2:$A$250)</x:f>
        <x:v>47227</x:v>
      </x:c>
      <x:c r="F1571" t="str">
        <x:f>IF(E1571&gt;=WORKDAY.INTL(EOMONTH(E1571,0)+1,-2,1,FERIADOS!$A$2:$A$250),"SÍ","NO")</x:f>
        <x:v>NO</x:v>
      </x:c>
      <x:c r="G1571" s="10" t="n">
        <x:f>IF(F1571="SÍ",EOMONTH(E1571,0)+1,DATE(YEAR(E1571),MONTH(E1571),1))</x:f>
        <x:v>47209</x:v>
      </x:c>
      <x:c r="H1571" t="str">
        <x:f>IF(D1571="NO",IF(C1571="SÍ","FERIADO","FIN DE SEMANA"),"LABORABLE")&amp;IF(F1571="SÍ"," + CIERRE","")</x:f>
        <x:v>LABORABLE</x:v>
      </x:c>
      <x:c r="I1571" t="str">
        <x:f>TEXT(G1571,"yyyy-mm")</x:f>
        <x:v>2029-04</x:v>
      </x:c>
    </x:row>
    <x:row r="1572" ht="19" customHeight="1">
      <x:c r="A1572" s="2" t="n">
        <x:v>47228</x:v>
      </x:c>
      <x:c r="B1572" t="str">
        <x:f>CHOOSE(WEEKDAY(A1572,2),"Lunes","Martes","Miércoles","Jueves","Viernes","Sábado","Domingo")</x:f>
        <x:v>Viernes</x:v>
      </x:c>
      <x:c r="C1572" t="str">
        <x:f>IF(COUNTIF(FERIADOS!$A$2:$A$250,A1572)&gt;0,"SÍ","NO")</x:f>
        <x:v>NO</x:v>
      </x:c>
      <x:c r="D1572" t="str">
        <x:f>IF(AND(WEEKDAY(A1572,2)&lt;=5,C1572="NO"),"SÍ","NO")</x:f>
        <x:v>SÍ</x:v>
      </x:c>
      <x:c r="E1572" s="2" t="n">
        <x:f>WORKDAY.INTL(A1572-1,1,1,FERIADOS!$A$2:$A$250)</x:f>
        <x:v>47228</x:v>
      </x:c>
      <x:c r="F1572" t="str">
        <x:f>IF(E1572&gt;=WORKDAY.INTL(EOMONTH(E1572,0)+1,-2,1,FERIADOS!$A$2:$A$250),"SÍ","NO")</x:f>
        <x:v>NO</x:v>
      </x:c>
      <x:c r="G1572" s="10" t="n">
        <x:f>IF(F1572="SÍ",EOMONTH(E1572,0)+1,DATE(YEAR(E1572),MONTH(E1572),1))</x:f>
        <x:v>47209</x:v>
      </x:c>
      <x:c r="H1572" t="str">
        <x:f>IF(D1572="NO",IF(C1572="SÍ","FERIADO","FIN DE SEMANA"),"LABORABLE")&amp;IF(F1572="SÍ"," + CIERRE","")</x:f>
        <x:v>LABORABLE</x:v>
      </x:c>
      <x:c r="I1572" t="str">
        <x:f>TEXT(G1572,"yyyy-mm")</x:f>
        <x:v>2029-04</x:v>
      </x:c>
    </x:row>
    <x:row r="1573" ht="19" customHeight="1">
      <x:c r="A1573" s="2" t="n">
        <x:v>47229</x:v>
      </x:c>
      <x:c r="B1573" t="str">
        <x:f>CHOOSE(WEEKDAY(A1573,2),"Lunes","Martes","Miércoles","Jueves","Viernes","Sábado","Domingo")</x:f>
        <x:v>Sábado</x:v>
      </x:c>
      <x:c r="C1573" t="str">
        <x:f>IF(COUNTIF(FERIADOS!$A$2:$A$250,A1573)&gt;0,"SÍ","NO")</x:f>
        <x:v>NO</x:v>
      </x:c>
      <x:c r="D1573" t="str">
        <x:f>IF(AND(WEEKDAY(A1573,2)&lt;=5,C1573="NO"),"SÍ","NO")</x:f>
        <x:v>NO</x:v>
      </x:c>
      <x:c r="E1573" s="2" t="n">
        <x:f>WORKDAY.INTL(A1573-1,1,1,FERIADOS!$A$2:$A$250)</x:f>
        <x:v>47231</x:v>
      </x:c>
      <x:c r="F1573" t="str">
        <x:f>IF(E1573&gt;=WORKDAY.INTL(EOMONTH(E1573,0)+1,-2,1,FERIADOS!$A$2:$A$250),"SÍ","NO")</x:f>
        <x:v>NO</x:v>
      </x:c>
      <x:c r="G1573" s="10" t="n">
        <x:f>IF(F1573="SÍ",EOMONTH(E1573,0)+1,DATE(YEAR(E1573),MONTH(E1573),1))</x:f>
        <x:v>47209</x:v>
      </x:c>
      <x:c r="H1573" t="str">
        <x:f>IF(D1573="NO",IF(C1573="SÍ","FERIADO","FIN DE SEMANA"),"LABORABLE")&amp;IF(F1573="SÍ"," + CIERRE","")</x:f>
        <x:v>FIN DE SEMANA</x:v>
      </x:c>
      <x:c r="I1573" t="str">
        <x:f>TEXT(G1573,"yyyy-mm")</x:f>
        <x:v>2029-04</x:v>
      </x:c>
    </x:row>
    <x:row r="1574" ht="19" customHeight="1">
      <x:c r="A1574" s="2" t="n">
        <x:v>47230</x:v>
      </x:c>
      <x:c r="B1574" t="str">
        <x:f>CHOOSE(WEEKDAY(A1574,2),"Lunes","Martes","Miércoles","Jueves","Viernes","Sábado","Domingo")</x:f>
        <x:v>Domingo</x:v>
      </x:c>
      <x:c r="C1574" t="str">
        <x:f>IF(COUNTIF(FERIADOS!$A$2:$A$250,A1574)&gt;0,"SÍ","NO")</x:f>
        <x:v>NO</x:v>
      </x:c>
      <x:c r="D1574" t="str">
        <x:f>IF(AND(WEEKDAY(A1574,2)&lt;=5,C1574="NO"),"SÍ","NO")</x:f>
        <x:v>NO</x:v>
      </x:c>
      <x:c r="E1574" s="2" t="n">
        <x:f>WORKDAY.INTL(A1574-1,1,1,FERIADOS!$A$2:$A$250)</x:f>
        <x:v>47231</x:v>
      </x:c>
      <x:c r="F1574" t="str">
        <x:f>IF(E1574&gt;=WORKDAY.INTL(EOMONTH(E1574,0)+1,-2,1,FERIADOS!$A$2:$A$250),"SÍ","NO")</x:f>
        <x:v>NO</x:v>
      </x:c>
      <x:c r="G1574" s="10" t="n">
        <x:f>IF(F1574="SÍ",EOMONTH(E1574,0)+1,DATE(YEAR(E1574),MONTH(E1574),1))</x:f>
        <x:v>47209</x:v>
      </x:c>
      <x:c r="H1574" t="str">
        <x:f>IF(D1574="NO",IF(C1574="SÍ","FERIADO","FIN DE SEMANA"),"LABORABLE")&amp;IF(F1574="SÍ"," + CIERRE","")</x:f>
        <x:v>FIN DE SEMANA</x:v>
      </x:c>
      <x:c r="I1574" t="str">
        <x:f>TEXT(G1574,"yyyy-mm")</x:f>
        <x:v>2029-04</x:v>
      </x:c>
    </x:row>
    <x:row r="1575" ht="19" customHeight="1">
      <x:c r="A1575" s="2" t="n">
        <x:v>47231</x:v>
      </x:c>
      <x:c r="B1575" t="str">
        <x:f>CHOOSE(WEEKDAY(A1575,2),"Lunes","Martes","Miércoles","Jueves","Viernes","Sábado","Domingo")</x:f>
        <x:v>Lunes</x:v>
      </x:c>
      <x:c r="C1575" t="str">
        <x:f>IF(COUNTIF(FERIADOS!$A$2:$A$250,A1575)&gt;0,"SÍ","NO")</x:f>
        <x:v>NO</x:v>
      </x:c>
      <x:c r="D1575" t="str">
        <x:f>IF(AND(WEEKDAY(A1575,2)&lt;=5,C1575="NO"),"SÍ","NO")</x:f>
        <x:v>SÍ</x:v>
      </x:c>
      <x:c r="E1575" s="2" t="n">
        <x:f>WORKDAY.INTL(A1575-1,1,1,FERIADOS!$A$2:$A$250)</x:f>
        <x:v>47231</x:v>
      </x:c>
      <x:c r="F1575" t="str">
        <x:f>IF(E1575&gt;=WORKDAY.INTL(EOMONTH(E1575,0)+1,-2,1,FERIADOS!$A$2:$A$250),"SÍ","NO")</x:f>
        <x:v>NO</x:v>
      </x:c>
      <x:c r="G1575" s="10" t="n">
        <x:f>IF(F1575="SÍ",EOMONTH(E1575,0)+1,DATE(YEAR(E1575),MONTH(E1575),1))</x:f>
        <x:v>47209</x:v>
      </x:c>
      <x:c r="H1575" t="str">
        <x:f>IF(D1575="NO",IF(C1575="SÍ","FERIADO","FIN DE SEMANA"),"LABORABLE")&amp;IF(F1575="SÍ"," + CIERRE","")</x:f>
        <x:v>LABORABLE</x:v>
      </x:c>
      <x:c r="I1575" t="str">
        <x:f>TEXT(G1575,"yyyy-mm")</x:f>
        <x:v>2029-04</x:v>
      </x:c>
    </x:row>
    <x:row r="1576" ht="19" customHeight="1">
      <x:c r="A1576" s="2" t="n">
        <x:v>47232</x:v>
      </x:c>
      <x:c r="B1576" t="str">
        <x:f>CHOOSE(WEEKDAY(A1576,2),"Lunes","Martes","Miércoles","Jueves","Viernes","Sábado","Domingo")</x:f>
        <x:v>Martes</x:v>
      </x:c>
      <x:c r="C1576" t="str">
        <x:f>IF(COUNTIF(FERIADOS!$A$2:$A$250,A1576)&gt;0,"SÍ","NO")</x:f>
        <x:v>NO</x:v>
      </x:c>
      <x:c r="D1576" t="str">
        <x:f>IF(AND(WEEKDAY(A1576,2)&lt;=5,C1576="NO"),"SÍ","NO")</x:f>
        <x:v>SÍ</x:v>
      </x:c>
      <x:c r="E1576" s="2" t="n">
        <x:f>WORKDAY.INTL(A1576-1,1,1,FERIADOS!$A$2:$A$250)</x:f>
        <x:v>47232</x:v>
      </x:c>
      <x:c r="F1576" t="str">
        <x:f>IF(E1576&gt;=WORKDAY.INTL(EOMONTH(E1576,0)+1,-2,1,FERIADOS!$A$2:$A$250),"SÍ","NO")</x:f>
        <x:v>NO</x:v>
      </x:c>
      <x:c r="G1576" s="10" t="n">
        <x:f>IF(F1576="SÍ",EOMONTH(E1576,0)+1,DATE(YEAR(E1576),MONTH(E1576),1))</x:f>
        <x:v>47209</x:v>
      </x:c>
      <x:c r="H1576" t="str">
        <x:f>IF(D1576="NO",IF(C1576="SÍ","FERIADO","FIN DE SEMANA"),"LABORABLE")&amp;IF(F1576="SÍ"," + CIERRE","")</x:f>
        <x:v>LABORABLE</x:v>
      </x:c>
      <x:c r="I1576" t="str">
        <x:f>TEXT(G1576,"yyyy-mm")</x:f>
        <x:v>2029-04</x:v>
      </x:c>
    </x:row>
    <x:row r="1577" ht="19" customHeight="1">
      <x:c r="A1577" s="2" t="n">
        <x:v>47233</x:v>
      </x:c>
      <x:c r="B1577" t="str">
        <x:f>CHOOSE(WEEKDAY(A1577,2),"Lunes","Martes","Miércoles","Jueves","Viernes","Sábado","Domingo")</x:f>
        <x:v>Miércoles</x:v>
      </x:c>
      <x:c r="C1577" t="str">
        <x:f>IF(COUNTIF(FERIADOS!$A$2:$A$250,A1577)&gt;0,"SÍ","NO")</x:f>
        <x:v>NO</x:v>
      </x:c>
      <x:c r="D1577" t="str">
        <x:f>IF(AND(WEEKDAY(A1577,2)&lt;=5,C1577="NO"),"SÍ","NO")</x:f>
        <x:v>SÍ</x:v>
      </x:c>
      <x:c r="E1577" s="2" t="n">
        <x:f>WORKDAY.INTL(A1577-1,1,1,FERIADOS!$A$2:$A$250)</x:f>
        <x:v>47233</x:v>
      </x:c>
      <x:c r="F1577" t="str">
        <x:f>IF(E1577&gt;=WORKDAY.INTL(EOMONTH(E1577,0)+1,-2,1,FERIADOS!$A$2:$A$250),"SÍ","NO")</x:f>
        <x:v>NO</x:v>
      </x:c>
      <x:c r="G1577" s="10" t="n">
        <x:f>IF(F1577="SÍ",EOMONTH(E1577,0)+1,DATE(YEAR(E1577),MONTH(E1577),1))</x:f>
        <x:v>47209</x:v>
      </x:c>
      <x:c r="H1577" t="str">
        <x:f>IF(D1577="NO",IF(C1577="SÍ","FERIADO","FIN DE SEMANA"),"LABORABLE")&amp;IF(F1577="SÍ"," + CIERRE","")</x:f>
        <x:v>LABORABLE</x:v>
      </x:c>
      <x:c r="I1577" t="str">
        <x:f>TEXT(G1577,"yyyy-mm")</x:f>
        <x:v>2029-04</x:v>
      </x:c>
    </x:row>
    <x:row r="1578" ht="19" customHeight="1">
      <x:c r="A1578" s="2" t="n">
        <x:v>47234</x:v>
      </x:c>
      <x:c r="B1578" t="str">
        <x:f>CHOOSE(WEEKDAY(A1578,2),"Lunes","Martes","Miércoles","Jueves","Viernes","Sábado","Domingo")</x:f>
        <x:v>Jueves</x:v>
      </x:c>
      <x:c r="C1578" t="str">
        <x:f>IF(COUNTIF(FERIADOS!$A$2:$A$250,A1578)&gt;0,"SÍ","NO")</x:f>
        <x:v>NO</x:v>
      </x:c>
      <x:c r="D1578" t="str">
        <x:f>IF(AND(WEEKDAY(A1578,2)&lt;=5,C1578="NO"),"SÍ","NO")</x:f>
        <x:v>SÍ</x:v>
      </x:c>
      <x:c r="E1578" s="2" t="n">
        <x:f>WORKDAY.INTL(A1578-1,1,1,FERIADOS!$A$2:$A$250)</x:f>
        <x:v>47234</x:v>
      </x:c>
      <x:c r="F1578" t="str">
        <x:f>IF(E1578&gt;=WORKDAY.INTL(EOMONTH(E1578,0)+1,-2,1,FERIADOS!$A$2:$A$250),"SÍ","NO")</x:f>
        <x:v>SÍ</x:v>
      </x:c>
      <x:c r="G1578" s="10" t="n">
        <x:f>IF(F1578="SÍ",EOMONTH(E1578,0)+1,DATE(YEAR(E1578),MONTH(E1578),1))</x:f>
        <x:v>47239</x:v>
      </x:c>
      <x:c r="H1578" t="str">
        <x:f>IF(D1578="NO",IF(C1578="SÍ","FERIADO","FIN DE SEMANA"),"LABORABLE")&amp;IF(F1578="SÍ"," + CIERRE","")</x:f>
        <x:v>LABORABLE + CIERRE</x:v>
      </x:c>
      <x:c r="I1578" t="str">
        <x:f>TEXT(G1578,"yyyy-mm")</x:f>
        <x:v>2029-05</x:v>
      </x:c>
    </x:row>
    <x:row r="1579" ht="19" customHeight="1">
      <x:c r="A1579" s="2" t="n">
        <x:v>47235</x:v>
      </x:c>
      <x:c r="B1579" t="str">
        <x:f>CHOOSE(WEEKDAY(A1579,2),"Lunes","Martes","Miércoles","Jueves","Viernes","Sábado","Domingo")</x:f>
        <x:v>Viernes</x:v>
      </x:c>
      <x:c r="C1579" t="str">
        <x:f>IF(COUNTIF(FERIADOS!$A$2:$A$250,A1579)&gt;0,"SÍ","NO")</x:f>
        <x:v>NO</x:v>
      </x:c>
      <x:c r="D1579" t="str">
        <x:f>IF(AND(WEEKDAY(A1579,2)&lt;=5,C1579="NO"),"SÍ","NO")</x:f>
        <x:v>SÍ</x:v>
      </x:c>
      <x:c r="E1579" s="2" t="n">
        <x:f>WORKDAY.INTL(A1579-1,1,1,FERIADOS!$A$2:$A$250)</x:f>
        <x:v>47235</x:v>
      </x:c>
      <x:c r="F1579" t="str">
        <x:f>IF(E1579&gt;=WORKDAY.INTL(EOMONTH(E1579,0)+1,-2,1,FERIADOS!$A$2:$A$250),"SÍ","NO")</x:f>
        <x:v>SÍ</x:v>
      </x:c>
      <x:c r="G1579" s="10" t="n">
        <x:f>IF(F1579="SÍ",EOMONTH(E1579,0)+1,DATE(YEAR(E1579),MONTH(E1579),1))</x:f>
        <x:v>47239</x:v>
      </x:c>
      <x:c r="H1579" t="str">
        <x:f>IF(D1579="NO",IF(C1579="SÍ","FERIADO","FIN DE SEMANA"),"LABORABLE")&amp;IF(F1579="SÍ"," + CIERRE","")</x:f>
        <x:v>LABORABLE + CIERRE</x:v>
      </x:c>
      <x:c r="I1579" t="str">
        <x:f>TEXT(G1579,"yyyy-mm")</x:f>
        <x:v>2029-05</x:v>
      </x:c>
    </x:row>
    <x:row r="1580" ht="19" customHeight="1">
      <x:c r="A1580" s="2" t="n">
        <x:v>47236</x:v>
      </x:c>
      <x:c r="B1580" t="str">
        <x:f>CHOOSE(WEEKDAY(A1580,2),"Lunes","Martes","Miércoles","Jueves","Viernes","Sábado","Domingo")</x:f>
        <x:v>Sábado</x:v>
      </x:c>
      <x:c r="C1580" t="str">
        <x:f>IF(COUNTIF(FERIADOS!$A$2:$A$250,A1580)&gt;0,"SÍ","NO")</x:f>
        <x:v>NO</x:v>
      </x:c>
      <x:c r="D1580" t="str">
        <x:f>IF(AND(WEEKDAY(A1580,2)&lt;=5,C1580="NO"),"SÍ","NO")</x:f>
        <x:v>NO</x:v>
      </x:c>
      <x:c r="E1580" s="2" t="n">
        <x:f>WORKDAY.INTL(A1580-1,1,1,FERIADOS!$A$2:$A$250)</x:f>
        <x:v>47239</x:v>
      </x:c>
      <x:c r="F1580" t="str">
        <x:f>IF(E1580&gt;=WORKDAY.INTL(EOMONTH(E1580,0)+1,-2,1,FERIADOS!$A$2:$A$250),"SÍ","NO")</x:f>
        <x:v>NO</x:v>
      </x:c>
      <x:c r="G1580" s="10" t="n">
        <x:f>IF(F1580="SÍ",EOMONTH(E1580,0)+1,DATE(YEAR(E1580),MONTH(E1580),1))</x:f>
        <x:v>47239</x:v>
      </x:c>
      <x:c r="H1580" t="str">
        <x:f>IF(D1580="NO",IF(C1580="SÍ","FERIADO","FIN DE SEMANA"),"LABORABLE")&amp;IF(F1580="SÍ"," + CIERRE","")</x:f>
        <x:v>FIN DE SEMANA</x:v>
      </x:c>
      <x:c r="I1580" t="str">
        <x:f>TEXT(G1580,"yyyy-mm")</x:f>
        <x:v>2029-05</x:v>
      </x:c>
    </x:row>
    <x:row r="1581" ht="19" customHeight="1">
      <x:c r="A1581" s="2" t="n">
        <x:v>47237</x:v>
      </x:c>
      <x:c r="B1581" t="str">
        <x:f>CHOOSE(WEEKDAY(A1581,2),"Lunes","Martes","Miércoles","Jueves","Viernes","Sábado","Domingo")</x:f>
        <x:v>Domingo</x:v>
      </x:c>
      <x:c r="C1581" t="str">
        <x:f>IF(COUNTIF(FERIADOS!$A$2:$A$250,A1581)&gt;0,"SÍ","NO")</x:f>
        <x:v>NO</x:v>
      </x:c>
      <x:c r="D1581" t="str">
        <x:f>IF(AND(WEEKDAY(A1581,2)&lt;=5,C1581="NO"),"SÍ","NO")</x:f>
        <x:v>NO</x:v>
      </x:c>
      <x:c r="E1581" s="2" t="n">
        <x:f>WORKDAY.INTL(A1581-1,1,1,FERIADOS!$A$2:$A$250)</x:f>
        <x:v>47239</x:v>
      </x:c>
      <x:c r="F1581" t="str">
        <x:f>IF(E1581&gt;=WORKDAY.INTL(EOMONTH(E1581,0)+1,-2,1,FERIADOS!$A$2:$A$250),"SÍ","NO")</x:f>
        <x:v>NO</x:v>
      </x:c>
      <x:c r="G1581" s="10" t="n">
        <x:f>IF(F1581="SÍ",EOMONTH(E1581,0)+1,DATE(YEAR(E1581),MONTH(E1581),1))</x:f>
        <x:v>47239</x:v>
      </x:c>
      <x:c r="H1581" t="str">
        <x:f>IF(D1581="NO",IF(C1581="SÍ","FERIADO","FIN DE SEMANA"),"LABORABLE")&amp;IF(F1581="SÍ"," + CIERRE","")</x:f>
        <x:v>FIN DE SEMANA</x:v>
      </x:c>
      <x:c r="I1581" t="str">
        <x:f>TEXT(G1581,"yyyy-mm")</x:f>
        <x:v>2029-05</x:v>
      </x:c>
    </x:row>
    <x:row r="1582" ht="19" customHeight="1">
      <x:c r="A1582" s="2" t="n">
        <x:v>47238</x:v>
      </x:c>
      <x:c r="B1582" t="str">
        <x:f>CHOOSE(WEEKDAY(A1582,2),"Lunes","Martes","Miércoles","Jueves","Viernes","Sábado","Domingo")</x:f>
        <x:v>Lunes</x:v>
      </x:c>
      <x:c r="C1582" t="str">
        <x:f>IF(COUNTIF(FERIADOS!$A$2:$A$250,A1582)&gt;0,"SÍ","NO")</x:f>
        <x:v>SÍ</x:v>
      </x:c>
      <x:c r="D1582" t="str">
        <x:f>IF(AND(WEEKDAY(A1582,2)&lt;=5,C1582="NO"),"SÍ","NO")</x:f>
        <x:v>NO</x:v>
      </x:c>
      <x:c r="E1582" s="2" t="n">
        <x:f>WORKDAY.INTL(A1582-1,1,1,FERIADOS!$A$2:$A$250)</x:f>
        <x:v>47239</x:v>
      </x:c>
      <x:c r="F1582" t="str">
        <x:f>IF(E1582&gt;=WORKDAY.INTL(EOMONTH(E1582,0)+1,-2,1,FERIADOS!$A$2:$A$250),"SÍ","NO")</x:f>
        <x:v>NO</x:v>
      </x:c>
      <x:c r="G1582" s="10" t="n">
        <x:f>IF(F1582="SÍ",EOMONTH(E1582,0)+1,DATE(YEAR(E1582),MONTH(E1582),1))</x:f>
        <x:v>47239</x:v>
      </x:c>
      <x:c r="H1582" t="str">
        <x:f>IF(D1582="NO",IF(C1582="SÍ","FERIADO","FIN DE SEMANA"),"LABORABLE")&amp;IF(F1582="SÍ"," + CIERRE","")</x:f>
        <x:v>FERIADO</x:v>
      </x:c>
      <x:c r="I1582" t="str">
        <x:f>TEXT(G1582,"yyyy-mm")</x:f>
        <x:v>2029-05</x:v>
      </x:c>
    </x:row>
    <x:row r="1583" ht="19" customHeight="1">
      <x:c r="A1583" s="2" t="n">
        <x:v>47239</x:v>
      </x:c>
      <x:c r="B1583" t="str">
        <x:f>CHOOSE(WEEKDAY(A1583,2),"Lunes","Martes","Miércoles","Jueves","Viernes","Sábado","Domingo")</x:f>
        <x:v>Martes</x:v>
      </x:c>
      <x:c r="C1583" t="str">
        <x:f>IF(COUNTIF(FERIADOS!$A$2:$A$250,A1583)&gt;0,"SÍ","NO")</x:f>
        <x:v>NO</x:v>
      </x:c>
      <x:c r="D1583" t="str">
        <x:f>IF(AND(WEEKDAY(A1583,2)&lt;=5,C1583="NO"),"SÍ","NO")</x:f>
        <x:v>SÍ</x:v>
      </x:c>
      <x:c r="E1583" s="2" t="n">
        <x:f>WORKDAY.INTL(A1583-1,1,1,FERIADOS!$A$2:$A$250)</x:f>
        <x:v>47239</x:v>
      </x:c>
      <x:c r="F1583" t="str">
        <x:f>IF(E1583&gt;=WORKDAY.INTL(EOMONTH(E1583,0)+1,-2,1,FERIADOS!$A$2:$A$250),"SÍ","NO")</x:f>
        <x:v>NO</x:v>
      </x:c>
      <x:c r="G1583" s="10" t="n">
        <x:f>IF(F1583="SÍ",EOMONTH(E1583,0)+1,DATE(YEAR(E1583),MONTH(E1583),1))</x:f>
        <x:v>47239</x:v>
      </x:c>
      <x:c r="H1583" t="str">
        <x:f>IF(D1583="NO",IF(C1583="SÍ","FERIADO","FIN DE SEMANA"),"LABORABLE")&amp;IF(F1583="SÍ"," + CIERRE","")</x:f>
        <x:v>LABORABLE</x:v>
      </x:c>
      <x:c r="I1583" t="str">
        <x:f>TEXT(G1583,"yyyy-mm")</x:f>
        <x:v>2029-05</x:v>
      </x:c>
    </x:row>
    <x:row r="1584" ht="19" customHeight="1">
      <x:c r="A1584" s="2" t="n">
        <x:v>47240</x:v>
      </x:c>
      <x:c r="B1584" t="str">
        <x:f>CHOOSE(WEEKDAY(A1584,2),"Lunes","Martes","Miércoles","Jueves","Viernes","Sábado","Domingo")</x:f>
        <x:v>Miércoles</x:v>
      </x:c>
      <x:c r="C1584" t="str">
        <x:f>IF(COUNTIF(FERIADOS!$A$2:$A$250,A1584)&gt;0,"SÍ","NO")</x:f>
        <x:v>NO</x:v>
      </x:c>
      <x:c r="D1584" t="str">
        <x:f>IF(AND(WEEKDAY(A1584,2)&lt;=5,C1584="NO"),"SÍ","NO")</x:f>
        <x:v>SÍ</x:v>
      </x:c>
      <x:c r="E1584" s="2" t="n">
        <x:f>WORKDAY.INTL(A1584-1,1,1,FERIADOS!$A$2:$A$250)</x:f>
        <x:v>47240</x:v>
      </x:c>
      <x:c r="F1584" t="str">
        <x:f>IF(E1584&gt;=WORKDAY.INTL(EOMONTH(E1584,0)+1,-2,1,FERIADOS!$A$2:$A$250),"SÍ","NO")</x:f>
        <x:v>NO</x:v>
      </x:c>
      <x:c r="G1584" s="10" t="n">
        <x:f>IF(F1584="SÍ",EOMONTH(E1584,0)+1,DATE(YEAR(E1584),MONTH(E1584),1))</x:f>
        <x:v>47239</x:v>
      </x:c>
      <x:c r="H1584" t="str">
        <x:f>IF(D1584="NO",IF(C1584="SÍ","FERIADO","FIN DE SEMANA"),"LABORABLE")&amp;IF(F1584="SÍ"," + CIERRE","")</x:f>
        <x:v>LABORABLE</x:v>
      </x:c>
      <x:c r="I1584" t="str">
        <x:f>TEXT(G1584,"yyyy-mm")</x:f>
        <x:v>2029-05</x:v>
      </x:c>
    </x:row>
    <x:row r="1585" ht="19" customHeight="1">
      <x:c r="A1585" s="2" t="n">
        <x:v>47241</x:v>
      </x:c>
      <x:c r="B1585" t="str">
        <x:f>CHOOSE(WEEKDAY(A1585,2),"Lunes","Martes","Miércoles","Jueves","Viernes","Sábado","Domingo")</x:f>
        <x:v>Jueves</x:v>
      </x:c>
      <x:c r="C1585" t="str">
        <x:f>IF(COUNTIF(FERIADOS!$A$2:$A$250,A1585)&gt;0,"SÍ","NO")</x:f>
        <x:v>NO</x:v>
      </x:c>
      <x:c r="D1585" t="str">
        <x:f>IF(AND(WEEKDAY(A1585,2)&lt;=5,C1585="NO"),"SÍ","NO")</x:f>
        <x:v>SÍ</x:v>
      </x:c>
      <x:c r="E1585" s="2" t="n">
        <x:f>WORKDAY.INTL(A1585-1,1,1,FERIADOS!$A$2:$A$250)</x:f>
        <x:v>47241</x:v>
      </x:c>
      <x:c r="F1585" t="str">
        <x:f>IF(E1585&gt;=WORKDAY.INTL(EOMONTH(E1585,0)+1,-2,1,FERIADOS!$A$2:$A$250),"SÍ","NO")</x:f>
        <x:v>NO</x:v>
      </x:c>
      <x:c r="G1585" s="10" t="n">
        <x:f>IF(F1585="SÍ",EOMONTH(E1585,0)+1,DATE(YEAR(E1585),MONTH(E1585),1))</x:f>
        <x:v>47239</x:v>
      </x:c>
      <x:c r="H1585" t="str">
        <x:f>IF(D1585="NO",IF(C1585="SÍ","FERIADO","FIN DE SEMANA"),"LABORABLE")&amp;IF(F1585="SÍ"," + CIERRE","")</x:f>
        <x:v>LABORABLE</x:v>
      </x:c>
      <x:c r="I1585" t="str">
        <x:f>TEXT(G1585,"yyyy-mm")</x:f>
        <x:v>2029-05</x:v>
      </x:c>
    </x:row>
    <x:row r="1586" ht="19" customHeight="1">
      <x:c r="A1586" s="2" t="n">
        <x:v>47242</x:v>
      </x:c>
      <x:c r="B1586" t="str">
        <x:f>CHOOSE(WEEKDAY(A1586,2),"Lunes","Martes","Miércoles","Jueves","Viernes","Sábado","Domingo")</x:f>
        <x:v>Viernes</x:v>
      </x:c>
      <x:c r="C1586" t="str">
        <x:f>IF(COUNTIF(FERIADOS!$A$2:$A$250,A1586)&gt;0,"SÍ","NO")</x:f>
        <x:v>NO</x:v>
      </x:c>
      <x:c r="D1586" t="str">
        <x:f>IF(AND(WEEKDAY(A1586,2)&lt;=5,C1586="NO"),"SÍ","NO")</x:f>
        <x:v>SÍ</x:v>
      </x:c>
      <x:c r="E1586" s="2" t="n">
        <x:f>WORKDAY.INTL(A1586-1,1,1,FERIADOS!$A$2:$A$250)</x:f>
        <x:v>47242</x:v>
      </x:c>
      <x:c r="F1586" t="str">
        <x:f>IF(E1586&gt;=WORKDAY.INTL(EOMONTH(E1586,0)+1,-2,1,FERIADOS!$A$2:$A$250),"SÍ","NO")</x:f>
        <x:v>NO</x:v>
      </x:c>
      <x:c r="G1586" s="10" t="n">
        <x:f>IF(F1586="SÍ",EOMONTH(E1586,0)+1,DATE(YEAR(E1586),MONTH(E1586),1))</x:f>
        <x:v>47239</x:v>
      </x:c>
      <x:c r="H1586" t="str">
        <x:f>IF(D1586="NO",IF(C1586="SÍ","FERIADO","FIN DE SEMANA"),"LABORABLE")&amp;IF(F1586="SÍ"," + CIERRE","")</x:f>
        <x:v>LABORABLE</x:v>
      </x:c>
      <x:c r="I1586" t="str">
        <x:f>TEXT(G1586,"yyyy-mm")</x:f>
        <x:v>2029-05</x:v>
      </x:c>
    </x:row>
    <x:row r="1587" ht="19" customHeight="1">
      <x:c r="A1587" s="2" t="n">
        <x:v>47243</x:v>
      </x:c>
      <x:c r="B1587" t="str">
        <x:f>CHOOSE(WEEKDAY(A1587,2),"Lunes","Martes","Miércoles","Jueves","Viernes","Sábado","Domingo")</x:f>
        <x:v>Sábado</x:v>
      </x:c>
      <x:c r="C1587" t="str">
        <x:f>IF(COUNTIF(FERIADOS!$A$2:$A$250,A1587)&gt;0,"SÍ","NO")</x:f>
        <x:v>NO</x:v>
      </x:c>
      <x:c r="D1587" t="str">
        <x:f>IF(AND(WEEKDAY(A1587,2)&lt;=5,C1587="NO"),"SÍ","NO")</x:f>
        <x:v>NO</x:v>
      </x:c>
      <x:c r="E1587" s="2" t="n">
        <x:f>WORKDAY.INTL(A1587-1,1,1,FERIADOS!$A$2:$A$250)</x:f>
        <x:v>47245</x:v>
      </x:c>
      <x:c r="F1587" t="str">
        <x:f>IF(E1587&gt;=WORKDAY.INTL(EOMONTH(E1587,0)+1,-2,1,FERIADOS!$A$2:$A$250),"SÍ","NO")</x:f>
        <x:v>NO</x:v>
      </x:c>
      <x:c r="G1587" s="10" t="n">
        <x:f>IF(F1587="SÍ",EOMONTH(E1587,0)+1,DATE(YEAR(E1587),MONTH(E1587),1))</x:f>
        <x:v>47239</x:v>
      </x:c>
      <x:c r="H1587" t="str">
        <x:f>IF(D1587="NO",IF(C1587="SÍ","FERIADO","FIN DE SEMANA"),"LABORABLE")&amp;IF(F1587="SÍ"," + CIERRE","")</x:f>
        <x:v>FIN DE SEMANA</x:v>
      </x:c>
      <x:c r="I1587" t="str">
        <x:f>TEXT(G1587,"yyyy-mm")</x:f>
        <x:v>2029-05</x:v>
      </x:c>
    </x:row>
    <x:row r="1588" ht="19" customHeight="1">
      <x:c r="A1588" s="2" t="n">
        <x:v>47244</x:v>
      </x:c>
      <x:c r="B1588" t="str">
        <x:f>CHOOSE(WEEKDAY(A1588,2),"Lunes","Martes","Miércoles","Jueves","Viernes","Sábado","Domingo")</x:f>
        <x:v>Domingo</x:v>
      </x:c>
      <x:c r="C1588" t="str">
        <x:f>IF(COUNTIF(FERIADOS!$A$2:$A$250,A1588)&gt;0,"SÍ","NO")</x:f>
        <x:v>NO</x:v>
      </x:c>
      <x:c r="D1588" t="str">
        <x:f>IF(AND(WEEKDAY(A1588,2)&lt;=5,C1588="NO"),"SÍ","NO")</x:f>
        <x:v>NO</x:v>
      </x:c>
      <x:c r="E1588" s="2" t="n">
        <x:f>WORKDAY.INTL(A1588-1,1,1,FERIADOS!$A$2:$A$250)</x:f>
        <x:v>47245</x:v>
      </x:c>
      <x:c r="F1588" t="str">
        <x:f>IF(E1588&gt;=WORKDAY.INTL(EOMONTH(E1588,0)+1,-2,1,FERIADOS!$A$2:$A$250),"SÍ","NO")</x:f>
        <x:v>NO</x:v>
      </x:c>
      <x:c r="G1588" s="10" t="n">
        <x:f>IF(F1588="SÍ",EOMONTH(E1588,0)+1,DATE(YEAR(E1588),MONTH(E1588),1))</x:f>
        <x:v>47239</x:v>
      </x:c>
      <x:c r="H1588" t="str">
        <x:f>IF(D1588="NO",IF(C1588="SÍ","FERIADO","FIN DE SEMANA"),"LABORABLE")&amp;IF(F1588="SÍ"," + CIERRE","")</x:f>
        <x:v>FIN DE SEMANA</x:v>
      </x:c>
      <x:c r="I1588" t="str">
        <x:f>TEXT(G1588,"yyyy-mm")</x:f>
        <x:v>2029-05</x:v>
      </x:c>
    </x:row>
    <x:row r="1589" ht="19" customHeight="1">
      <x:c r="A1589" s="2" t="n">
        <x:v>47245</x:v>
      </x:c>
      <x:c r="B1589" t="str">
        <x:f>CHOOSE(WEEKDAY(A1589,2),"Lunes","Martes","Miércoles","Jueves","Viernes","Sábado","Domingo")</x:f>
        <x:v>Lunes</x:v>
      </x:c>
      <x:c r="C1589" t="str">
        <x:f>IF(COUNTIF(FERIADOS!$A$2:$A$250,A1589)&gt;0,"SÍ","NO")</x:f>
        <x:v>NO</x:v>
      </x:c>
      <x:c r="D1589" t="str">
        <x:f>IF(AND(WEEKDAY(A1589,2)&lt;=5,C1589="NO"),"SÍ","NO")</x:f>
        <x:v>SÍ</x:v>
      </x:c>
      <x:c r="E1589" s="2" t="n">
        <x:f>WORKDAY.INTL(A1589-1,1,1,FERIADOS!$A$2:$A$250)</x:f>
        <x:v>47245</x:v>
      </x:c>
      <x:c r="F1589" t="str">
        <x:f>IF(E1589&gt;=WORKDAY.INTL(EOMONTH(E1589,0)+1,-2,1,FERIADOS!$A$2:$A$250),"SÍ","NO")</x:f>
        <x:v>NO</x:v>
      </x:c>
      <x:c r="G1589" s="10" t="n">
        <x:f>IF(F1589="SÍ",EOMONTH(E1589,0)+1,DATE(YEAR(E1589),MONTH(E1589),1))</x:f>
        <x:v>47239</x:v>
      </x:c>
      <x:c r="H1589" t="str">
        <x:f>IF(D1589="NO",IF(C1589="SÍ","FERIADO","FIN DE SEMANA"),"LABORABLE")&amp;IF(F1589="SÍ"," + CIERRE","")</x:f>
        <x:v>LABORABLE</x:v>
      </x:c>
      <x:c r="I1589" t="str">
        <x:f>TEXT(G1589,"yyyy-mm")</x:f>
        <x:v>2029-05</x:v>
      </x:c>
    </x:row>
    <x:row r="1590" ht="19" customHeight="1">
      <x:c r="A1590" s="2" t="n">
        <x:v>47246</x:v>
      </x:c>
      <x:c r="B1590" t="str">
        <x:f>CHOOSE(WEEKDAY(A1590,2),"Lunes","Martes","Miércoles","Jueves","Viernes","Sábado","Domingo")</x:f>
        <x:v>Martes</x:v>
      </x:c>
      <x:c r="C1590" t="str">
        <x:f>IF(COUNTIF(FERIADOS!$A$2:$A$250,A1590)&gt;0,"SÍ","NO")</x:f>
        <x:v>NO</x:v>
      </x:c>
      <x:c r="D1590" t="str">
        <x:f>IF(AND(WEEKDAY(A1590,2)&lt;=5,C1590="NO"),"SÍ","NO")</x:f>
        <x:v>SÍ</x:v>
      </x:c>
      <x:c r="E1590" s="2" t="n">
        <x:f>WORKDAY.INTL(A1590-1,1,1,FERIADOS!$A$2:$A$250)</x:f>
        <x:v>47246</x:v>
      </x:c>
      <x:c r="F1590" t="str">
        <x:f>IF(E1590&gt;=WORKDAY.INTL(EOMONTH(E1590,0)+1,-2,1,FERIADOS!$A$2:$A$250),"SÍ","NO")</x:f>
        <x:v>NO</x:v>
      </x:c>
      <x:c r="G1590" s="10" t="n">
        <x:f>IF(F1590="SÍ",EOMONTH(E1590,0)+1,DATE(YEAR(E1590),MONTH(E1590),1))</x:f>
        <x:v>47239</x:v>
      </x:c>
      <x:c r="H1590" t="str">
        <x:f>IF(D1590="NO",IF(C1590="SÍ","FERIADO","FIN DE SEMANA"),"LABORABLE")&amp;IF(F1590="SÍ"," + CIERRE","")</x:f>
        <x:v>LABORABLE</x:v>
      </x:c>
      <x:c r="I1590" t="str">
        <x:f>TEXT(G1590,"yyyy-mm")</x:f>
        <x:v>2029-05</x:v>
      </x:c>
    </x:row>
    <x:row r="1591" ht="19" customHeight="1">
      <x:c r="A1591" s="2" t="n">
        <x:v>47247</x:v>
      </x:c>
      <x:c r="B1591" t="str">
        <x:f>CHOOSE(WEEKDAY(A1591,2),"Lunes","Martes","Miércoles","Jueves","Viernes","Sábado","Domingo")</x:f>
        <x:v>Miércoles</x:v>
      </x:c>
      <x:c r="C1591" t="str">
        <x:f>IF(COUNTIF(FERIADOS!$A$2:$A$250,A1591)&gt;0,"SÍ","NO")</x:f>
        <x:v>NO</x:v>
      </x:c>
      <x:c r="D1591" t="str">
        <x:f>IF(AND(WEEKDAY(A1591,2)&lt;=5,C1591="NO"),"SÍ","NO")</x:f>
        <x:v>SÍ</x:v>
      </x:c>
      <x:c r="E1591" s="2" t="n">
        <x:f>WORKDAY.INTL(A1591-1,1,1,FERIADOS!$A$2:$A$250)</x:f>
        <x:v>47247</x:v>
      </x:c>
      <x:c r="F1591" t="str">
        <x:f>IF(E1591&gt;=WORKDAY.INTL(EOMONTH(E1591,0)+1,-2,1,FERIADOS!$A$2:$A$250),"SÍ","NO")</x:f>
        <x:v>NO</x:v>
      </x:c>
      <x:c r="G1591" s="10" t="n">
        <x:f>IF(F1591="SÍ",EOMONTH(E1591,0)+1,DATE(YEAR(E1591),MONTH(E1591),1))</x:f>
        <x:v>47239</x:v>
      </x:c>
      <x:c r="H1591" t="str">
        <x:f>IF(D1591="NO",IF(C1591="SÍ","FERIADO","FIN DE SEMANA"),"LABORABLE")&amp;IF(F1591="SÍ"," + CIERRE","")</x:f>
        <x:v>LABORABLE</x:v>
      </x:c>
      <x:c r="I1591" t="str">
        <x:f>TEXT(G1591,"yyyy-mm")</x:f>
        <x:v>2029-05</x:v>
      </x:c>
    </x:row>
    <x:row r="1592" ht="19" customHeight="1">
      <x:c r="A1592" s="2" t="n">
        <x:v>47248</x:v>
      </x:c>
      <x:c r="B1592" t="str">
        <x:f>CHOOSE(WEEKDAY(A1592,2),"Lunes","Martes","Miércoles","Jueves","Viernes","Sábado","Domingo")</x:f>
        <x:v>Jueves</x:v>
      </x:c>
      <x:c r="C1592" t="str">
        <x:f>IF(COUNTIF(FERIADOS!$A$2:$A$250,A1592)&gt;0,"SÍ","NO")</x:f>
        <x:v>NO</x:v>
      </x:c>
      <x:c r="D1592" t="str">
        <x:f>IF(AND(WEEKDAY(A1592,2)&lt;=5,C1592="NO"),"SÍ","NO")</x:f>
        <x:v>SÍ</x:v>
      </x:c>
      <x:c r="E1592" s="2" t="n">
        <x:f>WORKDAY.INTL(A1592-1,1,1,FERIADOS!$A$2:$A$250)</x:f>
        <x:v>47248</x:v>
      </x:c>
      <x:c r="F1592" t="str">
        <x:f>IF(E1592&gt;=WORKDAY.INTL(EOMONTH(E1592,0)+1,-2,1,FERIADOS!$A$2:$A$250),"SÍ","NO")</x:f>
        <x:v>NO</x:v>
      </x:c>
      <x:c r="G1592" s="10" t="n">
        <x:f>IF(F1592="SÍ",EOMONTH(E1592,0)+1,DATE(YEAR(E1592),MONTH(E1592),1))</x:f>
        <x:v>47239</x:v>
      </x:c>
      <x:c r="H1592" t="str">
        <x:f>IF(D1592="NO",IF(C1592="SÍ","FERIADO","FIN DE SEMANA"),"LABORABLE")&amp;IF(F1592="SÍ"," + CIERRE","")</x:f>
        <x:v>LABORABLE</x:v>
      </x:c>
      <x:c r="I1592" t="str">
        <x:f>TEXT(G1592,"yyyy-mm")</x:f>
        <x:v>2029-05</x:v>
      </x:c>
    </x:row>
    <x:row r="1593" ht="19" customHeight="1">
      <x:c r="A1593" s="2" t="n">
        <x:v>47249</x:v>
      </x:c>
      <x:c r="B1593" t="str">
        <x:f>CHOOSE(WEEKDAY(A1593,2),"Lunes","Martes","Miércoles","Jueves","Viernes","Sábado","Domingo")</x:f>
        <x:v>Viernes</x:v>
      </x:c>
      <x:c r="C1593" t="str">
        <x:f>IF(COUNTIF(FERIADOS!$A$2:$A$250,A1593)&gt;0,"SÍ","NO")</x:f>
        <x:v>NO</x:v>
      </x:c>
      <x:c r="D1593" t="str">
        <x:f>IF(AND(WEEKDAY(A1593,2)&lt;=5,C1593="NO"),"SÍ","NO")</x:f>
        <x:v>SÍ</x:v>
      </x:c>
      <x:c r="E1593" s="2" t="n">
        <x:f>WORKDAY.INTL(A1593-1,1,1,FERIADOS!$A$2:$A$250)</x:f>
        <x:v>47249</x:v>
      </x:c>
      <x:c r="F1593" t="str">
        <x:f>IF(E1593&gt;=WORKDAY.INTL(EOMONTH(E1593,0)+1,-2,1,FERIADOS!$A$2:$A$250),"SÍ","NO")</x:f>
        <x:v>NO</x:v>
      </x:c>
      <x:c r="G1593" s="10" t="n">
        <x:f>IF(F1593="SÍ",EOMONTH(E1593,0)+1,DATE(YEAR(E1593),MONTH(E1593),1))</x:f>
        <x:v>47239</x:v>
      </x:c>
      <x:c r="H1593" t="str">
        <x:f>IF(D1593="NO",IF(C1593="SÍ","FERIADO","FIN DE SEMANA"),"LABORABLE")&amp;IF(F1593="SÍ"," + CIERRE","")</x:f>
        <x:v>LABORABLE</x:v>
      </x:c>
      <x:c r="I1593" t="str">
        <x:f>TEXT(G1593,"yyyy-mm")</x:f>
        <x:v>2029-05</x:v>
      </x:c>
    </x:row>
    <x:row r="1594" ht="19" customHeight="1">
      <x:c r="A1594" s="2" t="n">
        <x:v>47250</x:v>
      </x:c>
      <x:c r="B1594" t="str">
        <x:f>CHOOSE(WEEKDAY(A1594,2),"Lunes","Martes","Miércoles","Jueves","Viernes","Sábado","Domingo")</x:f>
        <x:v>Sábado</x:v>
      </x:c>
      <x:c r="C1594" t="str">
        <x:f>IF(COUNTIF(FERIADOS!$A$2:$A$250,A1594)&gt;0,"SÍ","NO")</x:f>
        <x:v>NO</x:v>
      </x:c>
      <x:c r="D1594" t="str">
        <x:f>IF(AND(WEEKDAY(A1594,2)&lt;=5,C1594="NO"),"SÍ","NO")</x:f>
        <x:v>NO</x:v>
      </x:c>
      <x:c r="E1594" s="2" t="n">
        <x:f>WORKDAY.INTL(A1594-1,1,1,FERIADOS!$A$2:$A$250)</x:f>
        <x:v>47252</x:v>
      </x:c>
      <x:c r="F1594" t="str">
        <x:f>IF(E1594&gt;=WORKDAY.INTL(EOMONTH(E1594,0)+1,-2,1,FERIADOS!$A$2:$A$250),"SÍ","NO")</x:f>
        <x:v>NO</x:v>
      </x:c>
      <x:c r="G1594" s="10" t="n">
        <x:f>IF(F1594="SÍ",EOMONTH(E1594,0)+1,DATE(YEAR(E1594),MONTH(E1594),1))</x:f>
        <x:v>47239</x:v>
      </x:c>
      <x:c r="H1594" t="str">
        <x:f>IF(D1594="NO",IF(C1594="SÍ","FERIADO","FIN DE SEMANA"),"LABORABLE")&amp;IF(F1594="SÍ"," + CIERRE","")</x:f>
        <x:v>FIN DE SEMANA</x:v>
      </x:c>
      <x:c r="I1594" t="str">
        <x:f>TEXT(G1594,"yyyy-mm")</x:f>
        <x:v>2029-05</x:v>
      </x:c>
    </x:row>
    <x:row r="1595" ht="19" customHeight="1">
      <x:c r="A1595" s="2" t="n">
        <x:v>47251</x:v>
      </x:c>
      <x:c r="B1595" t="str">
        <x:f>CHOOSE(WEEKDAY(A1595,2),"Lunes","Martes","Miércoles","Jueves","Viernes","Sábado","Domingo")</x:f>
        <x:v>Domingo</x:v>
      </x:c>
      <x:c r="C1595" t="str">
        <x:f>IF(COUNTIF(FERIADOS!$A$2:$A$250,A1595)&gt;0,"SÍ","NO")</x:f>
        <x:v>NO</x:v>
      </x:c>
      <x:c r="D1595" t="str">
        <x:f>IF(AND(WEEKDAY(A1595,2)&lt;=5,C1595="NO"),"SÍ","NO")</x:f>
        <x:v>NO</x:v>
      </x:c>
      <x:c r="E1595" s="2" t="n">
        <x:f>WORKDAY.INTL(A1595-1,1,1,FERIADOS!$A$2:$A$250)</x:f>
        <x:v>47252</x:v>
      </x:c>
      <x:c r="F1595" t="str">
        <x:f>IF(E1595&gt;=WORKDAY.INTL(EOMONTH(E1595,0)+1,-2,1,FERIADOS!$A$2:$A$250),"SÍ","NO")</x:f>
        <x:v>NO</x:v>
      </x:c>
      <x:c r="G1595" s="10" t="n">
        <x:f>IF(F1595="SÍ",EOMONTH(E1595,0)+1,DATE(YEAR(E1595),MONTH(E1595),1))</x:f>
        <x:v>47239</x:v>
      </x:c>
      <x:c r="H1595" t="str">
        <x:f>IF(D1595="NO",IF(C1595="SÍ","FERIADO","FIN DE SEMANA"),"LABORABLE")&amp;IF(F1595="SÍ"," + CIERRE","")</x:f>
        <x:v>FIN DE SEMANA</x:v>
      </x:c>
      <x:c r="I1595" t="str">
        <x:f>TEXT(G1595,"yyyy-mm")</x:f>
        <x:v>2029-05</x:v>
      </x:c>
    </x:row>
    <x:row r="1596" ht="19" customHeight="1">
      <x:c r="A1596" s="2" t="n">
        <x:v>47252</x:v>
      </x:c>
      <x:c r="B1596" t="str">
        <x:f>CHOOSE(WEEKDAY(A1596,2),"Lunes","Martes","Miércoles","Jueves","Viernes","Sábado","Domingo")</x:f>
        <x:v>Lunes</x:v>
      </x:c>
      <x:c r="C1596" t="str">
        <x:f>IF(COUNTIF(FERIADOS!$A$2:$A$250,A1596)&gt;0,"SÍ","NO")</x:f>
        <x:v>NO</x:v>
      </x:c>
      <x:c r="D1596" t="str">
        <x:f>IF(AND(WEEKDAY(A1596,2)&lt;=5,C1596="NO"),"SÍ","NO")</x:f>
        <x:v>SÍ</x:v>
      </x:c>
      <x:c r="E1596" s="2" t="n">
        <x:f>WORKDAY.INTL(A1596-1,1,1,FERIADOS!$A$2:$A$250)</x:f>
        <x:v>47252</x:v>
      </x:c>
      <x:c r="F1596" t="str">
        <x:f>IF(E1596&gt;=WORKDAY.INTL(EOMONTH(E1596,0)+1,-2,1,FERIADOS!$A$2:$A$250),"SÍ","NO")</x:f>
        <x:v>NO</x:v>
      </x:c>
      <x:c r="G1596" s="10" t="n">
        <x:f>IF(F1596="SÍ",EOMONTH(E1596,0)+1,DATE(YEAR(E1596),MONTH(E1596),1))</x:f>
        <x:v>47239</x:v>
      </x:c>
      <x:c r="H1596" t="str">
        <x:f>IF(D1596="NO",IF(C1596="SÍ","FERIADO","FIN DE SEMANA"),"LABORABLE")&amp;IF(F1596="SÍ"," + CIERRE","")</x:f>
        <x:v>LABORABLE</x:v>
      </x:c>
      <x:c r="I1596" t="str">
        <x:f>TEXT(G1596,"yyyy-mm")</x:f>
        <x:v>2029-05</x:v>
      </x:c>
    </x:row>
    <x:row r="1597" ht="19" customHeight="1">
      <x:c r="A1597" s="2" t="n">
        <x:v>47253</x:v>
      </x:c>
      <x:c r="B1597" t="str">
        <x:f>CHOOSE(WEEKDAY(A1597,2),"Lunes","Martes","Miércoles","Jueves","Viernes","Sábado","Domingo")</x:f>
        <x:v>Martes</x:v>
      </x:c>
      <x:c r="C1597" t="str">
        <x:f>IF(COUNTIF(FERIADOS!$A$2:$A$250,A1597)&gt;0,"SÍ","NO")</x:f>
        <x:v>NO</x:v>
      </x:c>
      <x:c r="D1597" t="str">
        <x:f>IF(AND(WEEKDAY(A1597,2)&lt;=5,C1597="NO"),"SÍ","NO")</x:f>
        <x:v>SÍ</x:v>
      </x:c>
      <x:c r="E1597" s="2" t="n">
        <x:f>WORKDAY.INTL(A1597-1,1,1,FERIADOS!$A$2:$A$250)</x:f>
        <x:v>47253</x:v>
      </x:c>
      <x:c r="F1597" t="str">
        <x:f>IF(E1597&gt;=WORKDAY.INTL(EOMONTH(E1597,0)+1,-2,1,FERIADOS!$A$2:$A$250),"SÍ","NO")</x:f>
        <x:v>NO</x:v>
      </x:c>
      <x:c r="G1597" s="10" t="n">
        <x:f>IF(F1597="SÍ",EOMONTH(E1597,0)+1,DATE(YEAR(E1597),MONTH(E1597),1))</x:f>
        <x:v>47239</x:v>
      </x:c>
      <x:c r="H1597" t="str">
        <x:f>IF(D1597="NO",IF(C1597="SÍ","FERIADO","FIN DE SEMANA"),"LABORABLE")&amp;IF(F1597="SÍ"," + CIERRE","")</x:f>
        <x:v>LABORABLE</x:v>
      </x:c>
      <x:c r="I1597" t="str">
        <x:f>TEXT(G1597,"yyyy-mm")</x:f>
        <x:v>2029-05</x:v>
      </x:c>
    </x:row>
    <x:row r="1598" ht="19" customHeight="1">
      <x:c r="A1598" s="2" t="n">
        <x:v>47254</x:v>
      </x:c>
      <x:c r="B1598" t="str">
        <x:f>CHOOSE(WEEKDAY(A1598,2),"Lunes","Martes","Miércoles","Jueves","Viernes","Sábado","Domingo")</x:f>
        <x:v>Miércoles</x:v>
      </x:c>
      <x:c r="C1598" t="str">
        <x:f>IF(COUNTIF(FERIADOS!$A$2:$A$250,A1598)&gt;0,"SÍ","NO")</x:f>
        <x:v>NO</x:v>
      </x:c>
      <x:c r="D1598" t="str">
        <x:f>IF(AND(WEEKDAY(A1598,2)&lt;=5,C1598="NO"),"SÍ","NO")</x:f>
        <x:v>SÍ</x:v>
      </x:c>
      <x:c r="E1598" s="2" t="n">
        <x:f>WORKDAY.INTL(A1598-1,1,1,FERIADOS!$A$2:$A$250)</x:f>
        <x:v>47254</x:v>
      </x:c>
      <x:c r="F1598" t="str">
        <x:f>IF(E1598&gt;=WORKDAY.INTL(EOMONTH(E1598,0)+1,-2,1,FERIADOS!$A$2:$A$250),"SÍ","NO")</x:f>
        <x:v>NO</x:v>
      </x:c>
      <x:c r="G1598" s="10" t="n">
        <x:f>IF(F1598="SÍ",EOMONTH(E1598,0)+1,DATE(YEAR(E1598),MONTH(E1598),1))</x:f>
        <x:v>47239</x:v>
      </x:c>
      <x:c r="H1598" t="str">
        <x:f>IF(D1598="NO",IF(C1598="SÍ","FERIADO","FIN DE SEMANA"),"LABORABLE")&amp;IF(F1598="SÍ"," + CIERRE","")</x:f>
        <x:v>LABORABLE</x:v>
      </x:c>
      <x:c r="I1598" t="str">
        <x:f>TEXT(G1598,"yyyy-mm")</x:f>
        <x:v>2029-05</x:v>
      </x:c>
    </x:row>
    <x:row r="1599" ht="19" customHeight="1">
      <x:c r="A1599" s="2" t="n">
        <x:v>47255</x:v>
      </x:c>
      <x:c r="B1599" t="str">
        <x:f>CHOOSE(WEEKDAY(A1599,2),"Lunes","Martes","Miércoles","Jueves","Viernes","Sábado","Domingo")</x:f>
        <x:v>Jueves</x:v>
      </x:c>
      <x:c r="C1599" t="str">
        <x:f>IF(COUNTIF(FERIADOS!$A$2:$A$250,A1599)&gt;0,"SÍ","NO")</x:f>
        <x:v>NO</x:v>
      </x:c>
      <x:c r="D1599" t="str">
        <x:f>IF(AND(WEEKDAY(A1599,2)&lt;=5,C1599="NO"),"SÍ","NO")</x:f>
        <x:v>SÍ</x:v>
      </x:c>
      <x:c r="E1599" s="2" t="n">
        <x:f>WORKDAY.INTL(A1599-1,1,1,FERIADOS!$A$2:$A$250)</x:f>
        <x:v>47255</x:v>
      </x:c>
      <x:c r="F1599" t="str">
        <x:f>IF(E1599&gt;=WORKDAY.INTL(EOMONTH(E1599,0)+1,-2,1,FERIADOS!$A$2:$A$250),"SÍ","NO")</x:f>
        <x:v>NO</x:v>
      </x:c>
      <x:c r="G1599" s="10" t="n">
        <x:f>IF(F1599="SÍ",EOMONTH(E1599,0)+1,DATE(YEAR(E1599),MONTH(E1599),1))</x:f>
        <x:v>47239</x:v>
      </x:c>
      <x:c r="H1599" t="str">
        <x:f>IF(D1599="NO",IF(C1599="SÍ","FERIADO","FIN DE SEMANA"),"LABORABLE")&amp;IF(F1599="SÍ"," + CIERRE","")</x:f>
        <x:v>LABORABLE</x:v>
      </x:c>
      <x:c r="I1599" t="str">
        <x:f>TEXT(G1599,"yyyy-mm")</x:f>
        <x:v>2029-05</x:v>
      </x:c>
    </x:row>
    <x:row r="1600" ht="19" customHeight="1">
      <x:c r="A1600" s="2" t="n">
        <x:v>47256</x:v>
      </x:c>
      <x:c r="B1600" t="str">
        <x:f>CHOOSE(WEEKDAY(A1600,2),"Lunes","Martes","Miércoles","Jueves","Viernes","Sábado","Domingo")</x:f>
        <x:v>Viernes</x:v>
      </x:c>
      <x:c r="C1600" t="str">
        <x:f>IF(COUNTIF(FERIADOS!$A$2:$A$250,A1600)&gt;0,"SÍ","NO")</x:f>
        <x:v>NO</x:v>
      </x:c>
      <x:c r="D1600" t="str">
        <x:f>IF(AND(WEEKDAY(A1600,2)&lt;=5,C1600="NO"),"SÍ","NO")</x:f>
        <x:v>SÍ</x:v>
      </x:c>
      <x:c r="E1600" s="2" t="n">
        <x:f>WORKDAY.INTL(A1600-1,1,1,FERIADOS!$A$2:$A$250)</x:f>
        <x:v>47256</x:v>
      </x:c>
      <x:c r="F1600" t="str">
        <x:f>IF(E1600&gt;=WORKDAY.INTL(EOMONTH(E1600,0)+1,-2,1,FERIADOS!$A$2:$A$250),"SÍ","NO")</x:f>
        <x:v>NO</x:v>
      </x:c>
      <x:c r="G1600" s="10" t="n">
        <x:f>IF(F1600="SÍ",EOMONTH(E1600,0)+1,DATE(YEAR(E1600),MONTH(E1600),1))</x:f>
        <x:v>47239</x:v>
      </x:c>
      <x:c r="H1600" t="str">
        <x:f>IF(D1600="NO",IF(C1600="SÍ","FERIADO","FIN DE SEMANA"),"LABORABLE")&amp;IF(F1600="SÍ"," + CIERRE","")</x:f>
        <x:v>LABORABLE</x:v>
      </x:c>
      <x:c r="I1600" t="str">
        <x:f>TEXT(G1600,"yyyy-mm")</x:f>
        <x:v>2029-05</x:v>
      </x:c>
    </x:row>
    <x:row r="1601" ht="19" customHeight="1">
      <x:c r="A1601" s="2" t="n">
        <x:v>47257</x:v>
      </x:c>
      <x:c r="B1601" t="str">
        <x:f>CHOOSE(WEEKDAY(A1601,2),"Lunes","Martes","Miércoles","Jueves","Viernes","Sábado","Domingo")</x:f>
        <x:v>Sábado</x:v>
      </x:c>
      <x:c r="C1601" t="str">
        <x:f>IF(COUNTIF(FERIADOS!$A$2:$A$250,A1601)&gt;0,"SÍ","NO")</x:f>
        <x:v>NO</x:v>
      </x:c>
      <x:c r="D1601" t="str">
        <x:f>IF(AND(WEEKDAY(A1601,2)&lt;=5,C1601="NO"),"SÍ","NO")</x:f>
        <x:v>NO</x:v>
      </x:c>
      <x:c r="E1601" s="2" t="n">
        <x:f>WORKDAY.INTL(A1601-1,1,1,FERIADOS!$A$2:$A$250)</x:f>
        <x:v>47259</x:v>
      </x:c>
      <x:c r="F1601" t="str">
        <x:f>IF(E1601&gt;=WORKDAY.INTL(EOMONTH(E1601,0)+1,-2,1,FERIADOS!$A$2:$A$250),"SÍ","NO")</x:f>
        <x:v>NO</x:v>
      </x:c>
      <x:c r="G1601" s="10" t="n">
        <x:f>IF(F1601="SÍ",EOMONTH(E1601,0)+1,DATE(YEAR(E1601),MONTH(E1601),1))</x:f>
        <x:v>47239</x:v>
      </x:c>
      <x:c r="H1601" t="str">
        <x:f>IF(D1601="NO",IF(C1601="SÍ","FERIADO","FIN DE SEMANA"),"LABORABLE")&amp;IF(F1601="SÍ"," + CIERRE","")</x:f>
        <x:v>FIN DE SEMANA</x:v>
      </x:c>
      <x:c r="I1601" t="str">
        <x:f>TEXT(G1601,"yyyy-mm")</x:f>
        <x:v>2029-05</x:v>
      </x:c>
    </x:row>
    <x:row r="1602" ht="19" customHeight="1">
      <x:c r="A1602" s="2" t="n">
        <x:v>47258</x:v>
      </x:c>
      <x:c r="B1602" t="str">
        <x:f>CHOOSE(WEEKDAY(A1602,2),"Lunes","Martes","Miércoles","Jueves","Viernes","Sábado","Domingo")</x:f>
        <x:v>Domingo</x:v>
      </x:c>
      <x:c r="C1602" t="str">
        <x:f>IF(COUNTIF(FERIADOS!$A$2:$A$250,A1602)&gt;0,"SÍ","NO")</x:f>
        <x:v>NO</x:v>
      </x:c>
      <x:c r="D1602" t="str">
        <x:f>IF(AND(WEEKDAY(A1602,2)&lt;=5,C1602="NO"),"SÍ","NO")</x:f>
        <x:v>NO</x:v>
      </x:c>
      <x:c r="E1602" s="2" t="n">
        <x:f>WORKDAY.INTL(A1602-1,1,1,FERIADOS!$A$2:$A$250)</x:f>
        <x:v>47259</x:v>
      </x:c>
      <x:c r="F1602" t="str">
        <x:f>IF(E1602&gt;=WORKDAY.INTL(EOMONTH(E1602,0)+1,-2,1,FERIADOS!$A$2:$A$250),"SÍ","NO")</x:f>
        <x:v>NO</x:v>
      </x:c>
      <x:c r="G1602" s="10" t="n">
        <x:f>IF(F1602="SÍ",EOMONTH(E1602,0)+1,DATE(YEAR(E1602),MONTH(E1602),1))</x:f>
        <x:v>47239</x:v>
      </x:c>
      <x:c r="H1602" t="str">
        <x:f>IF(D1602="NO",IF(C1602="SÍ","FERIADO","FIN DE SEMANA"),"LABORABLE")&amp;IF(F1602="SÍ"," + CIERRE","")</x:f>
        <x:v>FIN DE SEMANA</x:v>
      </x:c>
      <x:c r="I1602" t="str">
        <x:f>TEXT(G1602,"yyyy-mm")</x:f>
        <x:v>2029-05</x:v>
      </x:c>
    </x:row>
    <x:row r="1603" ht="19" customHeight="1">
      <x:c r="A1603" s="2" t="n">
        <x:v>47259</x:v>
      </x:c>
      <x:c r="B1603" t="str">
        <x:f>CHOOSE(WEEKDAY(A1603,2),"Lunes","Martes","Miércoles","Jueves","Viernes","Sábado","Domingo")</x:f>
        <x:v>Lunes</x:v>
      </x:c>
      <x:c r="C1603" t="str">
        <x:f>IF(COUNTIF(FERIADOS!$A$2:$A$250,A1603)&gt;0,"SÍ","NO")</x:f>
        <x:v>NO</x:v>
      </x:c>
      <x:c r="D1603" t="str">
        <x:f>IF(AND(WEEKDAY(A1603,2)&lt;=5,C1603="NO"),"SÍ","NO")</x:f>
        <x:v>SÍ</x:v>
      </x:c>
      <x:c r="E1603" s="2" t="n">
        <x:f>WORKDAY.INTL(A1603-1,1,1,FERIADOS!$A$2:$A$250)</x:f>
        <x:v>47259</x:v>
      </x:c>
      <x:c r="F1603" t="str">
        <x:f>IF(E1603&gt;=WORKDAY.INTL(EOMONTH(E1603,0)+1,-2,1,FERIADOS!$A$2:$A$250),"SÍ","NO")</x:f>
        <x:v>NO</x:v>
      </x:c>
      <x:c r="G1603" s="10" t="n">
        <x:f>IF(F1603="SÍ",EOMONTH(E1603,0)+1,DATE(YEAR(E1603),MONTH(E1603),1))</x:f>
        <x:v>47239</x:v>
      </x:c>
      <x:c r="H1603" t="str">
        <x:f>IF(D1603="NO",IF(C1603="SÍ","FERIADO","FIN DE SEMANA"),"LABORABLE")&amp;IF(F1603="SÍ"," + CIERRE","")</x:f>
        <x:v>LABORABLE</x:v>
      </x:c>
      <x:c r="I1603" t="str">
        <x:f>TEXT(G1603,"yyyy-mm")</x:f>
        <x:v>2029-05</x:v>
      </x:c>
    </x:row>
    <x:row r="1604" ht="19" customHeight="1">
      <x:c r="A1604" s="2" t="n">
        <x:v>47260</x:v>
      </x:c>
      <x:c r="B1604" t="str">
        <x:f>CHOOSE(WEEKDAY(A1604,2),"Lunes","Martes","Miércoles","Jueves","Viernes","Sábado","Domingo")</x:f>
        <x:v>Martes</x:v>
      </x:c>
      <x:c r="C1604" t="str">
        <x:f>IF(COUNTIF(FERIADOS!$A$2:$A$250,A1604)&gt;0,"SÍ","NO")</x:f>
        <x:v>NO</x:v>
      </x:c>
      <x:c r="D1604" t="str">
        <x:f>IF(AND(WEEKDAY(A1604,2)&lt;=5,C1604="NO"),"SÍ","NO")</x:f>
        <x:v>SÍ</x:v>
      </x:c>
      <x:c r="E1604" s="2" t="n">
        <x:f>WORKDAY.INTL(A1604-1,1,1,FERIADOS!$A$2:$A$250)</x:f>
        <x:v>47260</x:v>
      </x:c>
      <x:c r="F1604" t="str">
        <x:f>IF(E1604&gt;=WORKDAY.INTL(EOMONTH(E1604,0)+1,-2,1,FERIADOS!$A$2:$A$250),"SÍ","NO")</x:f>
        <x:v>NO</x:v>
      </x:c>
      <x:c r="G1604" s="10" t="n">
        <x:f>IF(F1604="SÍ",EOMONTH(E1604,0)+1,DATE(YEAR(E1604),MONTH(E1604),1))</x:f>
        <x:v>47239</x:v>
      </x:c>
      <x:c r="H1604" t="str">
        <x:f>IF(D1604="NO",IF(C1604="SÍ","FERIADO","FIN DE SEMANA"),"LABORABLE")&amp;IF(F1604="SÍ"," + CIERRE","")</x:f>
        <x:v>LABORABLE</x:v>
      </x:c>
      <x:c r="I1604" t="str">
        <x:f>TEXT(G1604,"yyyy-mm")</x:f>
        <x:v>2029-05</x:v>
      </x:c>
    </x:row>
    <x:row r="1605" ht="19" customHeight="1">
      <x:c r="A1605" s="2" t="n">
        <x:v>47261</x:v>
      </x:c>
      <x:c r="B1605" t="str">
        <x:f>CHOOSE(WEEKDAY(A1605,2),"Lunes","Martes","Miércoles","Jueves","Viernes","Sábado","Domingo")</x:f>
        <x:v>Miércoles</x:v>
      </x:c>
      <x:c r="C1605" t="str">
        <x:f>IF(COUNTIF(FERIADOS!$A$2:$A$250,A1605)&gt;0,"SÍ","NO")</x:f>
        <x:v>NO</x:v>
      </x:c>
      <x:c r="D1605" t="str">
        <x:f>IF(AND(WEEKDAY(A1605,2)&lt;=5,C1605="NO"),"SÍ","NO")</x:f>
        <x:v>SÍ</x:v>
      </x:c>
      <x:c r="E1605" s="2" t="n">
        <x:f>WORKDAY.INTL(A1605-1,1,1,FERIADOS!$A$2:$A$250)</x:f>
        <x:v>47261</x:v>
      </x:c>
      <x:c r="F1605" t="str">
        <x:f>IF(E1605&gt;=WORKDAY.INTL(EOMONTH(E1605,0)+1,-2,1,FERIADOS!$A$2:$A$250),"SÍ","NO")</x:f>
        <x:v>NO</x:v>
      </x:c>
      <x:c r="G1605" s="10" t="n">
        <x:f>IF(F1605="SÍ",EOMONTH(E1605,0)+1,DATE(YEAR(E1605),MONTH(E1605),1))</x:f>
        <x:v>47239</x:v>
      </x:c>
      <x:c r="H1605" t="str">
        <x:f>IF(D1605="NO",IF(C1605="SÍ","FERIADO","FIN DE SEMANA"),"LABORABLE")&amp;IF(F1605="SÍ"," + CIERRE","")</x:f>
        <x:v>LABORABLE</x:v>
      </x:c>
      <x:c r="I1605" t="str">
        <x:f>TEXT(G1605,"yyyy-mm")</x:f>
        <x:v>2029-05</x:v>
      </x:c>
    </x:row>
    <x:row r="1606" ht="19" customHeight="1">
      <x:c r="A1606" s="2" t="n">
        <x:v>47262</x:v>
      </x:c>
      <x:c r="B1606" t="str">
        <x:f>CHOOSE(WEEKDAY(A1606,2),"Lunes","Martes","Miércoles","Jueves","Viernes","Sábado","Domingo")</x:f>
        <x:v>Jueves</x:v>
      </x:c>
      <x:c r="C1606" t="str">
        <x:f>IF(COUNTIF(FERIADOS!$A$2:$A$250,A1606)&gt;0,"SÍ","NO")</x:f>
        <x:v>NO</x:v>
      </x:c>
      <x:c r="D1606" t="str">
        <x:f>IF(AND(WEEKDAY(A1606,2)&lt;=5,C1606="NO"),"SÍ","NO")</x:f>
        <x:v>SÍ</x:v>
      </x:c>
      <x:c r="E1606" s="2" t="n">
        <x:f>WORKDAY.INTL(A1606-1,1,1,FERIADOS!$A$2:$A$250)</x:f>
        <x:v>47262</x:v>
      </x:c>
      <x:c r="F1606" t="str">
        <x:f>IF(E1606&gt;=WORKDAY.INTL(EOMONTH(E1606,0)+1,-2,1,FERIADOS!$A$2:$A$250),"SÍ","NO")</x:f>
        <x:v>NO</x:v>
      </x:c>
      <x:c r="G1606" s="10" t="n">
        <x:f>IF(F1606="SÍ",EOMONTH(E1606,0)+1,DATE(YEAR(E1606),MONTH(E1606),1))</x:f>
        <x:v>47239</x:v>
      </x:c>
      <x:c r="H1606" t="str">
        <x:f>IF(D1606="NO",IF(C1606="SÍ","FERIADO","FIN DE SEMANA"),"LABORABLE")&amp;IF(F1606="SÍ"," + CIERRE","")</x:f>
        <x:v>LABORABLE</x:v>
      </x:c>
      <x:c r="I1606" t="str">
        <x:f>TEXT(G1606,"yyyy-mm")</x:f>
        <x:v>2029-05</x:v>
      </x:c>
    </x:row>
    <x:row r="1607" ht="19" customHeight="1">
      <x:c r="A1607" s="2" t="n">
        <x:v>47263</x:v>
      </x:c>
      <x:c r="B1607" t="str">
        <x:f>CHOOSE(WEEKDAY(A1607,2),"Lunes","Martes","Miércoles","Jueves","Viernes","Sábado","Domingo")</x:f>
        <x:v>Viernes</x:v>
      </x:c>
      <x:c r="C1607" t="str">
        <x:f>IF(COUNTIF(FERIADOS!$A$2:$A$250,A1607)&gt;0,"SÍ","NO")</x:f>
        <x:v>SÍ</x:v>
      </x:c>
      <x:c r="D1607" t="str">
        <x:f>IF(AND(WEEKDAY(A1607,2)&lt;=5,C1607="NO"),"SÍ","NO")</x:f>
        <x:v>NO</x:v>
      </x:c>
      <x:c r="E1607" s="2" t="n">
        <x:f>WORKDAY.INTL(A1607-1,1,1,FERIADOS!$A$2:$A$250)</x:f>
        <x:v>47266</x:v>
      </x:c>
      <x:c r="F1607" t="str">
        <x:f>IF(E1607&gt;=WORKDAY.INTL(EOMONTH(E1607,0)+1,-2,1,FERIADOS!$A$2:$A$250),"SÍ","NO")</x:f>
        <x:v>NO</x:v>
      </x:c>
      <x:c r="G1607" s="10" t="n">
        <x:f>IF(F1607="SÍ",EOMONTH(E1607,0)+1,DATE(YEAR(E1607),MONTH(E1607),1))</x:f>
        <x:v>47239</x:v>
      </x:c>
      <x:c r="H1607" t="str">
        <x:f>IF(D1607="NO",IF(C1607="SÍ","FERIADO","FIN DE SEMANA"),"LABORABLE")&amp;IF(F1607="SÍ"," + CIERRE","")</x:f>
        <x:v>FERIADO</x:v>
      </x:c>
      <x:c r="I1607" t="str">
        <x:f>TEXT(G1607,"yyyy-mm")</x:f>
        <x:v>2029-05</x:v>
      </x:c>
    </x:row>
    <x:row r="1608" ht="19" customHeight="1">
      <x:c r="A1608" s="2" t="n">
        <x:v>47264</x:v>
      </x:c>
      <x:c r="B1608" t="str">
        <x:f>CHOOSE(WEEKDAY(A1608,2),"Lunes","Martes","Miércoles","Jueves","Viernes","Sábado","Domingo")</x:f>
        <x:v>Sábado</x:v>
      </x:c>
      <x:c r="C1608" t="str">
        <x:f>IF(COUNTIF(FERIADOS!$A$2:$A$250,A1608)&gt;0,"SÍ","NO")</x:f>
        <x:v>NO</x:v>
      </x:c>
      <x:c r="D1608" t="str">
        <x:f>IF(AND(WEEKDAY(A1608,2)&lt;=5,C1608="NO"),"SÍ","NO")</x:f>
        <x:v>NO</x:v>
      </x:c>
      <x:c r="E1608" s="2" t="n">
        <x:f>WORKDAY.INTL(A1608-1,1,1,FERIADOS!$A$2:$A$250)</x:f>
        <x:v>47266</x:v>
      </x:c>
      <x:c r="F1608" t="str">
        <x:f>IF(E1608&gt;=WORKDAY.INTL(EOMONTH(E1608,0)+1,-2,1,FERIADOS!$A$2:$A$250),"SÍ","NO")</x:f>
        <x:v>NO</x:v>
      </x:c>
      <x:c r="G1608" s="10" t="n">
        <x:f>IF(F1608="SÍ",EOMONTH(E1608,0)+1,DATE(YEAR(E1608),MONTH(E1608),1))</x:f>
        <x:v>47239</x:v>
      </x:c>
      <x:c r="H1608" t="str">
        <x:f>IF(D1608="NO",IF(C1608="SÍ","FERIADO","FIN DE SEMANA"),"LABORABLE")&amp;IF(F1608="SÍ"," + CIERRE","")</x:f>
        <x:v>FIN DE SEMANA</x:v>
      </x:c>
      <x:c r="I1608" t="str">
        <x:f>TEXT(G1608,"yyyy-mm")</x:f>
        <x:v>2029-05</x:v>
      </x:c>
    </x:row>
    <x:row r="1609" ht="19" customHeight="1">
      <x:c r="A1609" s="2" t="n">
        <x:v>47265</x:v>
      </x:c>
      <x:c r="B1609" t="str">
        <x:f>CHOOSE(WEEKDAY(A1609,2),"Lunes","Martes","Miércoles","Jueves","Viernes","Sábado","Domingo")</x:f>
        <x:v>Domingo</x:v>
      </x:c>
      <x:c r="C1609" t="str">
        <x:f>IF(COUNTIF(FERIADOS!$A$2:$A$250,A1609)&gt;0,"SÍ","NO")</x:f>
        <x:v>NO</x:v>
      </x:c>
      <x:c r="D1609" t="str">
        <x:f>IF(AND(WEEKDAY(A1609,2)&lt;=5,C1609="NO"),"SÍ","NO")</x:f>
        <x:v>NO</x:v>
      </x:c>
      <x:c r="E1609" s="2" t="n">
        <x:f>WORKDAY.INTL(A1609-1,1,1,FERIADOS!$A$2:$A$250)</x:f>
        <x:v>47266</x:v>
      </x:c>
      <x:c r="F1609" t="str">
        <x:f>IF(E1609&gt;=WORKDAY.INTL(EOMONTH(E1609,0)+1,-2,1,FERIADOS!$A$2:$A$250),"SÍ","NO")</x:f>
        <x:v>NO</x:v>
      </x:c>
      <x:c r="G1609" s="10" t="n">
        <x:f>IF(F1609="SÍ",EOMONTH(E1609,0)+1,DATE(YEAR(E1609),MONTH(E1609),1))</x:f>
        <x:v>47239</x:v>
      </x:c>
      <x:c r="H1609" t="str">
        <x:f>IF(D1609="NO",IF(C1609="SÍ","FERIADO","FIN DE SEMANA"),"LABORABLE")&amp;IF(F1609="SÍ"," + CIERRE","")</x:f>
        <x:v>FIN DE SEMANA</x:v>
      </x:c>
      <x:c r="I1609" t="str">
        <x:f>TEXT(G1609,"yyyy-mm")</x:f>
        <x:v>2029-05</x:v>
      </x:c>
    </x:row>
    <x:row r="1610" ht="19" customHeight="1">
      <x:c r="A1610" s="2" t="n">
        <x:v>47266</x:v>
      </x:c>
      <x:c r="B1610" t="str">
        <x:f>CHOOSE(WEEKDAY(A1610,2),"Lunes","Martes","Miércoles","Jueves","Viernes","Sábado","Domingo")</x:f>
        <x:v>Lunes</x:v>
      </x:c>
      <x:c r="C1610" t="str">
        <x:f>IF(COUNTIF(FERIADOS!$A$2:$A$250,A1610)&gt;0,"SÍ","NO")</x:f>
        <x:v>NO</x:v>
      </x:c>
      <x:c r="D1610" t="str">
        <x:f>IF(AND(WEEKDAY(A1610,2)&lt;=5,C1610="NO"),"SÍ","NO")</x:f>
        <x:v>SÍ</x:v>
      </x:c>
      <x:c r="E1610" s="2" t="n">
        <x:f>WORKDAY.INTL(A1610-1,1,1,FERIADOS!$A$2:$A$250)</x:f>
        <x:v>47266</x:v>
      </x:c>
      <x:c r="F1610" t="str">
        <x:f>IF(E1610&gt;=WORKDAY.INTL(EOMONTH(E1610,0)+1,-2,1,FERIADOS!$A$2:$A$250),"SÍ","NO")</x:f>
        <x:v>NO</x:v>
      </x:c>
      <x:c r="G1610" s="10" t="n">
        <x:f>IF(F1610="SÍ",EOMONTH(E1610,0)+1,DATE(YEAR(E1610),MONTH(E1610),1))</x:f>
        <x:v>47239</x:v>
      </x:c>
      <x:c r="H1610" t="str">
        <x:f>IF(D1610="NO",IF(C1610="SÍ","FERIADO","FIN DE SEMANA"),"LABORABLE")&amp;IF(F1610="SÍ"," + CIERRE","")</x:f>
        <x:v>LABORABLE</x:v>
      </x:c>
      <x:c r="I1610" t="str">
        <x:f>TEXT(G1610,"yyyy-mm")</x:f>
        <x:v>2029-05</x:v>
      </x:c>
    </x:row>
    <x:row r="1611" ht="19" customHeight="1">
      <x:c r="A1611" s="2" t="n">
        <x:v>47267</x:v>
      </x:c>
      <x:c r="B1611" t="str">
        <x:f>CHOOSE(WEEKDAY(A1611,2),"Lunes","Martes","Miércoles","Jueves","Viernes","Sábado","Domingo")</x:f>
        <x:v>Martes</x:v>
      </x:c>
      <x:c r="C1611" t="str">
        <x:f>IF(COUNTIF(FERIADOS!$A$2:$A$250,A1611)&gt;0,"SÍ","NO")</x:f>
        <x:v>NO</x:v>
      </x:c>
      <x:c r="D1611" t="str">
        <x:f>IF(AND(WEEKDAY(A1611,2)&lt;=5,C1611="NO"),"SÍ","NO")</x:f>
        <x:v>SÍ</x:v>
      </x:c>
      <x:c r="E1611" s="2" t="n">
        <x:f>WORKDAY.INTL(A1611-1,1,1,FERIADOS!$A$2:$A$250)</x:f>
        <x:v>47267</x:v>
      </x:c>
      <x:c r="F1611" t="str">
        <x:f>IF(E1611&gt;=WORKDAY.INTL(EOMONTH(E1611,0)+1,-2,1,FERIADOS!$A$2:$A$250),"SÍ","NO")</x:f>
        <x:v>NO</x:v>
      </x:c>
      <x:c r="G1611" s="10" t="n">
        <x:f>IF(F1611="SÍ",EOMONTH(E1611,0)+1,DATE(YEAR(E1611),MONTH(E1611),1))</x:f>
        <x:v>47239</x:v>
      </x:c>
      <x:c r="H1611" t="str">
        <x:f>IF(D1611="NO",IF(C1611="SÍ","FERIADO","FIN DE SEMANA"),"LABORABLE")&amp;IF(F1611="SÍ"," + CIERRE","")</x:f>
        <x:v>LABORABLE</x:v>
      </x:c>
      <x:c r="I1611" t="str">
        <x:f>TEXT(G1611,"yyyy-mm")</x:f>
        <x:v>2029-05</x:v>
      </x:c>
    </x:row>
    <x:row r="1612" ht="19" customHeight="1">
      <x:c r="A1612" s="2" t="n">
        <x:v>47268</x:v>
      </x:c>
      <x:c r="B1612" t="str">
        <x:f>CHOOSE(WEEKDAY(A1612,2),"Lunes","Martes","Miércoles","Jueves","Viernes","Sábado","Domingo")</x:f>
        <x:v>Miércoles</x:v>
      </x:c>
      <x:c r="C1612" t="str">
        <x:f>IF(COUNTIF(FERIADOS!$A$2:$A$250,A1612)&gt;0,"SÍ","NO")</x:f>
        <x:v>NO</x:v>
      </x:c>
      <x:c r="D1612" t="str">
        <x:f>IF(AND(WEEKDAY(A1612,2)&lt;=5,C1612="NO"),"SÍ","NO")</x:f>
        <x:v>SÍ</x:v>
      </x:c>
      <x:c r="E1612" s="2" t="n">
        <x:f>WORKDAY.INTL(A1612-1,1,1,FERIADOS!$A$2:$A$250)</x:f>
        <x:v>47268</x:v>
      </x:c>
      <x:c r="F1612" t="str">
        <x:f>IF(E1612&gt;=WORKDAY.INTL(EOMONTH(E1612,0)+1,-2,1,FERIADOS!$A$2:$A$250),"SÍ","NO")</x:f>
        <x:v>SÍ</x:v>
      </x:c>
      <x:c r="G1612" s="10" t="n">
        <x:f>IF(F1612="SÍ",EOMONTH(E1612,0)+1,DATE(YEAR(E1612),MONTH(E1612),1))</x:f>
        <x:v>47270</x:v>
      </x:c>
      <x:c r="H1612" t="str">
        <x:f>IF(D1612="NO",IF(C1612="SÍ","FERIADO","FIN DE SEMANA"),"LABORABLE")&amp;IF(F1612="SÍ"," + CIERRE","")</x:f>
        <x:v>LABORABLE + CIERRE</x:v>
      </x:c>
      <x:c r="I1612" t="str">
        <x:f>TEXT(G1612,"yyyy-mm")</x:f>
        <x:v>2029-06</x:v>
      </x:c>
    </x:row>
    <x:row r="1613" ht="19" customHeight="1">
      <x:c r="A1613" s="2" t="n">
        <x:v>47269</x:v>
      </x:c>
      <x:c r="B1613" t="str">
        <x:f>CHOOSE(WEEKDAY(A1613,2),"Lunes","Martes","Miércoles","Jueves","Viernes","Sábado","Domingo")</x:f>
        <x:v>Jueves</x:v>
      </x:c>
      <x:c r="C1613" t="str">
        <x:f>IF(COUNTIF(FERIADOS!$A$2:$A$250,A1613)&gt;0,"SÍ","NO")</x:f>
        <x:v>NO</x:v>
      </x:c>
      <x:c r="D1613" t="str">
        <x:f>IF(AND(WEEKDAY(A1613,2)&lt;=5,C1613="NO"),"SÍ","NO")</x:f>
        <x:v>SÍ</x:v>
      </x:c>
      <x:c r="E1613" s="2" t="n">
        <x:f>WORKDAY.INTL(A1613-1,1,1,FERIADOS!$A$2:$A$250)</x:f>
        <x:v>47269</x:v>
      </x:c>
      <x:c r="F1613" t="str">
        <x:f>IF(E1613&gt;=WORKDAY.INTL(EOMONTH(E1613,0)+1,-2,1,FERIADOS!$A$2:$A$250),"SÍ","NO")</x:f>
        <x:v>SÍ</x:v>
      </x:c>
      <x:c r="G1613" s="10" t="n">
        <x:f>IF(F1613="SÍ",EOMONTH(E1613,0)+1,DATE(YEAR(E1613),MONTH(E1613),1))</x:f>
        <x:v>47270</x:v>
      </x:c>
      <x:c r="H1613" t="str">
        <x:f>IF(D1613="NO",IF(C1613="SÍ","FERIADO","FIN DE SEMANA"),"LABORABLE")&amp;IF(F1613="SÍ"," + CIERRE","")</x:f>
        <x:v>LABORABLE + CIERRE</x:v>
      </x:c>
      <x:c r="I1613" t="str">
        <x:f>TEXT(G1613,"yyyy-mm")</x:f>
        <x:v>2029-06</x:v>
      </x:c>
    </x:row>
    <x:row r="1614" ht="19" customHeight="1">
      <x:c r="A1614" s="2" t="n">
        <x:v>47270</x:v>
      </x:c>
      <x:c r="B1614" t="str">
        <x:f>CHOOSE(WEEKDAY(A1614,2),"Lunes","Martes","Miércoles","Jueves","Viernes","Sábado","Domingo")</x:f>
        <x:v>Viernes</x:v>
      </x:c>
      <x:c r="C1614" t="str">
        <x:f>IF(COUNTIF(FERIADOS!$A$2:$A$250,A1614)&gt;0,"SÍ","NO")</x:f>
        <x:v>NO</x:v>
      </x:c>
      <x:c r="D1614" t="str">
        <x:f>IF(AND(WEEKDAY(A1614,2)&lt;=5,C1614="NO"),"SÍ","NO")</x:f>
        <x:v>SÍ</x:v>
      </x:c>
      <x:c r="E1614" s="2" t="n">
        <x:f>WORKDAY.INTL(A1614-1,1,1,FERIADOS!$A$2:$A$250)</x:f>
        <x:v>47270</x:v>
      </x:c>
      <x:c r="F1614" t="str">
        <x:f>IF(E1614&gt;=WORKDAY.INTL(EOMONTH(E1614,0)+1,-2,1,FERIADOS!$A$2:$A$250),"SÍ","NO")</x:f>
        <x:v>NO</x:v>
      </x:c>
      <x:c r="G1614" s="10" t="n">
        <x:f>IF(F1614="SÍ",EOMONTH(E1614,0)+1,DATE(YEAR(E1614),MONTH(E1614),1))</x:f>
        <x:v>47270</x:v>
      </x:c>
      <x:c r="H1614" t="str">
        <x:f>IF(D1614="NO",IF(C1614="SÍ","FERIADO","FIN DE SEMANA"),"LABORABLE")&amp;IF(F1614="SÍ"," + CIERRE","")</x:f>
        <x:v>LABORABLE</x:v>
      </x:c>
      <x:c r="I1614" t="str">
        <x:f>TEXT(G1614,"yyyy-mm")</x:f>
        <x:v>2029-06</x:v>
      </x:c>
    </x:row>
    <x:row r="1615" ht="19" customHeight="1">
      <x:c r="A1615" s="2" t="n">
        <x:v>47271</x:v>
      </x:c>
      <x:c r="B1615" t="str">
        <x:f>CHOOSE(WEEKDAY(A1615,2),"Lunes","Martes","Miércoles","Jueves","Viernes","Sábado","Domingo")</x:f>
        <x:v>Sábado</x:v>
      </x:c>
      <x:c r="C1615" t="str">
        <x:f>IF(COUNTIF(FERIADOS!$A$2:$A$250,A1615)&gt;0,"SÍ","NO")</x:f>
        <x:v>NO</x:v>
      </x:c>
      <x:c r="D1615" t="str">
        <x:f>IF(AND(WEEKDAY(A1615,2)&lt;=5,C1615="NO"),"SÍ","NO")</x:f>
        <x:v>NO</x:v>
      </x:c>
      <x:c r="E1615" s="2" t="n">
        <x:f>WORKDAY.INTL(A1615-1,1,1,FERIADOS!$A$2:$A$250)</x:f>
        <x:v>47273</x:v>
      </x:c>
      <x:c r="F1615" t="str">
        <x:f>IF(E1615&gt;=WORKDAY.INTL(EOMONTH(E1615,0)+1,-2,1,FERIADOS!$A$2:$A$250),"SÍ","NO")</x:f>
        <x:v>NO</x:v>
      </x:c>
      <x:c r="G1615" s="10" t="n">
        <x:f>IF(F1615="SÍ",EOMONTH(E1615,0)+1,DATE(YEAR(E1615),MONTH(E1615),1))</x:f>
        <x:v>47270</x:v>
      </x:c>
      <x:c r="H1615" t="str">
        <x:f>IF(D1615="NO",IF(C1615="SÍ","FERIADO","FIN DE SEMANA"),"LABORABLE")&amp;IF(F1615="SÍ"," + CIERRE","")</x:f>
        <x:v>FIN DE SEMANA</x:v>
      </x:c>
      <x:c r="I1615" t="str">
        <x:f>TEXT(G1615,"yyyy-mm")</x:f>
        <x:v>2029-06</x:v>
      </x:c>
    </x:row>
    <x:row r="1616" ht="19" customHeight="1">
      <x:c r="A1616" s="2" t="n">
        <x:v>47272</x:v>
      </x:c>
      <x:c r="B1616" t="str">
        <x:f>CHOOSE(WEEKDAY(A1616,2),"Lunes","Martes","Miércoles","Jueves","Viernes","Sábado","Domingo")</x:f>
        <x:v>Domingo</x:v>
      </x:c>
      <x:c r="C1616" t="str">
        <x:f>IF(COUNTIF(FERIADOS!$A$2:$A$250,A1616)&gt;0,"SÍ","NO")</x:f>
        <x:v>NO</x:v>
      </x:c>
      <x:c r="D1616" t="str">
        <x:f>IF(AND(WEEKDAY(A1616,2)&lt;=5,C1616="NO"),"SÍ","NO")</x:f>
        <x:v>NO</x:v>
      </x:c>
      <x:c r="E1616" s="2" t="n">
        <x:f>WORKDAY.INTL(A1616-1,1,1,FERIADOS!$A$2:$A$250)</x:f>
        <x:v>47273</x:v>
      </x:c>
      <x:c r="F1616" t="str">
        <x:f>IF(E1616&gt;=WORKDAY.INTL(EOMONTH(E1616,0)+1,-2,1,FERIADOS!$A$2:$A$250),"SÍ","NO")</x:f>
        <x:v>NO</x:v>
      </x:c>
      <x:c r="G1616" s="10" t="n">
        <x:f>IF(F1616="SÍ",EOMONTH(E1616,0)+1,DATE(YEAR(E1616),MONTH(E1616),1))</x:f>
        <x:v>47270</x:v>
      </x:c>
      <x:c r="H1616" t="str">
        <x:f>IF(D1616="NO",IF(C1616="SÍ","FERIADO","FIN DE SEMANA"),"LABORABLE")&amp;IF(F1616="SÍ"," + CIERRE","")</x:f>
        <x:v>FIN DE SEMANA</x:v>
      </x:c>
      <x:c r="I1616" t="str">
        <x:f>TEXT(G1616,"yyyy-mm")</x:f>
        <x:v>2029-06</x:v>
      </x:c>
    </x:row>
    <x:row r="1617" ht="19" customHeight="1">
      <x:c r="A1617" s="2" t="n">
        <x:v>47273</x:v>
      </x:c>
      <x:c r="B1617" t="str">
        <x:f>CHOOSE(WEEKDAY(A1617,2),"Lunes","Martes","Miércoles","Jueves","Viernes","Sábado","Domingo")</x:f>
        <x:v>Lunes</x:v>
      </x:c>
      <x:c r="C1617" t="str">
        <x:f>IF(COUNTIF(FERIADOS!$A$2:$A$250,A1617)&gt;0,"SÍ","NO")</x:f>
        <x:v>NO</x:v>
      </x:c>
      <x:c r="D1617" t="str">
        <x:f>IF(AND(WEEKDAY(A1617,2)&lt;=5,C1617="NO"),"SÍ","NO")</x:f>
        <x:v>SÍ</x:v>
      </x:c>
      <x:c r="E1617" s="2" t="n">
        <x:f>WORKDAY.INTL(A1617-1,1,1,FERIADOS!$A$2:$A$250)</x:f>
        <x:v>47273</x:v>
      </x:c>
      <x:c r="F1617" t="str">
        <x:f>IF(E1617&gt;=WORKDAY.INTL(EOMONTH(E1617,0)+1,-2,1,FERIADOS!$A$2:$A$250),"SÍ","NO")</x:f>
        <x:v>NO</x:v>
      </x:c>
      <x:c r="G1617" s="10" t="n">
        <x:f>IF(F1617="SÍ",EOMONTH(E1617,0)+1,DATE(YEAR(E1617),MONTH(E1617),1))</x:f>
        <x:v>47270</x:v>
      </x:c>
      <x:c r="H1617" t="str">
        <x:f>IF(D1617="NO",IF(C1617="SÍ","FERIADO","FIN DE SEMANA"),"LABORABLE")&amp;IF(F1617="SÍ"," + CIERRE","")</x:f>
        <x:v>LABORABLE</x:v>
      </x:c>
      <x:c r="I1617" t="str">
        <x:f>TEXT(G1617,"yyyy-mm")</x:f>
        <x:v>2029-06</x:v>
      </x:c>
    </x:row>
    <x:row r="1618" ht="19" customHeight="1">
      <x:c r="A1618" s="2" t="n">
        <x:v>47274</x:v>
      </x:c>
      <x:c r="B1618" t="str">
        <x:f>CHOOSE(WEEKDAY(A1618,2),"Lunes","Martes","Miércoles","Jueves","Viernes","Sábado","Domingo")</x:f>
        <x:v>Martes</x:v>
      </x:c>
      <x:c r="C1618" t="str">
        <x:f>IF(COUNTIF(FERIADOS!$A$2:$A$250,A1618)&gt;0,"SÍ","NO")</x:f>
        <x:v>NO</x:v>
      </x:c>
      <x:c r="D1618" t="str">
        <x:f>IF(AND(WEEKDAY(A1618,2)&lt;=5,C1618="NO"),"SÍ","NO")</x:f>
        <x:v>SÍ</x:v>
      </x:c>
      <x:c r="E1618" s="2" t="n">
        <x:f>WORKDAY.INTL(A1618-1,1,1,FERIADOS!$A$2:$A$250)</x:f>
        <x:v>47274</x:v>
      </x:c>
      <x:c r="F1618" t="str">
        <x:f>IF(E1618&gt;=WORKDAY.INTL(EOMONTH(E1618,0)+1,-2,1,FERIADOS!$A$2:$A$250),"SÍ","NO")</x:f>
        <x:v>NO</x:v>
      </x:c>
      <x:c r="G1618" s="10" t="n">
        <x:f>IF(F1618="SÍ",EOMONTH(E1618,0)+1,DATE(YEAR(E1618),MONTH(E1618),1))</x:f>
        <x:v>47270</x:v>
      </x:c>
      <x:c r="H1618" t="str">
        <x:f>IF(D1618="NO",IF(C1618="SÍ","FERIADO","FIN DE SEMANA"),"LABORABLE")&amp;IF(F1618="SÍ"," + CIERRE","")</x:f>
        <x:v>LABORABLE</x:v>
      </x:c>
      <x:c r="I1618" t="str">
        <x:f>TEXT(G1618,"yyyy-mm")</x:f>
        <x:v>2029-06</x:v>
      </x:c>
    </x:row>
    <x:row r="1619" ht="19" customHeight="1">
      <x:c r="A1619" s="2" t="n">
        <x:v>47275</x:v>
      </x:c>
      <x:c r="B1619" t="str">
        <x:f>CHOOSE(WEEKDAY(A1619,2),"Lunes","Martes","Miércoles","Jueves","Viernes","Sábado","Domingo")</x:f>
        <x:v>Miércoles</x:v>
      </x:c>
      <x:c r="C1619" t="str">
        <x:f>IF(COUNTIF(FERIADOS!$A$2:$A$250,A1619)&gt;0,"SÍ","NO")</x:f>
        <x:v>NO</x:v>
      </x:c>
      <x:c r="D1619" t="str">
        <x:f>IF(AND(WEEKDAY(A1619,2)&lt;=5,C1619="NO"),"SÍ","NO")</x:f>
        <x:v>SÍ</x:v>
      </x:c>
      <x:c r="E1619" s="2" t="n">
        <x:f>WORKDAY.INTL(A1619-1,1,1,FERIADOS!$A$2:$A$250)</x:f>
        <x:v>47275</x:v>
      </x:c>
      <x:c r="F1619" t="str">
        <x:f>IF(E1619&gt;=WORKDAY.INTL(EOMONTH(E1619,0)+1,-2,1,FERIADOS!$A$2:$A$250),"SÍ","NO")</x:f>
        <x:v>NO</x:v>
      </x:c>
      <x:c r="G1619" s="10" t="n">
        <x:f>IF(F1619="SÍ",EOMONTH(E1619,0)+1,DATE(YEAR(E1619),MONTH(E1619),1))</x:f>
        <x:v>47270</x:v>
      </x:c>
      <x:c r="H1619" t="str">
        <x:f>IF(D1619="NO",IF(C1619="SÍ","FERIADO","FIN DE SEMANA"),"LABORABLE")&amp;IF(F1619="SÍ"," + CIERRE","")</x:f>
        <x:v>LABORABLE</x:v>
      </x:c>
      <x:c r="I1619" t="str">
        <x:f>TEXT(G1619,"yyyy-mm")</x:f>
        <x:v>2029-06</x:v>
      </x:c>
    </x:row>
    <x:row r="1620" ht="19" customHeight="1">
      <x:c r="A1620" s="2" t="n">
        <x:v>47276</x:v>
      </x:c>
      <x:c r="B1620" t="str">
        <x:f>CHOOSE(WEEKDAY(A1620,2),"Lunes","Martes","Miércoles","Jueves","Viernes","Sábado","Domingo")</x:f>
        <x:v>Jueves</x:v>
      </x:c>
      <x:c r="C1620" t="str">
        <x:f>IF(COUNTIF(FERIADOS!$A$2:$A$250,A1620)&gt;0,"SÍ","NO")</x:f>
        <x:v>NO</x:v>
      </x:c>
      <x:c r="D1620" t="str">
        <x:f>IF(AND(WEEKDAY(A1620,2)&lt;=5,C1620="NO"),"SÍ","NO")</x:f>
        <x:v>SÍ</x:v>
      </x:c>
      <x:c r="E1620" s="2" t="n">
        <x:f>WORKDAY.INTL(A1620-1,1,1,FERIADOS!$A$2:$A$250)</x:f>
        <x:v>47276</x:v>
      </x:c>
      <x:c r="F1620" t="str">
        <x:f>IF(E1620&gt;=WORKDAY.INTL(EOMONTH(E1620,0)+1,-2,1,FERIADOS!$A$2:$A$250),"SÍ","NO")</x:f>
        <x:v>NO</x:v>
      </x:c>
      <x:c r="G1620" s="10" t="n">
        <x:f>IF(F1620="SÍ",EOMONTH(E1620,0)+1,DATE(YEAR(E1620),MONTH(E1620),1))</x:f>
        <x:v>47270</x:v>
      </x:c>
      <x:c r="H1620" t="str">
        <x:f>IF(D1620="NO",IF(C1620="SÍ","FERIADO","FIN DE SEMANA"),"LABORABLE")&amp;IF(F1620="SÍ"," + CIERRE","")</x:f>
        <x:v>LABORABLE</x:v>
      </x:c>
      <x:c r="I1620" t="str">
        <x:f>TEXT(G1620,"yyyy-mm")</x:f>
        <x:v>2029-06</x:v>
      </x:c>
    </x:row>
    <x:row r="1621" ht="19" customHeight="1">
      <x:c r="A1621" s="2" t="n">
        <x:v>47277</x:v>
      </x:c>
      <x:c r="B1621" t="str">
        <x:f>CHOOSE(WEEKDAY(A1621,2),"Lunes","Martes","Miércoles","Jueves","Viernes","Sábado","Domingo")</x:f>
        <x:v>Viernes</x:v>
      </x:c>
      <x:c r="C1621" t="str">
        <x:f>IF(COUNTIF(FERIADOS!$A$2:$A$250,A1621)&gt;0,"SÍ","NO")</x:f>
        <x:v>NO</x:v>
      </x:c>
      <x:c r="D1621" t="str">
        <x:f>IF(AND(WEEKDAY(A1621,2)&lt;=5,C1621="NO"),"SÍ","NO")</x:f>
        <x:v>SÍ</x:v>
      </x:c>
      <x:c r="E1621" s="2" t="n">
        <x:f>WORKDAY.INTL(A1621-1,1,1,FERIADOS!$A$2:$A$250)</x:f>
        <x:v>47277</x:v>
      </x:c>
      <x:c r="F1621" t="str">
        <x:f>IF(E1621&gt;=WORKDAY.INTL(EOMONTH(E1621,0)+1,-2,1,FERIADOS!$A$2:$A$250),"SÍ","NO")</x:f>
        <x:v>NO</x:v>
      </x:c>
      <x:c r="G1621" s="10" t="n">
        <x:f>IF(F1621="SÍ",EOMONTH(E1621,0)+1,DATE(YEAR(E1621),MONTH(E1621),1))</x:f>
        <x:v>47270</x:v>
      </x:c>
      <x:c r="H1621" t="str">
        <x:f>IF(D1621="NO",IF(C1621="SÍ","FERIADO","FIN DE SEMANA"),"LABORABLE")&amp;IF(F1621="SÍ"," + CIERRE","")</x:f>
        <x:v>LABORABLE</x:v>
      </x:c>
      <x:c r="I1621" t="str">
        <x:f>TEXT(G1621,"yyyy-mm")</x:f>
        <x:v>2029-06</x:v>
      </x:c>
    </x:row>
    <x:row r="1622" ht="19" customHeight="1">
      <x:c r="A1622" s="2" t="n">
        <x:v>47278</x:v>
      </x:c>
      <x:c r="B1622" t="str">
        <x:f>CHOOSE(WEEKDAY(A1622,2),"Lunes","Martes","Miércoles","Jueves","Viernes","Sábado","Domingo")</x:f>
        <x:v>Sábado</x:v>
      </x:c>
      <x:c r="C1622" t="str">
        <x:f>IF(COUNTIF(FERIADOS!$A$2:$A$250,A1622)&gt;0,"SÍ","NO")</x:f>
        <x:v>NO</x:v>
      </x:c>
      <x:c r="D1622" t="str">
        <x:f>IF(AND(WEEKDAY(A1622,2)&lt;=5,C1622="NO"),"SÍ","NO")</x:f>
        <x:v>NO</x:v>
      </x:c>
      <x:c r="E1622" s="2" t="n">
        <x:f>WORKDAY.INTL(A1622-1,1,1,FERIADOS!$A$2:$A$250)</x:f>
        <x:v>47280</x:v>
      </x:c>
      <x:c r="F1622" t="str">
        <x:f>IF(E1622&gt;=WORKDAY.INTL(EOMONTH(E1622,0)+1,-2,1,FERIADOS!$A$2:$A$250),"SÍ","NO")</x:f>
        <x:v>NO</x:v>
      </x:c>
      <x:c r="G1622" s="10" t="n">
        <x:f>IF(F1622="SÍ",EOMONTH(E1622,0)+1,DATE(YEAR(E1622),MONTH(E1622),1))</x:f>
        <x:v>47270</x:v>
      </x:c>
      <x:c r="H1622" t="str">
        <x:f>IF(D1622="NO",IF(C1622="SÍ","FERIADO","FIN DE SEMANA"),"LABORABLE")&amp;IF(F1622="SÍ"," + CIERRE","")</x:f>
        <x:v>FIN DE SEMANA</x:v>
      </x:c>
      <x:c r="I1622" t="str">
        <x:f>TEXT(G1622,"yyyy-mm")</x:f>
        <x:v>2029-06</x:v>
      </x:c>
    </x:row>
    <x:row r="1623" ht="19" customHeight="1">
      <x:c r="A1623" s="2" t="n">
        <x:v>47279</x:v>
      </x:c>
      <x:c r="B1623" t="str">
        <x:f>CHOOSE(WEEKDAY(A1623,2),"Lunes","Martes","Miércoles","Jueves","Viernes","Sábado","Domingo")</x:f>
        <x:v>Domingo</x:v>
      </x:c>
      <x:c r="C1623" t="str">
        <x:f>IF(COUNTIF(FERIADOS!$A$2:$A$250,A1623)&gt;0,"SÍ","NO")</x:f>
        <x:v>NO</x:v>
      </x:c>
      <x:c r="D1623" t="str">
        <x:f>IF(AND(WEEKDAY(A1623,2)&lt;=5,C1623="NO"),"SÍ","NO")</x:f>
        <x:v>NO</x:v>
      </x:c>
      <x:c r="E1623" s="2" t="n">
        <x:f>WORKDAY.INTL(A1623-1,1,1,FERIADOS!$A$2:$A$250)</x:f>
        <x:v>47280</x:v>
      </x:c>
      <x:c r="F1623" t="str">
        <x:f>IF(E1623&gt;=WORKDAY.INTL(EOMONTH(E1623,0)+1,-2,1,FERIADOS!$A$2:$A$250),"SÍ","NO")</x:f>
        <x:v>NO</x:v>
      </x:c>
      <x:c r="G1623" s="10" t="n">
        <x:f>IF(F1623="SÍ",EOMONTH(E1623,0)+1,DATE(YEAR(E1623),MONTH(E1623),1))</x:f>
        <x:v>47270</x:v>
      </x:c>
      <x:c r="H1623" t="str">
        <x:f>IF(D1623="NO",IF(C1623="SÍ","FERIADO","FIN DE SEMANA"),"LABORABLE")&amp;IF(F1623="SÍ"," + CIERRE","")</x:f>
        <x:v>FIN DE SEMANA</x:v>
      </x:c>
      <x:c r="I1623" t="str">
        <x:f>TEXT(G1623,"yyyy-mm")</x:f>
        <x:v>2029-06</x:v>
      </x:c>
    </x:row>
    <x:row r="1624" ht="19" customHeight="1">
      <x:c r="A1624" s="2" t="n">
        <x:v>47280</x:v>
      </x:c>
      <x:c r="B1624" t="str">
        <x:f>CHOOSE(WEEKDAY(A1624,2),"Lunes","Martes","Miércoles","Jueves","Viernes","Sábado","Domingo")</x:f>
        <x:v>Lunes</x:v>
      </x:c>
      <x:c r="C1624" t="str">
        <x:f>IF(COUNTIF(FERIADOS!$A$2:$A$250,A1624)&gt;0,"SÍ","NO")</x:f>
        <x:v>NO</x:v>
      </x:c>
      <x:c r="D1624" t="str">
        <x:f>IF(AND(WEEKDAY(A1624,2)&lt;=5,C1624="NO"),"SÍ","NO")</x:f>
        <x:v>SÍ</x:v>
      </x:c>
      <x:c r="E1624" s="2" t="n">
        <x:f>WORKDAY.INTL(A1624-1,1,1,FERIADOS!$A$2:$A$250)</x:f>
        <x:v>47280</x:v>
      </x:c>
      <x:c r="F1624" t="str">
        <x:f>IF(E1624&gt;=WORKDAY.INTL(EOMONTH(E1624,0)+1,-2,1,FERIADOS!$A$2:$A$250),"SÍ","NO")</x:f>
        <x:v>NO</x:v>
      </x:c>
      <x:c r="G1624" s="10" t="n">
        <x:f>IF(F1624="SÍ",EOMONTH(E1624,0)+1,DATE(YEAR(E1624),MONTH(E1624),1))</x:f>
        <x:v>47270</x:v>
      </x:c>
      <x:c r="H1624" t="str">
        <x:f>IF(D1624="NO",IF(C1624="SÍ","FERIADO","FIN DE SEMANA"),"LABORABLE")&amp;IF(F1624="SÍ"," + CIERRE","")</x:f>
        <x:v>LABORABLE</x:v>
      </x:c>
      <x:c r="I1624" t="str">
        <x:f>TEXT(G1624,"yyyy-mm")</x:f>
        <x:v>2029-06</x:v>
      </x:c>
    </x:row>
    <x:row r="1625" ht="19" customHeight="1">
      <x:c r="A1625" s="2" t="n">
        <x:v>47281</x:v>
      </x:c>
      <x:c r="B1625" t="str">
        <x:f>CHOOSE(WEEKDAY(A1625,2),"Lunes","Martes","Miércoles","Jueves","Viernes","Sábado","Domingo")</x:f>
        <x:v>Martes</x:v>
      </x:c>
      <x:c r="C1625" t="str">
        <x:f>IF(COUNTIF(FERIADOS!$A$2:$A$250,A1625)&gt;0,"SÍ","NO")</x:f>
        <x:v>NO</x:v>
      </x:c>
      <x:c r="D1625" t="str">
        <x:f>IF(AND(WEEKDAY(A1625,2)&lt;=5,C1625="NO"),"SÍ","NO")</x:f>
        <x:v>SÍ</x:v>
      </x:c>
      <x:c r="E1625" s="2" t="n">
        <x:f>WORKDAY.INTL(A1625-1,1,1,FERIADOS!$A$2:$A$250)</x:f>
        <x:v>47281</x:v>
      </x:c>
      <x:c r="F1625" t="str">
        <x:f>IF(E1625&gt;=WORKDAY.INTL(EOMONTH(E1625,0)+1,-2,1,FERIADOS!$A$2:$A$250),"SÍ","NO")</x:f>
        <x:v>NO</x:v>
      </x:c>
      <x:c r="G1625" s="10" t="n">
        <x:f>IF(F1625="SÍ",EOMONTH(E1625,0)+1,DATE(YEAR(E1625),MONTH(E1625),1))</x:f>
        <x:v>47270</x:v>
      </x:c>
      <x:c r="H1625" t="str">
        <x:f>IF(D1625="NO",IF(C1625="SÍ","FERIADO","FIN DE SEMANA"),"LABORABLE")&amp;IF(F1625="SÍ"," + CIERRE","")</x:f>
        <x:v>LABORABLE</x:v>
      </x:c>
      <x:c r="I1625" t="str">
        <x:f>TEXT(G1625,"yyyy-mm")</x:f>
        <x:v>2029-06</x:v>
      </x:c>
    </x:row>
    <x:row r="1626" ht="19" customHeight="1">
      <x:c r="A1626" s="2" t="n">
        <x:v>47282</x:v>
      </x:c>
      <x:c r="B1626" t="str">
        <x:f>CHOOSE(WEEKDAY(A1626,2),"Lunes","Martes","Miércoles","Jueves","Viernes","Sábado","Domingo")</x:f>
        <x:v>Miércoles</x:v>
      </x:c>
      <x:c r="C1626" t="str">
        <x:f>IF(COUNTIF(FERIADOS!$A$2:$A$250,A1626)&gt;0,"SÍ","NO")</x:f>
        <x:v>NO</x:v>
      </x:c>
      <x:c r="D1626" t="str">
        <x:f>IF(AND(WEEKDAY(A1626,2)&lt;=5,C1626="NO"),"SÍ","NO")</x:f>
        <x:v>SÍ</x:v>
      </x:c>
      <x:c r="E1626" s="2" t="n">
        <x:f>WORKDAY.INTL(A1626-1,1,1,FERIADOS!$A$2:$A$250)</x:f>
        <x:v>47282</x:v>
      </x:c>
      <x:c r="F1626" t="str">
        <x:f>IF(E1626&gt;=WORKDAY.INTL(EOMONTH(E1626,0)+1,-2,1,FERIADOS!$A$2:$A$250),"SÍ","NO")</x:f>
        <x:v>NO</x:v>
      </x:c>
      <x:c r="G1626" s="10" t="n">
        <x:f>IF(F1626="SÍ",EOMONTH(E1626,0)+1,DATE(YEAR(E1626),MONTH(E1626),1))</x:f>
        <x:v>47270</x:v>
      </x:c>
      <x:c r="H1626" t="str">
        <x:f>IF(D1626="NO",IF(C1626="SÍ","FERIADO","FIN DE SEMANA"),"LABORABLE")&amp;IF(F1626="SÍ"," + CIERRE","")</x:f>
        <x:v>LABORABLE</x:v>
      </x:c>
      <x:c r="I1626" t="str">
        <x:f>TEXT(G1626,"yyyy-mm")</x:f>
        <x:v>2029-06</x:v>
      </x:c>
    </x:row>
    <x:row r="1627" ht="19" customHeight="1">
      <x:c r="A1627" s="2" t="n">
        <x:v>47283</x:v>
      </x:c>
      <x:c r="B1627" t="str">
        <x:f>CHOOSE(WEEKDAY(A1627,2),"Lunes","Martes","Miércoles","Jueves","Viernes","Sábado","Domingo")</x:f>
        <x:v>Jueves</x:v>
      </x:c>
      <x:c r="C1627" t="str">
        <x:f>IF(COUNTIF(FERIADOS!$A$2:$A$250,A1627)&gt;0,"SÍ","NO")</x:f>
        <x:v>NO</x:v>
      </x:c>
      <x:c r="D1627" t="str">
        <x:f>IF(AND(WEEKDAY(A1627,2)&lt;=5,C1627="NO"),"SÍ","NO")</x:f>
        <x:v>SÍ</x:v>
      </x:c>
      <x:c r="E1627" s="2" t="n">
        <x:f>WORKDAY.INTL(A1627-1,1,1,FERIADOS!$A$2:$A$250)</x:f>
        <x:v>47283</x:v>
      </x:c>
      <x:c r="F1627" t="str">
        <x:f>IF(E1627&gt;=WORKDAY.INTL(EOMONTH(E1627,0)+1,-2,1,FERIADOS!$A$2:$A$250),"SÍ","NO")</x:f>
        <x:v>NO</x:v>
      </x:c>
      <x:c r="G1627" s="10" t="n">
        <x:f>IF(F1627="SÍ",EOMONTH(E1627,0)+1,DATE(YEAR(E1627),MONTH(E1627),1))</x:f>
        <x:v>47270</x:v>
      </x:c>
      <x:c r="H1627" t="str">
        <x:f>IF(D1627="NO",IF(C1627="SÍ","FERIADO","FIN DE SEMANA"),"LABORABLE")&amp;IF(F1627="SÍ"," + CIERRE","")</x:f>
        <x:v>LABORABLE</x:v>
      </x:c>
      <x:c r="I1627" t="str">
        <x:f>TEXT(G1627,"yyyy-mm")</x:f>
        <x:v>2029-06</x:v>
      </x:c>
    </x:row>
    <x:row r="1628" ht="19" customHeight="1">
      <x:c r="A1628" s="2" t="n">
        <x:v>47284</x:v>
      </x:c>
      <x:c r="B1628" t="str">
        <x:f>CHOOSE(WEEKDAY(A1628,2),"Lunes","Martes","Miércoles","Jueves","Viernes","Sábado","Domingo")</x:f>
        <x:v>Viernes</x:v>
      </x:c>
      <x:c r="C1628" t="str">
        <x:f>IF(COUNTIF(FERIADOS!$A$2:$A$250,A1628)&gt;0,"SÍ","NO")</x:f>
        <x:v>NO</x:v>
      </x:c>
      <x:c r="D1628" t="str">
        <x:f>IF(AND(WEEKDAY(A1628,2)&lt;=5,C1628="NO"),"SÍ","NO")</x:f>
        <x:v>SÍ</x:v>
      </x:c>
      <x:c r="E1628" s="2" t="n">
        <x:f>WORKDAY.INTL(A1628-1,1,1,FERIADOS!$A$2:$A$250)</x:f>
        <x:v>47284</x:v>
      </x:c>
      <x:c r="F1628" t="str">
        <x:f>IF(E1628&gt;=WORKDAY.INTL(EOMONTH(E1628,0)+1,-2,1,FERIADOS!$A$2:$A$250),"SÍ","NO")</x:f>
        <x:v>NO</x:v>
      </x:c>
      <x:c r="G1628" s="10" t="n">
        <x:f>IF(F1628="SÍ",EOMONTH(E1628,0)+1,DATE(YEAR(E1628),MONTH(E1628),1))</x:f>
        <x:v>47270</x:v>
      </x:c>
      <x:c r="H1628" t="str">
        <x:f>IF(D1628="NO",IF(C1628="SÍ","FERIADO","FIN DE SEMANA"),"LABORABLE")&amp;IF(F1628="SÍ"," + CIERRE","")</x:f>
        <x:v>LABORABLE</x:v>
      </x:c>
      <x:c r="I1628" t="str">
        <x:f>TEXT(G1628,"yyyy-mm")</x:f>
        <x:v>2029-06</x:v>
      </x:c>
    </x:row>
    <x:row r="1629" ht="19" customHeight="1">
      <x:c r="A1629" s="2" t="n">
        <x:v>47285</x:v>
      </x:c>
      <x:c r="B1629" t="str">
        <x:f>CHOOSE(WEEKDAY(A1629,2),"Lunes","Martes","Miércoles","Jueves","Viernes","Sábado","Domingo")</x:f>
        <x:v>Sábado</x:v>
      </x:c>
      <x:c r="C1629" t="str">
        <x:f>IF(COUNTIF(FERIADOS!$A$2:$A$250,A1629)&gt;0,"SÍ","NO")</x:f>
        <x:v>NO</x:v>
      </x:c>
      <x:c r="D1629" t="str">
        <x:f>IF(AND(WEEKDAY(A1629,2)&lt;=5,C1629="NO"),"SÍ","NO")</x:f>
        <x:v>NO</x:v>
      </x:c>
      <x:c r="E1629" s="2" t="n">
        <x:f>WORKDAY.INTL(A1629-1,1,1,FERIADOS!$A$2:$A$250)</x:f>
        <x:v>47287</x:v>
      </x:c>
      <x:c r="F1629" t="str">
        <x:f>IF(E1629&gt;=WORKDAY.INTL(EOMONTH(E1629,0)+1,-2,1,FERIADOS!$A$2:$A$250),"SÍ","NO")</x:f>
        <x:v>NO</x:v>
      </x:c>
      <x:c r="G1629" s="10" t="n">
        <x:f>IF(F1629="SÍ",EOMONTH(E1629,0)+1,DATE(YEAR(E1629),MONTH(E1629),1))</x:f>
        <x:v>47270</x:v>
      </x:c>
      <x:c r="H1629" t="str">
        <x:f>IF(D1629="NO",IF(C1629="SÍ","FERIADO","FIN DE SEMANA"),"LABORABLE")&amp;IF(F1629="SÍ"," + CIERRE","")</x:f>
        <x:v>FIN DE SEMANA</x:v>
      </x:c>
      <x:c r="I1629" t="str">
        <x:f>TEXT(G1629,"yyyy-mm")</x:f>
        <x:v>2029-06</x:v>
      </x:c>
    </x:row>
    <x:row r="1630" ht="19" customHeight="1">
      <x:c r="A1630" s="2" t="n">
        <x:v>47286</x:v>
      </x:c>
      <x:c r="B1630" t="str">
        <x:f>CHOOSE(WEEKDAY(A1630,2),"Lunes","Martes","Miércoles","Jueves","Viernes","Sábado","Domingo")</x:f>
        <x:v>Domingo</x:v>
      </x:c>
      <x:c r="C1630" t="str">
        <x:f>IF(COUNTIF(FERIADOS!$A$2:$A$250,A1630)&gt;0,"SÍ","NO")</x:f>
        <x:v>NO</x:v>
      </x:c>
      <x:c r="D1630" t="str">
        <x:f>IF(AND(WEEKDAY(A1630,2)&lt;=5,C1630="NO"),"SÍ","NO")</x:f>
        <x:v>NO</x:v>
      </x:c>
      <x:c r="E1630" s="2" t="n">
        <x:f>WORKDAY.INTL(A1630-1,1,1,FERIADOS!$A$2:$A$250)</x:f>
        <x:v>47287</x:v>
      </x:c>
      <x:c r="F1630" t="str">
        <x:f>IF(E1630&gt;=WORKDAY.INTL(EOMONTH(E1630,0)+1,-2,1,FERIADOS!$A$2:$A$250),"SÍ","NO")</x:f>
        <x:v>NO</x:v>
      </x:c>
      <x:c r="G1630" s="10" t="n">
        <x:f>IF(F1630="SÍ",EOMONTH(E1630,0)+1,DATE(YEAR(E1630),MONTH(E1630),1))</x:f>
        <x:v>47270</x:v>
      </x:c>
      <x:c r="H1630" t="str">
        <x:f>IF(D1630="NO",IF(C1630="SÍ","FERIADO","FIN DE SEMANA"),"LABORABLE")&amp;IF(F1630="SÍ"," + CIERRE","")</x:f>
        <x:v>FIN DE SEMANA</x:v>
      </x:c>
      <x:c r="I1630" t="str">
        <x:f>TEXT(G1630,"yyyy-mm")</x:f>
        <x:v>2029-06</x:v>
      </x:c>
    </x:row>
    <x:row r="1631" ht="19" customHeight="1">
      <x:c r="A1631" s="2" t="n">
        <x:v>47287</x:v>
      </x:c>
      <x:c r="B1631" t="str">
        <x:f>CHOOSE(WEEKDAY(A1631,2),"Lunes","Martes","Miércoles","Jueves","Viernes","Sábado","Domingo")</x:f>
        <x:v>Lunes</x:v>
      </x:c>
      <x:c r="C1631" t="str">
        <x:f>IF(COUNTIF(FERIADOS!$A$2:$A$250,A1631)&gt;0,"SÍ","NO")</x:f>
        <x:v>NO</x:v>
      </x:c>
      <x:c r="D1631" t="str">
        <x:f>IF(AND(WEEKDAY(A1631,2)&lt;=5,C1631="NO"),"SÍ","NO")</x:f>
        <x:v>SÍ</x:v>
      </x:c>
      <x:c r="E1631" s="2" t="n">
        <x:f>WORKDAY.INTL(A1631-1,1,1,FERIADOS!$A$2:$A$250)</x:f>
        <x:v>47287</x:v>
      </x:c>
      <x:c r="F1631" t="str">
        <x:f>IF(E1631&gt;=WORKDAY.INTL(EOMONTH(E1631,0)+1,-2,1,FERIADOS!$A$2:$A$250),"SÍ","NO")</x:f>
        <x:v>NO</x:v>
      </x:c>
      <x:c r="G1631" s="10" t="n">
        <x:f>IF(F1631="SÍ",EOMONTH(E1631,0)+1,DATE(YEAR(E1631),MONTH(E1631),1))</x:f>
        <x:v>47270</x:v>
      </x:c>
      <x:c r="H1631" t="str">
        <x:f>IF(D1631="NO",IF(C1631="SÍ","FERIADO","FIN DE SEMANA"),"LABORABLE")&amp;IF(F1631="SÍ"," + CIERRE","")</x:f>
        <x:v>LABORABLE</x:v>
      </x:c>
      <x:c r="I1631" t="str">
        <x:f>TEXT(G1631,"yyyy-mm")</x:f>
        <x:v>2029-06</x:v>
      </x:c>
    </x:row>
    <x:row r="1632" ht="19" customHeight="1">
      <x:c r="A1632" s="2" t="n">
        <x:v>47288</x:v>
      </x:c>
      <x:c r="B1632" t="str">
        <x:f>CHOOSE(WEEKDAY(A1632,2),"Lunes","Martes","Miércoles","Jueves","Viernes","Sábado","Domingo")</x:f>
        <x:v>Martes</x:v>
      </x:c>
      <x:c r="C1632" t="str">
        <x:f>IF(COUNTIF(FERIADOS!$A$2:$A$250,A1632)&gt;0,"SÍ","NO")</x:f>
        <x:v>NO</x:v>
      </x:c>
      <x:c r="D1632" t="str">
        <x:f>IF(AND(WEEKDAY(A1632,2)&lt;=5,C1632="NO"),"SÍ","NO")</x:f>
        <x:v>SÍ</x:v>
      </x:c>
      <x:c r="E1632" s="2" t="n">
        <x:f>WORKDAY.INTL(A1632-1,1,1,FERIADOS!$A$2:$A$250)</x:f>
        <x:v>47288</x:v>
      </x:c>
      <x:c r="F1632" t="str">
        <x:f>IF(E1632&gt;=WORKDAY.INTL(EOMONTH(E1632,0)+1,-2,1,FERIADOS!$A$2:$A$250),"SÍ","NO")</x:f>
        <x:v>NO</x:v>
      </x:c>
      <x:c r="G1632" s="10" t="n">
        <x:f>IF(F1632="SÍ",EOMONTH(E1632,0)+1,DATE(YEAR(E1632),MONTH(E1632),1))</x:f>
        <x:v>47270</x:v>
      </x:c>
      <x:c r="H1632" t="str">
        <x:f>IF(D1632="NO",IF(C1632="SÍ","FERIADO","FIN DE SEMANA"),"LABORABLE")&amp;IF(F1632="SÍ"," + CIERRE","")</x:f>
        <x:v>LABORABLE</x:v>
      </x:c>
      <x:c r="I1632" t="str">
        <x:f>TEXT(G1632,"yyyy-mm")</x:f>
        <x:v>2029-06</x:v>
      </x:c>
    </x:row>
    <x:row r="1633" ht="19" customHeight="1">
      <x:c r="A1633" s="2" t="n">
        <x:v>47289</x:v>
      </x:c>
      <x:c r="B1633" t="str">
        <x:f>CHOOSE(WEEKDAY(A1633,2),"Lunes","Martes","Miércoles","Jueves","Viernes","Sábado","Domingo")</x:f>
        <x:v>Miércoles</x:v>
      </x:c>
      <x:c r="C1633" t="str">
        <x:f>IF(COUNTIF(FERIADOS!$A$2:$A$250,A1633)&gt;0,"SÍ","NO")</x:f>
        <x:v>NO</x:v>
      </x:c>
      <x:c r="D1633" t="str">
        <x:f>IF(AND(WEEKDAY(A1633,2)&lt;=5,C1633="NO"),"SÍ","NO")</x:f>
        <x:v>SÍ</x:v>
      </x:c>
      <x:c r="E1633" s="2" t="n">
        <x:f>WORKDAY.INTL(A1633-1,1,1,FERIADOS!$A$2:$A$250)</x:f>
        <x:v>47289</x:v>
      </x:c>
      <x:c r="F1633" t="str">
        <x:f>IF(E1633&gt;=WORKDAY.INTL(EOMONTH(E1633,0)+1,-2,1,FERIADOS!$A$2:$A$250),"SÍ","NO")</x:f>
        <x:v>NO</x:v>
      </x:c>
      <x:c r="G1633" s="10" t="n">
        <x:f>IF(F1633="SÍ",EOMONTH(E1633,0)+1,DATE(YEAR(E1633),MONTH(E1633),1))</x:f>
        <x:v>47270</x:v>
      </x:c>
      <x:c r="H1633" t="str">
        <x:f>IF(D1633="NO",IF(C1633="SÍ","FERIADO","FIN DE SEMANA"),"LABORABLE")&amp;IF(F1633="SÍ"," + CIERRE","")</x:f>
        <x:v>LABORABLE</x:v>
      </x:c>
      <x:c r="I1633" t="str">
        <x:f>TEXT(G1633,"yyyy-mm")</x:f>
        <x:v>2029-06</x:v>
      </x:c>
    </x:row>
    <x:row r="1634" ht="19" customHeight="1">
      <x:c r="A1634" s="2" t="n">
        <x:v>47290</x:v>
      </x:c>
      <x:c r="B1634" t="str">
        <x:f>CHOOSE(WEEKDAY(A1634,2),"Lunes","Martes","Miércoles","Jueves","Viernes","Sábado","Domingo")</x:f>
        <x:v>Jueves</x:v>
      </x:c>
      <x:c r="C1634" t="str">
        <x:f>IF(COUNTIF(FERIADOS!$A$2:$A$250,A1634)&gt;0,"SÍ","NO")</x:f>
        <x:v>NO</x:v>
      </x:c>
      <x:c r="D1634" t="str">
        <x:f>IF(AND(WEEKDAY(A1634,2)&lt;=5,C1634="NO"),"SÍ","NO")</x:f>
        <x:v>SÍ</x:v>
      </x:c>
      <x:c r="E1634" s="2" t="n">
        <x:f>WORKDAY.INTL(A1634-1,1,1,FERIADOS!$A$2:$A$250)</x:f>
        <x:v>47290</x:v>
      </x:c>
      <x:c r="F1634" t="str">
        <x:f>IF(E1634&gt;=WORKDAY.INTL(EOMONTH(E1634,0)+1,-2,1,FERIADOS!$A$2:$A$250),"SÍ","NO")</x:f>
        <x:v>NO</x:v>
      </x:c>
      <x:c r="G1634" s="10" t="n">
        <x:f>IF(F1634="SÍ",EOMONTH(E1634,0)+1,DATE(YEAR(E1634),MONTH(E1634),1))</x:f>
        <x:v>47270</x:v>
      </x:c>
      <x:c r="H1634" t="str">
        <x:f>IF(D1634="NO",IF(C1634="SÍ","FERIADO","FIN DE SEMANA"),"LABORABLE")&amp;IF(F1634="SÍ"," + CIERRE","")</x:f>
        <x:v>LABORABLE</x:v>
      </x:c>
      <x:c r="I1634" t="str">
        <x:f>TEXT(G1634,"yyyy-mm")</x:f>
        <x:v>2029-06</x:v>
      </x:c>
    </x:row>
    <x:row r="1635" ht="19" customHeight="1">
      <x:c r="A1635" s="2" t="n">
        <x:v>47291</x:v>
      </x:c>
      <x:c r="B1635" t="str">
        <x:f>CHOOSE(WEEKDAY(A1635,2),"Lunes","Martes","Miércoles","Jueves","Viernes","Sábado","Domingo")</x:f>
        <x:v>Viernes</x:v>
      </x:c>
      <x:c r="C1635" t="str">
        <x:f>IF(COUNTIF(FERIADOS!$A$2:$A$250,A1635)&gt;0,"SÍ","NO")</x:f>
        <x:v>NO</x:v>
      </x:c>
      <x:c r="D1635" t="str">
        <x:f>IF(AND(WEEKDAY(A1635,2)&lt;=5,C1635="NO"),"SÍ","NO")</x:f>
        <x:v>SÍ</x:v>
      </x:c>
      <x:c r="E1635" s="2" t="n">
        <x:f>WORKDAY.INTL(A1635-1,1,1,FERIADOS!$A$2:$A$250)</x:f>
        <x:v>47291</x:v>
      </x:c>
      <x:c r="F1635" t="str">
        <x:f>IF(E1635&gt;=WORKDAY.INTL(EOMONTH(E1635,0)+1,-2,1,FERIADOS!$A$2:$A$250),"SÍ","NO")</x:f>
        <x:v>NO</x:v>
      </x:c>
      <x:c r="G1635" s="10" t="n">
        <x:f>IF(F1635="SÍ",EOMONTH(E1635,0)+1,DATE(YEAR(E1635),MONTH(E1635),1))</x:f>
        <x:v>47270</x:v>
      </x:c>
      <x:c r="H1635" t="str">
        <x:f>IF(D1635="NO",IF(C1635="SÍ","FERIADO","FIN DE SEMANA"),"LABORABLE")&amp;IF(F1635="SÍ"," + CIERRE","")</x:f>
        <x:v>LABORABLE</x:v>
      </x:c>
      <x:c r="I1635" t="str">
        <x:f>TEXT(G1635,"yyyy-mm")</x:f>
        <x:v>2029-06</x:v>
      </x:c>
    </x:row>
    <x:row r="1636" ht="19" customHeight="1">
      <x:c r="A1636" s="2" t="n">
        <x:v>47292</x:v>
      </x:c>
      <x:c r="B1636" t="str">
        <x:f>CHOOSE(WEEKDAY(A1636,2),"Lunes","Martes","Miércoles","Jueves","Viernes","Sábado","Domingo")</x:f>
        <x:v>Sábado</x:v>
      </x:c>
      <x:c r="C1636" t="str">
        <x:f>IF(COUNTIF(FERIADOS!$A$2:$A$250,A1636)&gt;0,"SÍ","NO")</x:f>
        <x:v>NO</x:v>
      </x:c>
      <x:c r="D1636" t="str">
        <x:f>IF(AND(WEEKDAY(A1636,2)&lt;=5,C1636="NO"),"SÍ","NO")</x:f>
        <x:v>NO</x:v>
      </x:c>
      <x:c r="E1636" s="2" t="n">
        <x:f>WORKDAY.INTL(A1636-1,1,1,FERIADOS!$A$2:$A$250)</x:f>
        <x:v>47294</x:v>
      </x:c>
      <x:c r="F1636" t="str">
        <x:f>IF(E1636&gt;=WORKDAY.INTL(EOMONTH(E1636,0)+1,-2,1,FERIADOS!$A$2:$A$250),"SÍ","NO")</x:f>
        <x:v>NO</x:v>
      </x:c>
      <x:c r="G1636" s="10" t="n">
        <x:f>IF(F1636="SÍ",EOMONTH(E1636,0)+1,DATE(YEAR(E1636),MONTH(E1636),1))</x:f>
        <x:v>47270</x:v>
      </x:c>
      <x:c r="H1636" t="str">
        <x:f>IF(D1636="NO",IF(C1636="SÍ","FERIADO","FIN DE SEMANA"),"LABORABLE")&amp;IF(F1636="SÍ"," + CIERRE","")</x:f>
        <x:v>FIN DE SEMANA</x:v>
      </x:c>
      <x:c r="I1636" t="str">
        <x:f>TEXT(G1636,"yyyy-mm")</x:f>
        <x:v>2029-06</x:v>
      </x:c>
    </x:row>
    <x:row r="1637" ht="19" customHeight="1">
      <x:c r="A1637" s="2" t="n">
        <x:v>47293</x:v>
      </x:c>
      <x:c r="B1637" t="str">
        <x:f>CHOOSE(WEEKDAY(A1637,2),"Lunes","Martes","Miércoles","Jueves","Viernes","Sábado","Domingo")</x:f>
        <x:v>Domingo</x:v>
      </x:c>
      <x:c r="C1637" t="str">
        <x:f>IF(COUNTIF(FERIADOS!$A$2:$A$250,A1637)&gt;0,"SÍ","NO")</x:f>
        <x:v>NO</x:v>
      </x:c>
      <x:c r="D1637" t="str">
        <x:f>IF(AND(WEEKDAY(A1637,2)&lt;=5,C1637="NO"),"SÍ","NO")</x:f>
        <x:v>NO</x:v>
      </x:c>
      <x:c r="E1637" s="2" t="n">
        <x:f>WORKDAY.INTL(A1637-1,1,1,FERIADOS!$A$2:$A$250)</x:f>
        <x:v>47294</x:v>
      </x:c>
      <x:c r="F1637" t="str">
        <x:f>IF(E1637&gt;=WORKDAY.INTL(EOMONTH(E1637,0)+1,-2,1,FERIADOS!$A$2:$A$250),"SÍ","NO")</x:f>
        <x:v>NO</x:v>
      </x:c>
      <x:c r="G1637" s="10" t="n">
        <x:f>IF(F1637="SÍ",EOMONTH(E1637,0)+1,DATE(YEAR(E1637),MONTH(E1637),1))</x:f>
        <x:v>47270</x:v>
      </x:c>
      <x:c r="H1637" t="str">
        <x:f>IF(D1637="NO",IF(C1637="SÍ","FERIADO","FIN DE SEMANA"),"LABORABLE")&amp;IF(F1637="SÍ"," + CIERRE","")</x:f>
        <x:v>FIN DE SEMANA</x:v>
      </x:c>
      <x:c r="I1637" t="str">
        <x:f>TEXT(G1637,"yyyy-mm")</x:f>
        <x:v>2029-06</x:v>
      </x:c>
    </x:row>
    <x:row r="1638" ht="19" customHeight="1">
      <x:c r="A1638" s="2" t="n">
        <x:v>47294</x:v>
      </x:c>
      <x:c r="B1638" t="str">
        <x:f>CHOOSE(WEEKDAY(A1638,2),"Lunes","Martes","Miércoles","Jueves","Viernes","Sábado","Domingo")</x:f>
        <x:v>Lunes</x:v>
      </x:c>
      <x:c r="C1638" t="str">
        <x:f>IF(COUNTIF(FERIADOS!$A$2:$A$250,A1638)&gt;0,"SÍ","NO")</x:f>
        <x:v>NO</x:v>
      </x:c>
      <x:c r="D1638" t="str">
        <x:f>IF(AND(WEEKDAY(A1638,2)&lt;=5,C1638="NO"),"SÍ","NO")</x:f>
        <x:v>SÍ</x:v>
      </x:c>
      <x:c r="E1638" s="2" t="n">
        <x:f>WORKDAY.INTL(A1638-1,1,1,FERIADOS!$A$2:$A$250)</x:f>
        <x:v>47294</x:v>
      </x:c>
      <x:c r="F1638" t="str">
        <x:f>IF(E1638&gt;=WORKDAY.INTL(EOMONTH(E1638,0)+1,-2,1,FERIADOS!$A$2:$A$250),"SÍ","NO")</x:f>
        <x:v>NO</x:v>
      </x:c>
      <x:c r="G1638" s="10" t="n">
        <x:f>IF(F1638="SÍ",EOMONTH(E1638,0)+1,DATE(YEAR(E1638),MONTH(E1638),1))</x:f>
        <x:v>47270</x:v>
      </x:c>
      <x:c r="H1638" t="str">
        <x:f>IF(D1638="NO",IF(C1638="SÍ","FERIADO","FIN DE SEMANA"),"LABORABLE")&amp;IF(F1638="SÍ"," + CIERRE","")</x:f>
        <x:v>LABORABLE</x:v>
      </x:c>
      <x:c r="I1638" t="str">
        <x:f>TEXT(G1638,"yyyy-mm")</x:f>
        <x:v>2029-06</x:v>
      </x:c>
    </x:row>
    <x:row r="1639" ht="19" customHeight="1">
      <x:c r="A1639" s="2" t="n">
        <x:v>47295</x:v>
      </x:c>
      <x:c r="B1639" t="str">
        <x:f>CHOOSE(WEEKDAY(A1639,2),"Lunes","Martes","Miércoles","Jueves","Viernes","Sábado","Domingo")</x:f>
        <x:v>Martes</x:v>
      </x:c>
      <x:c r="C1639" t="str">
        <x:f>IF(COUNTIF(FERIADOS!$A$2:$A$250,A1639)&gt;0,"SÍ","NO")</x:f>
        <x:v>NO</x:v>
      </x:c>
      <x:c r="D1639" t="str">
        <x:f>IF(AND(WEEKDAY(A1639,2)&lt;=5,C1639="NO"),"SÍ","NO")</x:f>
        <x:v>SÍ</x:v>
      </x:c>
      <x:c r="E1639" s="2" t="n">
        <x:f>WORKDAY.INTL(A1639-1,1,1,FERIADOS!$A$2:$A$250)</x:f>
        <x:v>47295</x:v>
      </x:c>
      <x:c r="F1639" t="str">
        <x:f>IF(E1639&gt;=WORKDAY.INTL(EOMONTH(E1639,0)+1,-2,1,FERIADOS!$A$2:$A$250),"SÍ","NO")</x:f>
        <x:v>NO</x:v>
      </x:c>
      <x:c r="G1639" s="10" t="n">
        <x:f>IF(F1639="SÍ",EOMONTH(E1639,0)+1,DATE(YEAR(E1639),MONTH(E1639),1))</x:f>
        <x:v>47270</x:v>
      </x:c>
      <x:c r="H1639" t="str">
        <x:f>IF(D1639="NO",IF(C1639="SÍ","FERIADO","FIN DE SEMANA"),"LABORABLE")&amp;IF(F1639="SÍ"," + CIERRE","")</x:f>
        <x:v>LABORABLE</x:v>
      </x:c>
      <x:c r="I1639" t="str">
        <x:f>TEXT(G1639,"yyyy-mm")</x:f>
        <x:v>2029-06</x:v>
      </x:c>
    </x:row>
    <x:row r="1640" ht="19" customHeight="1">
      <x:c r="A1640" s="2" t="n">
        <x:v>47296</x:v>
      </x:c>
      <x:c r="B1640" t="str">
        <x:f>CHOOSE(WEEKDAY(A1640,2),"Lunes","Martes","Miércoles","Jueves","Viernes","Sábado","Domingo")</x:f>
        <x:v>Miércoles</x:v>
      </x:c>
      <x:c r="C1640" t="str">
        <x:f>IF(COUNTIF(FERIADOS!$A$2:$A$250,A1640)&gt;0,"SÍ","NO")</x:f>
        <x:v>NO</x:v>
      </x:c>
      <x:c r="D1640" t="str">
        <x:f>IF(AND(WEEKDAY(A1640,2)&lt;=5,C1640="NO"),"SÍ","NO")</x:f>
        <x:v>SÍ</x:v>
      </x:c>
      <x:c r="E1640" s="2" t="n">
        <x:f>WORKDAY.INTL(A1640-1,1,1,FERIADOS!$A$2:$A$250)</x:f>
        <x:v>47296</x:v>
      </x:c>
      <x:c r="F1640" t="str">
        <x:f>IF(E1640&gt;=WORKDAY.INTL(EOMONTH(E1640,0)+1,-2,1,FERIADOS!$A$2:$A$250),"SÍ","NO")</x:f>
        <x:v>NO</x:v>
      </x:c>
      <x:c r="G1640" s="10" t="n">
        <x:f>IF(F1640="SÍ",EOMONTH(E1640,0)+1,DATE(YEAR(E1640),MONTH(E1640),1))</x:f>
        <x:v>47270</x:v>
      </x:c>
      <x:c r="H1640" t="str">
        <x:f>IF(D1640="NO",IF(C1640="SÍ","FERIADO","FIN DE SEMANA"),"LABORABLE")&amp;IF(F1640="SÍ"," + CIERRE","")</x:f>
        <x:v>LABORABLE</x:v>
      </x:c>
      <x:c r="I1640" t="str">
        <x:f>TEXT(G1640,"yyyy-mm")</x:f>
        <x:v>2029-06</x:v>
      </x:c>
    </x:row>
    <x:row r="1641" ht="19" customHeight="1">
      <x:c r="A1641" s="2" t="n">
        <x:v>47297</x:v>
      </x:c>
      <x:c r="B1641" t="str">
        <x:f>CHOOSE(WEEKDAY(A1641,2),"Lunes","Martes","Miércoles","Jueves","Viernes","Sábado","Domingo")</x:f>
        <x:v>Jueves</x:v>
      </x:c>
      <x:c r="C1641" t="str">
        <x:f>IF(COUNTIF(FERIADOS!$A$2:$A$250,A1641)&gt;0,"SÍ","NO")</x:f>
        <x:v>NO</x:v>
      </x:c>
      <x:c r="D1641" t="str">
        <x:f>IF(AND(WEEKDAY(A1641,2)&lt;=5,C1641="NO"),"SÍ","NO")</x:f>
        <x:v>SÍ</x:v>
      </x:c>
      <x:c r="E1641" s="2" t="n">
        <x:f>WORKDAY.INTL(A1641-1,1,1,FERIADOS!$A$2:$A$250)</x:f>
        <x:v>47297</x:v>
      </x:c>
      <x:c r="F1641" t="str">
        <x:f>IF(E1641&gt;=WORKDAY.INTL(EOMONTH(E1641,0)+1,-2,1,FERIADOS!$A$2:$A$250),"SÍ","NO")</x:f>
        <x:v>SÍ</x:v>
      </x:c>
      <x:c r="G1641" s="10" t="n">
        <x:f>IF(F1641="SÍ",EOMONTH(E1641,0)+1,DATE(YEAR(E1641),MONTH(E1641),1))</x:f>
        <x:v>47300</x:v>
      </x:c>
      <x:c r="H1641" t="str">
        <x:f>IF(D1641="NO",IF(C1641="SÍ","FERIADO","FIN DE SEMANA"),"LABORABLE")&amp;IF(F1641="SÍ"," + CIERRE","")</x:f>
        <x:v>LABORABLE + CIERRE</x:v>
      </x:c>
      <x:c r="I1641" t="str">
        <x:f>TEXT(G1641,"yyyy-mm")</x:f>
        <x:v>2029-07</x:v>
      </x:c>
    </x:row>
    <x:row r="1642" ht="19" customHeight="1">
      <x:c r="A1642" s="2" t="n">
        <x:v>47298</x:v>
      </x:c>
      <x:c r="B1642" t="str">
        <x:f>CHOOSE(WEEKDAY(A1642,2),"Lunes","Martes","Miércoles","Jueves","Viernes","Sábado","Domingo")</x:f>
        <x:v>Viernes</x:v>
      </x:c>
      <x:c r="C1642" t="str">
        <x:f>IF(COUNTIF(FERIADOS!$A$2:$A$250,A1642)&gt;0,"SÍ","NO")</x:f>
        <x:v>NO</x:v>
      </x:c>
      <x:c r="D1642" t="str">
        <x:f>IF(AND(WEEKDAY(A1642,2)&lt;=5,C1642="NO"),"SÍ","NO")</x:f>
        <x:v>SÍ</x:v>
      </x:c>
      <x:c r="E1642" s="2" t="n">
        <x:f>WORKDAY.INTL(A1642-1,1,1,FERIADOS!$A$2:$A$250)</x:f>
        <x:v>47298</x:v>
      </x:c>
      <x:c r="F1642" t="str">
        <x:f>IF(E1642&gt;=WORKDAY.INTL(EOMONTH(E1642,0)+1,-2,1,FERIADOS!$A$2:$A$250),"SÍ","NO")</x:f>
        <x:v>SÍ</x:v>
      </x:c>
      <x:c r="G1642" s="10" t="n">
        <x:f>IF(F1642="SÍ",EOMONTH(E1642,0)+1,DATE(YEAR(E1642),MONTH(E1642),1))</x:f>
        <x:v>47300</x:v>
      </x:c>
      <x:c r="H1642" t="str">
        <x:f>IF(D1642="NO",IF(C1642="SÍ","FERIADO","FIN DE SEMANA"),"LABORABLE")&amp;IF(F1642="SÍ"," + CIERRE","")</x:f>
        <x:v>LABORABLE + CIERRE</x:v>
      </x:c>
      <x:c r="I1642" t="str">
        <x:f>TEXT(G1642,"yyyy-mm")</x:f>
        <x:v>2029-07</x:v>
      </x:c>
    </x:row>
    <x:row r="1643" ht="19" customHeight="1">
      <x:c r="A1643" s="2" t="n">
        <x:v>47299</x:v>
      </x:c>
      <x:c r="B1643" t="str">
        <x:f>CHOOSE(WEEKDAY(A1643,2),"Lunes","Martes","Miércoles","Jueves","Viernes","Sábado","Domingo")</x:f>
        <x:v>Sábado</x:v>
      </x:c>
      <x:c r="C1643" t="str">
        <x:f>IF(COUNTIF(FERIADOS!$A$2:$A$250,A1643)&gt;0,"SÍ","NO")</x:f>
        <x:v>NO</x:v>
      </x:c>
      <x:c r="D1643" t="str">
        <x:f>IF(AND(WEEKDAY(A1643,2)&lt;=5,C1643="NO"),"SÍ","NO")</x:f>
        <x:v>NO</x:v>
      </x:c>
      <x:c r="E1643" s="2" t="n">
        <x:f>WORKDAY.INTL(A1643-1,1,1,FERIADOS!$A$2:$A$250)</x:f>
        <x:v>47301</x:v>
      </x:c>
      <x:c r="F1643" t="str">
        <x:f>IF(E1643&gt;=WORKDAY.INTL(EOMONTH(E1643,0)+1,-2,1,FERIADOS!$A$2:$A$250),"SÍ","NO")</x:f>
        <x:v>NO</x:v>
      </x:c>
      <x:c r="G1643" s="10" t="n">
        <x:f>IF(F1643="SÍ",EOMONTH(E1643,0)+1,DATE(YEAR(E1643),MONTH(E1643),1))</x:f>
        <x:v>47300</x:v>
      </x:c>
      <x:c r="H1643" t="str">
        <x:f>IF(D1643="NO",IF(C1643="SÍ","FERIADO","FIN DE SEMANA"),"LABORABLE")&amp;IF(F1643="SÍ"," + CIERRE","")</x:f>
        <x:v>FIN DE SEMANA</x:v>
      </x:c>
      <x:c r="I1643" t="str">
        <x:f>TEXT(G1643,"yyyy-mm")</x:f>
        <x:v>2029-07</x:v>
      </x:c>
    </x:row>
    <x:row r="1644" ht="19" customHeight="1">
      <x:c r="A1644" s="2" t="n">
        <x:v>47300</x:v>
      </x:c>
      <x:c r="B1644" t="str">
        <x:f>CHOOSE(WEEKDAY(A1644,2),"Lunes","Martes","Miércoles","Jueves","Viernes","Sábado","Domingo")</x:f>
        <x:v>Domingo</x:v>
      </x:c>
      <x:c r="C1644" t="str">
        <x:f>IF(COUNTIF(FERIADOS!$A$2:$A$250,A1644)&gt;0,"SÍ","NO")</x:f>
        <x:v>NO</x:v>
      </x:c>
      <x:c r="D1644" t="str">
        <x:f>IF(AND(WEEKDAY(A1644,2)&lt;=5,C1644="NO"),"SÍ","NO")</x:f>
        <x:v>NO</x:v>
      </x:c>
      <x:c r="E1644" s="2" t="n">
        <x:f>WORKDAY.INTL(A1644-1,1,1,FERIADOS!$A$2:$A$250)</x:f>
        <x:v>47301</x:v>
      </x:c>
      <x:c r="F1644" t="str">
        <x:f>IF(E1644&gt;=WORKDAY.INTL(EOMONTH(E1644,0)+1,-2,1,FERIADOS!$A$2:$A$250),"SÍ","NO")</x:f>
        <x:v>NO</x:v>
      </x:c>
      <x:c r="G1644" s="10" t="n">
        <x:f>IF(F1644="SÍ",EOMONTH(E1644,0)+1,DATE(YEAR(E1644),MONTH(E1644),1))</x:f>
        <x:v>47300</x:v>
      </x:c>
      <x:c r="H1644" t="str">
        <x:f>IF(D1644="NO",IF(C1644="SÍ","FERIADO","FIN DE SEMANA"),"LABORABLE")&amp;IF(F1644="SÍ"," + CIERRE","")</x:f>
        <x:v>FIN DE SEMANA</x:v>
      </x:c>
      <x:c r="I1644" t="str">
        <x:f>TEXT(G1644,"yyyy-mm")</x:f>
        <x:v>2029-07</x:v>
      </x:c>
    </x:row>
    <x:row r="1645" ht="19" customHeight="1">
      <x:c r="A1645" s="2" t="n">
        <x:v>47301</x:v>
      </x:c>
      <x:c r="B1645" t="str">
        <x:f>CHOOSE(WEEKDAY(A1645,2),"Lunes","Martes","Miércoles","Jueves","Viernes","Sábado","Domingo")</x:f>
        <x:v>Lunes</x:v>
      </x:c>
      <x:c r="C1645" t="str">
        <x:f>IF(COUNTIF(FERIADOS!$A$2:$A$250,A1645)&gt;0,"SÍ","NO")</x:f>
        <x:v>NO</x:v>
      </x:c>
      <x:c r="D1645" t="str">
        <x:f>IF(AND(WEEKDAY(A1645,2)&lt;=5,C1645="NO"),"SÍ","NO")</x:f>
        <x:v>SÍ</x:v>
      </x:c>
      <x:c r="E1645" s="2" t="n">
        <x:f>WORKDAY.INTL(A1645-1,1,1,FERIADOS!$A$2:$A$250)</x:f>
        <x:v>47301</x:v>
      </x:c>
      <x:c r="F1645" t="str">
        <x:f>IF(E1645&gt;=WORKDAY.INTL(EOMONTH(E1645,0)+1,-2,1,FERIADOS!$A$2:$A$250),"SÍ","NO")</x:f>
        <x:v>NO</x:v>
      </x:c>
      <x:c r="G1645" s="10" t="n">
        <x:f>IF(F1645="SÍ",EOMONTH(E1645,0)+1,DATE(YEAR(E1645),MONTH(E1645),1))</x:f>
        <x:v>47300</x:v>
      </x:c>
      <x:c r="H1645" t="str">
        <x:f>IF(D1645="NO",IF(C1645="SÍ","FERIADO","FIN DE SEMANA"),"LABORABLE")&amp;IF(F1645="SÍ"," + CIERRE","")</x:f>
        <x:v>LABORABLE</x:v>
      </x:c>
      <x:c r="I1645" t="str">
        <x:f>TEXT(G1645,"yyyy-mm")</x:f>
        <x:v>2029-07</x:v>
      </x:c>
    </x:row>
    <x:row r="1646" ht="19" customHeight="1">
      <x:c r="A1646" s="2" t="n">
        <x:v>47302</x:v>
      </x:c>
      <x:c r="B1646" t="str">
        <x:f>CHOOSE(WEEKDAY(A1646,2),"Lunes","Martes","Miércoles","Jueves","Viernes","Sábado","Domingo")</x:f>
        <x:v>Martes</x:v>
      </x:c>
      <x:c r="C1646" t="str">
        <x:f>IF(COUNTIF(FERIADOS!$A$2:$A$250,A1646)&gt;0,"SÍ","NO")</x:f>
        <x:v>NO</x:v>
      </x:c>
      <x:c r="D1646" t="str">
        <x:f>IF(AND(WEEKDAY(A1646,2)&lt;=5,C1646="NO"),"SÍ","NO")</x:f>
        <x:v>SÍ</x:v>
      </x:c>
      <x:c r="E1646" s="2" t="n">
        <x:f>WORKDAY.INTL(A1646-1,1,1,FERIADOS!$A$2:$A$250)</x:f>
        <x:v>47302</x:v>
      </x:c>
      <x:c r="F1646" t="str">
        <x:f>IF(E1646&gt;=WORKDAY.INTL(EOMONTH(E1646,0)+1,-2,1,FERIADOS!$A$2:$A$250),"SÍ","NO")</x:f>
        <x:v>NO</x:v>
      </x:c>
      <x:c r="G1646" s="10" t="n">
        <x:f>IF(F1646="SÍ",EOMONTH(E1646,0)+1,DATE(YEAR(E1646),MONTH(E1646),1))</x:f>
        <x:v>47300</x:v>
      </x:c>
      <x:c r="H1646" t="str">
        <x:f>IF(D1646="NO",IF(C1646="SÍ","FERIADO","FIN DE SEMANA"),"LABORABLE")&amp;IF(F1646="SÍ"," + CIERRE","")</x:f>
        <x:v>LABORABLE</x:v>
      </x:c>
      <x:c r="I1646" t="str">
        <x:f>TEXT(G1646,"yyyy-mm")</x:f>
        <x:v>2029-07</x:v>
      </x:c>
    </x:row>
    <x:row r="1647" ht="19" customHeight="1">
      <x:c r="A1647" s="2" t="n">
        <x:v>47303</x:v>
      </x:c>
      <x:c r="B1647" t="str">
        <x:f>CHOOSE(WEEKDAY(A1647,2),"Lunes","Martes","Miércoles","Jueves","Viernes","Sábado","Domingo")</x:f>
        <x:v>Miércoles</x:v>
      </x:c>
      <x:c r="C1647" t="str">
        <x:f>IF(COUNTIF(FERIADOS!$A$2:$A$250,A1647)&gt;0,"SÍ","NO")</x:f>
        <x:v>NO</x:v>
      </x:c>
      <x:c r="D1647" t="str">
        <x:f>IF(AND(WEEKDAY(A1647,2)&lt;=5,C1647="NO"),"SÍ","NO")</x:f>
        <x:v>SÍ</x:v>
      </x:c>
      <x:c r="E1647" s="2" t="n">
        <x:f>WORKDAY.INTL(A1647-1,1,1,FERIADOS!$A$2:$A$250)</x:f>
        <x:v>47303</x:v>
      </x:c>
      <x:c r="F1647" t="str">
        <x:f>IF(E1647&gt;=WORKDAY.INTL(EOMONTH(E1647,0)+1,-2,1,FERIADOS!$A$2:$A$250),"SÍ","NO")</x:f>
        <x:v>NO</x:v>
      </x:c>
      <x:c r="G1647" s="10" t="n">
        <x:f>IF(F1647="SÍ",EOMONTH(E1647,0)+1,DATE(YEAR(E1647),MONTH(E1647),1))</x:f>
        <x:v>47300</x:v>
      </x:c>
      <x:c r="H1647" t="str">
        <x:f>IF(D1647="NO",IF(C1647="SÍ","FERIADO","FIN DE SEMANA"),"LABORABLE")&amp;IF(F1647="SÍ"," + CIERRE","")</x:f>
        <x:v>LABORABLE</x:v>
      </x:c>
      <x:c r="I1647" t="str">
        <x:f>TEXT(G1647,"yyyy-mm")</x:f>
        <x:v>2029-07</x:v>
      </x:c>
    </x:row>
    <x:row r="1648" ht="19" customHeight="1">
      <x:c r="A1648" s="2" t="n">
        <x:v>47304</x:v>
      </x:c>
      <x:c r="B1648" t="str">
        <x:f>CHOOSE(WEEKDAY(A1648,2),"Lunes","Martes","Miércoles","Jueves","Viernes","Sábado","Domingo")</x:f>
        <x:v>Jueves</x:v>
      </x:c>
      <x:c r="C1648" t="str">
        <x:f>IF(COUNTIF(FERIADOS!$A$2:$A$250,A1648)&gt;0,"SÍ","NO")</x:f>
        <x:v>NO</x:v>
      </x:c>
      <x:c r="D1648" t="str">
        <x:f>IF(AND(WEEKDAY(A1648,2)&lt;=5,C1648="NO"),"SÍ","NO")</x:f>
        <x:v>SÍ</x:v>
      </x:c>
      <x:c r="E1648" s="2" t="n">
        <x:f>WORKDAY.INTL(A1648-1,1,1,FERIADOS!$A$2:$A$250)</x:f>
        <x:v>47304</x:v>
      </x:c>
      <x:c r="F1648" t="str">
        <x:f>IF(E1648&gt;=WORKDAY.INTL(EOMONTH(E1648,0)+1,-2,1,FERIADOS!$A$2:$A$250),"SÍ","NO")</x:f>
        <x:v>NO</x:v>
      </x:c>
      <x:c r="G1648" s="10" t="n">
        <x:f>IF(F1648="SÍ",EOMONTH(E1648,0)+1,DATE(YEAR(E1648),MONTH(E1648),1))</x:f>
        <x:v>47300</x:v>
      </x:c>
      <x:c r="H1648" t="str">
        <x:f>IF(D1648="NO",IF(C1648="SÍ","FERIADO","FIN DE SEMANA"),"LABORABLE")&amp;IF(F1648="SÍ"," + CIERRE","")</x:f>
        <x:v>LABORABLE</x:v>
      </x:c>
      <x:c r="I1648" t="str">
        <x:f>TEXT(G1648,"yyyy-mm")</x:f>
        <x:v>2029-07</x:v>
      </x:c>
    </x:row>
    <x:row r="1649" ht="19" customHeight="1">
      <x:c r="A1649" s="2" t="n">
        <x:v>47305</x:v>
      </x:c>
      <x:c r="B1649" t="str">
        <x:f>CHOOSE(WEEKDAY(A1649,2),"Lunes","Martes","Miércoles","Jueves","Viernes","Sábado","Domingo")</x:f>
        <x:v>Viernes</x:v>
      </x:c>
      <x:c r="C1649" t="str">
        <x:f>IF(COUNTIF(FERIADOS!$A$2:$A$250,A1649)&gt;0,"SÍ","NO")</x:f>
        <x:v>NO</x:v>
      </x:c>
      <x:c r="D1649" t="str">
        <x:f>IF(AND(WEEKDAY(A1649,2)&lt;=5,C1649="NO"),"SÍ","NO")</x:f>
        <x:v>SÍ</x:v>
      </x:c>
      <x:c r="E1649" s="2" t="n">
        <x:f>WORKDAY.INTL(A1649-1,1,1,FERIADOS!$A$2:$A$250)</x:f>
        <x:v>47305</x:v>
      </x:c>
      <x:c r="F1649" t="str">
        <x:f>IF(E1649&gt;=WORKDAY.INTL(EOMONTH(E1649,0)+1,-2,1,FERIADOS!$A$2:$A$250),"SÍ","NO")</x:f>
        <x:v>NO</x:v>
      </x:c>
      <x:c r="G1649" s="10" t="n">
        <x:f>IF(F1649="SÍ",EOMONTH(E1649,0)+1,DATE(YEAR(E1649),MONTH(E1649),1))</x:f>
        <x:v>47300</x:v>
      </x:c>
      <x:c r="H1649" t="str">
        <x:f>IF(D1649="NO",IF(C1649="SÍ","FERIADO","FIN DE SEMANA"),"LABORABLE")&amp;IF(F1649="SÍ"," + CIERRE","")</x:f>
        <x:v>LABORABLE</x:v>
      </x:c>
      <x:c r="I1649" t="str">
        <x:f>TEXT(G1649,"yyyy-mm")</x:f>
        <x:v>2029-07</x:v>
      </x:c>
    </x:row>
    <x:row r="1650" ht="19" customHeight="1">
      <x:c r="A1650" s="2" t="n">
        <x:v>47306</x:v>
      </x:c>
      <x:c r="B1650" t="str">
        <x:f>CHOOSE(WEEKDAY(A1650,2),"Lunes","Martes","Miércoles","Jueves","Viernes","Sábado","Domingo")</x:f>
        <x:v>Sábado</x:v>
      </x:c>
      <x:c r="C1650" t="str">
        <x:f>IF(COUNTIF(FERIADOS!$A$2:$A$250,A1650)&gt;0,"SÍ","NO")</x:f>
        <x:v>NO</x:v>
      </x:c>
      <x:c r="D1650" t="str">
        <x:f>IF(AND(WEEKDAY(A1650,2)&lt;=5,C1650="NO"),"SÍ","NO")</x:f>
        <x:v>NO</x:v>
      </x:c>
      <x:c r="E1650" s="2" t="n">
        <x:f>WORKDAY.INTL(A1650-1,1,1,FERIADOS!$A$2:$A$250)</x:f>
        <x:v>47308</x:v>
      </x:c>
      <x:c r="F1650" t="str">
        <x:f>IF(E1650&gt;=WORKDAY.INTL(EOMONTH(E1650,0)+1,-2,1,FERIADOS!$A$2:$A$250),"SÍ","NO")</x:f>
        <x:v>NO</x:v>
      </x:c>
      <x:c r="G1650" s="10" t="n">
        <x:f>IF(F1650="SÍ",EOMONTH(E1650,0)+1,DATE(YEAR(E1650),MONTH(E1650),1))</x:f>
        <x:v>47300</x:v>
      </x:c>
      <x:c r="H1650" t="str">
        <x:f>IF(D1650="NO",IF(C1650="SÍ","FERIADO","FIN DE SEMANA"),"LABORABLE")&amp;IF(F1650="SÍ"," + CIERRE","")</x:f>
        <x:v>FIN DE SEMANA</x:v>
      </x:c>
      <x:c r="I1650" t="str">
        <x:f>TEXT(G1650,"yyyy-mm")</x:f>
        <x:v>2029-07</x:v>
      </x:c>
    </x:row>
    <x:row r="1651" ht="19" customHeight="1">
      <x:c r="A1651" s="2" t="n">
        <x:v>47307</x:v>
      </x:c>
      <x:c r="B1651" t="str">
        <x:f>CHOOSE(WEEKDAY(A1651,2),"Lunes","Martes","Miércoles","Jueves","Viernes","Sábado","Domingo")</x:f>
        <x:v>Domingo</x:v>
      </x:c>
      <x:c r="C1651" t="str">
        <x:f>IF(COUNTIF(FERIADOS!$A$2:$A$250,A1651)&gt;0,"SÍ","NO")</x:f>
        <x:v>NO</x:v>
      </x:c>
      <x:c r="D1651" t="str">
        <x:f>IF(AND(WEEKDAY(A1651,2)&lt;=5,C1651="NO"),"SÍ","NO")</x:f>
        <x:v>NO</x:v>
      </x:c>
      <x:c r="E1651" s="2" t="n">
        <x:f>WORKDAY.INTL(A1651-1,1,1,FERIADOS!$A$2:$A$250)</x:f>
        <x:v>47308</x:v>
      </x:c>
      <x:c r="F1651" t="str">
        <x:f>IF(E1651&gt;=WORKDAY.INTL(EOMONTH(E1651,0)+1,-2,1,FERIADOS!$A$2:$A$250),"SÍ","NO")</x:f>
        <x:v>NO</x:v>
      </x:c>
      <x:c r="G1651" s="10" t="n">
        <x:f>IF(F1651="SÍ",EOMONTH(E1651,0)+1,DATE(YEAR(E1651),MONTH(E1651),1))</x:f>
        <x:v>47300</x:v>
      </x:c>
      <x:c r="H1651" t="str">
        <x:f>IF(D1651="NO",IF(C1651="SÍ","FERIADO","FIN DE SEMANA"),"LABORABLE")&amp;IF(F1651="SÍ"," + CIERRE","")</x:f>
        <x:v>FIN DE SEMANA</x:v>
      </x:c>
      <x:c r="I1651" t="str">
        <x:f>TEXT(G1651,"yyyy-mm")</x:f>
        <x:v>2029-07</x:v>
      </x:c>
    </x:row>
    <x:row r="1652" ht="19" customHeight="1">
      <x:c r="A1652" s="2" t="n">
        <x:v>47308</x:v>
      </x:c>
      <x:c r="B1652" t="str">
        <x:f>CHOOSE(WEEKDAY(A1652,2),"Lunes","Martes","Miércoles","Jueves","Viernes","Sábado","Domingo")</x:f>
        <x:v>Lunes</x:v>
      </x:c>
      <x:c r="C1652" t="str">
        <x:f>IF(COUNTIF(FERIADOS!$A$2:$A$250,A1652)&gt;0,"SÍ","NO")</x:f>
        <x:v>NO</x:v>
      </x:c>
      <x:c r="D1652" t="str">
        <x:f>IF(AND(WEEKDAY(A1652,2)&lt;=5,C1652="NO"),"SÍ","NO")</x:f>
        <x:v>SÍ</x:v>
      </x:c>
      <x:c r="E1652" s="2" t="n">
        <x:f>WORKDAY.INTL(A1652-1,1,1,FERIADOS!$A$2:$A$250)</x:f>
        <x:v>47308</x:v>
      </x:c>
      <x:c r="F1652" t="str">
        <x:f>IF(E1652&gt;=WORKDAY.INTL(EOMONTH(E1652,0)+1,-2,1,FERIADOS!$A$2:$A$250),"SÍ","NO")</x:f>
        <x:v>NO</x:v>
      </x:c>
      <x:c r="G1652" s="10" t="n">
        <x:f>IF(F1652="SÍ",EOMONTH(E1652,0)+1,DATE(YEAR(E1652),MONTH(E1652),1))</x:f>
        <x:v>47300</x:v>
      </x:c>
      <x:c r="H1652" t="str">
        <x:f>IF(D1652="NO",IF(C1652="SÍ","FERIADO","FIN DE SEMANA"),"LABORABLE")&amp;IF(F1652="SÍ"," + CIERRE","")</x:f>
        <x:v>LABORABLE</x:v>
      </x:c>
      <x:c r="I1652" t="str">
        <x:f>TEXT(G1652,"yyyy-mm")</x:f>
        <x:v>2029-07</x:v>
      </x:c>
    </x:row>
    <x:row r="1653" ht="19" customHeight="1">
      <x:c r="A1653" s="2" t="n">
        <x:v>47309</x:v>
      </x:c>
      <x:c r="B1653" t="str">
        <x:f>CHOOSE(WEEKDAY(A1653,2),"Lunes","Martes","Miércoles","Jueves","Viernes","Sábado","Domingo")</x:f>
        <x:v>Martes</x:v>
      </x:c>
      <x:c r="C1653" t="str">
        <x:f>IF(COUNTIF(FERIADOS!$A$2:$A$250,A1653)&gt;0,"SÍ","NO")</x:f>
        <x:v>NO</x:v>
      </x:c>
      <x:c r="D1653" t="str">
        <x:f>IF(AND(WEEKDAY(A1653,2)&lt;=5,C1653="NO"),"SÍ","NO")</x:f>
        <x:v>SÍ</x:v>
      </x:c>
      <x:c r="E1653" s="2" t="n">
        <x:f>WORKDAY.INTL(A1653-1,1,1,FERIADOS!$A$2:$A$250)</x:f>
        <x:v>47309</x:v>
      </x:c>
      <x:c r="F1653" t="str">
        <x:f>IF(E1653&gt;=WORKDAY.INTL(EOMONTH(E1653,0)+1,-2,1,FERIADOS!$A$2:$A$250),"SÍ","NO")</x:f>
        <x:v>NO</x:v>
      </x:c>
      <x:c r="G1653" s="10" t="n">
        <x:f>IF(F1653="SÍ",EOMONTH(E1653,0)+1,DATE(YEAR(E1653),MONTH(E1653),1))</x:f>
        <x:v>47300</x:v>
      </x:c>
      <x:c r="H1653" t="str">
        <x:f>IF(D1653="NO",IF(C1653="SÍ","FERIADO","FIN DE SEMANA"),"LABORABLE")&amp;IF(F1653="SÍ"," + CIERRE","")</x:f>
        <x:v>LABORABLE</x:v>
      </x:c>
      <x:c r="I1653" t="str">
        <x:f>TEXT(G1653,"yyyy-mm")</x:f>
        <x:v>2029-07</x:v>
      </x:c>
    </x:row>
    <x:row r="1654" ht="19" customHeight="1">
      <x:c r="A1654" s="2" t="n">
        <x:v>47310</x:v>
      </x:c>
      <x:c r="B1654" t="str">
        <x:f>CHOOSE(WEEKDAY(A1654,2),"Lunes","Martes","Miércoles","Jueves","Viernes","Sábado","Domingo")</x:f>
        <x:v>Miércoles</x:v>
      </x:c>
      <x:c r="C1654" t="str">
        <x:f>IF(COUNTIF(FERIADOS!$A$2:$A$250,A1654)&gt;0,"SÍ","NO")</x:f>
        <x:v>NO</x:v>
      </x:c>
      <x:c r="D1654" t="str">
        <x:f>IF(AND(WEEKDAY(A1654,2)&lt;=5,C1654="NO"),"SÍ","NO")</x:f>
        <x:v>SÍ</x:v>
      </x:c>
      <x:c r="E1654" s="2" t="n">
        <x:f>WORKDAY.INTL(A1654-1,1,1,FERIADOS!$A$2:$A$250)</x:f>
        <x:v>47310</x:v>
      </x:c>
      <x:c r="F1654" t="str">
        <x:f>IF(E1654&gt;=WORKDAY.INTL(EOMONTH(E1654,0)+1,-2,1,FERIADOS!$A$2:$A$250),"SÍ","NO")</x:f>
        <x:v>NO</x:v>
      </x:c>
      <x:c r="G1654" s="10" t="n">
        <x:f>IF(F1654="SÍ",EOMONTH(E1654,0)+1,DATE(YEAR(E1654),MONTH(E1654),1))</x:f>
        <x:v>47300</x:v>
      </x:c>
      <x:c r="H1654" t="str">
        <x:f>IF(D1654="NO",IF(C1654="SÍ","FERIADO","FIN DE SEMANA"),"LABORABLE")&amp;IF(F1654="SÍ"," + CIERRE","")</x:f>
        <x:v>LABORABLE</x:v>
      </x:c>
      <x:c r="I1654" t="str">
        <x:f>TEXT(G1654,"yyyy-mm")</x:f>
        <x:v>2029-07</x:v>
      </x:c>
    </x:row>
    <x:row r="1655" ht="19" customHeight="1">
      <x:c r="A1655" s="2" t="n">
        <x:v>47311</x:v>
      </x:c>
      <x:c r="B1655" t="str">
        <x:f>CHOOSE(WEEKDAY(A1655,2),"Lunes","Martes","Miércoles","Jueves","Viernes","Sábado","Domingo")</x:f>
        <x:v>Jueves</x:v>
      </x:c>
      <x:c r="C1655" t="str">
        <x:f>IF(COUNTIF(FERIADOS!$A$2:$A$250,A1655)&gt;0,"SÍ","NO")</x:f>
        <x:v>NO</x:v>
      </x:c>
      <x:c r="D1655" t="str">
        <x:f>IF(AND(WEEKDAY(A1655,2)&lt;=5,C1655="NO"),"SÍ","NO")</x:f>
        <x:v>SÍ</x:v>
      </x:c>
      <x:c r="E1655" s="2" t="n">
        <x:f>WORKDAY.INTL(A1655-1,1,1,FERIADOS!$A$2:$A$250)</x:f>
        <x:v>47311</x:v>
      </x:c>
      <x:c r="F1655" t="str">
        <x:f>IF(E1655&gt;=WORKDAY.INTL(EOMONTH(E1655,0)+1,-2,1,FERIADOS!$A$2:$A$250),"SÍ","NO")</x:f>
        <x:v>NO</x:v>
      </x:c>
      <x:c r="G1655" s="10" t="n">
        <x:f>IF(F1655="SÍ",EOMONTH(E1655,0)+1,DATE(YEAR(E1655),MONTH(E1655),1))</x:f>
        <x:v>47300</x:v>
      </x:c>
      <x:c r="H1655" t="str">
        <x:f>IF(D1655="NO",IF(C1655="SÍ","FERIADO","FIN DE SEMANA"),"LABORABLE")&amp;IF(F1655="SÍ"," + CIERRE","")</x:f>
        <x:v>LABORABLE</x:v>
      </x:c>
      <x:c r="I1655" t="str">
        <x:f>TEXT(G1655,"yyyy-mm")</x:f>
        <x:v>2029-07</x:v>
      </x:c>
    </x:row>
    <x:row r="1656" ht="19" customHeight="1">
      <x:c r="A1656" s="2" t="n">
        <x:v>47312</x:v>
      </x:c>
      <x:c r="B1656" t="str">
        <x:f>CHOOSE(WEEKDAY(A1656,2),"Lunes","Martes","Miércoles","Jueves","Viernes","Sábado","Domingo")</x:f>
        <x:v>Viernes</x:v>
      </x:c>
      <x:c r="C1656" t="str">
        <x:f>IF(COUNTIF(FERIADOS!$A$2:$A$250,A1656)&gt;0,"SÍ","NO")</x:f>
        <x:v>NO</x:v>
      </x:c>
      <x:c r="D1656" t="str">
        <x:f>IF(AND(WEEKDAY(A1656,2)&lt;=5,C1656="NO"),"SÍ","NO")</x:f>
        <x:v>SÍ</x:v>
      </x:c>
      <x:c r="E1656" s="2" t="n">
        <x:f>WORKDAY.INTL(A1656-1,1,1,FERIADOS!$A$2:$A$250)</x:f>
        <x:v>47312</x:v>
      </x:c>
      <x:c r="F1656" t="str">
        <x:f>IF(E1656&gt;=WORKDAY.INTL(EOMONTH(E1656,0)+1,-2,1,FERIADOS!$A$2:$A$250),"SÍ","NO")</x:f>
        <x:v>NO</x:v>
      </x:c>
      <x:c r="G1656" s="10" t="n">
        <x:f>IF(F1656="SÍ",EOMONTH(E1656,0)+1,DATE(YEAR(E1656),MONTH(E1656),1))</x:f>
        <x:v>47300</x:v>
      </x:c>
      <x:c r="H1656" t="str">
        <x:f>IF(D1656="NO",IF(C1656="SÍ","FERIADO","FIN DE SEMANA"),"LABORABLE")&amp;IF(F1656="SÍ"," + CIERRE","")</x:f>
        <x:v>LABORABLE</x:v>
      </x:c>
      <x:c r="I1656" t="str">
        <x:f>TEXT(G1656,"yyyy-mm")</x:f>
        <x:v>2029-07</x:v>
      </x:c>
    </x:row>
    <x:row r="1657" ht="19" customHeight="1">
      <x:c r="A1657" s="2" t="n">
        <x:v>47313</x:v>
      </x:c>
      <x:c r="B1657" t="str">
        <x:f>CHOOSE(WEEKDAY(A1657,2),"Lunes","Martes","Miércoles","Jueves","Viernes","Sábado","Domingo")</x:f>
        <x:v>Sábado</x:v>
      </x:c>
      <x:c r="C1657" t="str">
        <x:f>IF(COUNTIF(FERIADOS!$A$2:$A$250,A1657)&gt;0,"SÍ","NO")</x:f>
        <x:v>NO</x:v>
      </x:c>
      <x:c r="D1657" t="str">
        <x:f>IF(AND(WEEKDAY(A1657,2)&lt;=5,C1657="NO"),"SÍ","NO")</x:f>
        <x:v>NO</x:v>
      </x:c>
      <x:c r="E1657" s="2" t="n">
        <x:f>WORKDAY.INTL(A1657-1,1,1,FERIADOS!$A$2:$A$250)</x:f>
        <x:v>47315</x:v>
      </x:c>
      <x:c r="F1657" t="str">
        <x:f>IF(E1657&gt;=WORKDAY.INTL(EOMONTH(E1657,0)+1,-2,1,FERIADOS!$A$2:$A$250),"SÍ","NO")</x:f>
        <x:v>NO</x:v>
      </x:c>
      <x:c r="G1657" s="10" t="n">
        <x:f>IF(F1657="SÍ",EOMONTH(E1657,0)+1,DATE(YEAR(E1657),MONTH(E1657),1))</x:f>
        <x:v>47300</x:v>
      </x:c>
      <x:c r="H1657" t="str">
        <x:f>IF(D1657="NO",IF(C1657="SÍ","FERIADO","FIN DE SEMANA"),"LABORABLE")&amp;IF(F1657="SÍ"," + CIERRE","")</x:f>
        <x:v>FIN DE SEMANA</x:v>
      </x:c>
      <x:c r="I1657" t="str">
        <x:f>TEXT(G1657,"yyyy-mm")</x:f>
        <x:v>2029-07</x:v>
      </x:c>
    </x:row>
    <x:row r="1658" ht="19" customHeight="1">
      <x:c r="A1658" s="2" t="n">
        <x:v>47314</x:v>
      </x:c>
      <x:c r="B1658" t="str">
        <x:f>CHOOSE(WEEKDAY(A1658,2),"Lunes","Martes","Miércoles","Jueves","Viernes","Sábado","Domingo")</x:f>
        <x:v>Domingo</x:v>
      </x:c>
      <x:c r="C1658" t="str">
        <x:f>IF(COUNTIF(FERIADOS!$A$2:$A$250,A1658)&gt;0,"SÍ","NO")</x:f>
        <x:v>NO</x:v>
      </x:c>
      <x:c r="D1658" t="str">
        <x:f>IF(AND(WEEKDAY(A1658,2)&lt;=5,C1658="NO"),"SÍ","NO")</x:f>
        <x:v>NO</x:v>
      </x:c>
      <x:c r="E1658" s="2" t="n">
        <x:f>WORKDAY.INTL(A1658-1,1,1,FERIADOS!$A$2:$A$250)</x:f>
        <x:v>47315</x:v>
      </x:c>
      <x:c r="F1658" t="str">
        <x:f>IF(E1658&gt;=WORKDAY.INTL(EOMONTH(E1658,0)+1,-2,1,FERIADOS!$A$2:$A$250),"SÍ","NO")</x:f>
        <x:v>NO</x:v>
      </x:c>
      <x:c r="G1658" s="10" t="n">
        <x:f>IF(F1658="SÍ",EOMONTH(E1658,0)+1,DATE(YEAR(E1658),MONTH(E1658),1))</x:f>
        <x:v>47300</x:v>
      </x:c>
      <x:c r="H1658" t="str">
        <x:f>IF(D1658="NO",IF(C1658="SÍ","FERIADO","FIN DE SEMANA"),"LABORABLE")&amp;IF(F1658="SÍ"," + CIERRE","")</x:f>
        <x:v>FIN DE SEMANA</x:v>
      </x:c>
      <x:c r="I1658" t="str">
        <x:f>TEXT(G1658,"yyyy-mm")</x:f>
        <x:v>2029-07</x:v>
      </x:c>
    </x:row>
    <x:row r="1659" ht="19" customHeight="1">
      <x:c r="A1659" s="2" t="n">
        <x:v>47315</x:v>
      </x:c>
      <x:c r="B1659" t="str">
        <x:f>CHOOSE(WEEKDAY(A1659,2),"Lunes","Martes","Miércoles","Jueves","Viernes","Sábado","Domingo")</x:f>
        <x:v>Lunes</x:v>
      </x:c>
      <x:c r="C1659" t="str">
        <x:f>IF(COUNTIF(FERIADOS!$A$2:$A$250,A1659)&gt;0,"SÍ","NO")</x:f>
        <x:v>NO</x:v>
      </x:c>
      <x:c r="D1659" t="str">
        <x:f>IF(AND(WEEKDAY(A1659,2)&lt;=5,C1659="NO"),"SÍ","NO")</x:f>
        <x:v>SÍ</x:v>
      </x:c>
      <x:c r="E1659" s="2" t="n">
        <x:f>WORKDAY.INTL(A1659-1,1,1,FERIADOS!$A$2:$A$250)</x:f>
        <x:v>47315</x:v>
      </x:c>
      <x:c r="F1659" t="str">
        <x:f>IF(E1659&gt;=WORKDAY.INTL(EOMONTH(E1659,0)+1,-2,1,FERIADOS!$A$2:$A$250),"SÍ","NO")</x:f>
        <x:v>NO</x:v>
      </x:c>
      <x:c r="G1659" s="10" t="n">
        <x:f>IF(F1659="SÍ",EOMONTH(E1659,0)+1,DATE(YEAR(E1659),MONTH(E1659),1))</x:f>
        <x:v>47300</x:v>
      </x:c>
      <x:c r="H1659" t="str">
        <x:f>IF(D1659="NO",IF(C1659="SÍ","FERIADO","FIN DE SEMANA"),"LABORABLE")&amp;IF(F1659="SÍ"," + CIERRE","")</x:f>
        <x:v>LABORABLE</x:v>
      </x:c>
      <x:c r="I1659" t="str">
        <x:f>TEXT(G1659,"yyyy-mm")</x:f>
        <x:v>2029-07</x:v>
      </x:c>
    </x:row>
    <x:row r="1660" ht="19" customHeight="1">
      <x:c r="A1660" s="2" t="n">
        <x:v>47316</x:v>
      </x:c>
      <x:c r="B1660" t="str">
        <x:f>CHOOSE(WEEKDAY(A1660,2),"Lunes","Martes","Miércoles","Jueves","Viernes","Sábado","Domingo")</x:f>
        <x:v>Martes</x:v>
      </x:c>
      <x:c r="C1660" t="str">
        <x:f>IF(COUNTIF(FERIADOS!$A$2:$A$250,A1660)&gt;0,"SÍ","NO")</x:f>
        <x:v>NO</x:v>
      </x:c>
      <x:c r="D1660" t="str">
        <x:f>IF(AND(WEEKDAY(A1660,2)&lt;=5,C1660="NO"),"SÍ","NO")</x:f>
        <x:v>SÍ</x:v>
      </x:c>
      <x:c r="E1660" s="2" t="n">
        <x:f>WORKDAY.INTL(A1660-1,1,1,FERIADOS!$A$2:$A$250)</x:f>
        <x:v>47316</x:v>
      </x:c>
      <x:c r="F1660" t="str">
        <x:f>IF(E1660&gt;=WORKDAY.INTL(EOMONTH(E1660,0)+1,-2,1,FERIADOS!$A$2:$A$250),"SÍ","NO")</x:f>
        <x:v>NO</x:v>
      </x:c>
      <x:c r="G1660" s="10" t="n">
        <x:f>IF(F1660="SÍ",EOMONTH(E1660,0)+1,DATE(YEAR(E1660),MONTH(E1660),1))</x:f>
        <x:v>47300</x:v>
      </x:c>
      <x:c r="H1660" t="str">
        <x:f>IF(D1660="NO",IF(C1660="SÍ","FERIADO","FIN DE SEMANA"),"LABORABLE")&amp;IF(F1660="SÍ"," + CIERRE","")</x:f>
        <x:v>LABORABLE</x:v>
      </x:c>
      <x:c r="I1660" t="str">
        <x:f>TEXT(G1660,"yyyy-mm")</x:f>
        <x:v>2029-07</x:v>
      </x:c>
    </x:row>
    <x:row r="1661" ht="19" customHeight="1">
      <x:c r="A1661" s="2" t="n">
        <x:v>47317</x:v>
      </x:c>
      <x:c r="B1661" t="str">
        <x:f>CHOOSE(WEEKDAY(A1661,2),"Lunes","Martes","Miércoles","Jueves","Viernes","Sábado","Domingo")</x:f>
        <x:v>Miércoles</x:v>
      </x:c>
      <x:c r="C1661" t="str">
        <x:f>IF(COUNTIF(FERIADOS!$A$2:$A$250,A1661)&gt;0,"SÍ","NO")</x:f>
        <x:v>NO</x:v>
      </x:c>
      <x:c r="D1661" t="str">
        <x:f>IF(AND(WEEKDAY(A1661,2)&lt;=5,C1661="NO"),"SÍ","NO")</x:f>
        <x:v>SÍ</x:v>
      </x:c>
      <x:c r="E1661" s="2" t="n">
        <x:f>WORKDAY.INTL(A1661-1,1,1,FERIADOS!$A$2:$A$250)</x:f>
        <x:v>47317</x:v>
      </x:c>
      <x:c r="F1661" t="str">
        <x:f>IF(E1661&gt;=WORKDAY.INTL(EOMONTH(E1661,0)+1,-2,1,FERIADOS!$A$2:$A$250),"SÍ","NO")</x:f>
        <x:v>NO</x:v>
      </x:c>
      <x:c r="G1661" s="10" t="n">
        <x:f>IF(F1661="SÍ",EOMONTH(E1661,0)+1,DATE(YEAR(E1661),MONTH(E1661),1))</x:f>
        <x:v>47300</x:v>
      </x:c>
      <x:c r="H1661" t="str">
        <x:f>IF(D1661="NO",IF(C1661="SÍ","FERIADO","FIN DE SEMANA"),"LABORABLE")&amp;IF(F1661="SÍ"," + CIERRE","")</x:f>
        <x:v>LABORABLE</x:v>
      </x:c>
      <x:c r="I1661" t="str">
        <x:f>TEXT(G1661,"yyyy-mm")</x:f>
        <x:v>2029-07</x:v>
      </x:c>
    </x:row>
    <x:row r="1662" ht="19" customHeight="1">
      <x:c r="A1662" s="2" t="n">
        <x:v>47318</x:v>
      </x:c>
      <x:c r="B1662" t="str">
        <x:f>CHOOSE(WEEKDAY(A1662,2),"Lunes","Martes","Miércoles","Jueves","Viernes","Sábado","Domingo")</x:f>
        <x:v>Jueves</x:v>
      </x:c>
      <x:c r="C1662" t="str">
        <x:f>IF(COUNTIF(FERIADOS!$A$2:$A$250,A1662)&gt;0,"SÍ","NO")</x:f>
        <x:v>NO</x:v>
      </x:c>
      <x:c r="D1662" t="str">
        <x:f>IF(AND(WEEKDAY(A1662,2)&lt;=5,C1662="NO"),"SÍ","NO")</x:f>
        <x:v>SÍ</x:v>
      </x:c>
      <x:c r="E1662" s="2" t="n">
        <x:f>WORKDAY.INTL(A1662-1,1,1,FERIADOS!$A$2:$A$250)</x:f>
        <x:v>47318</x:v>
      </x:c>
      <x:c r="F1662" t="str">
        <x:f>IF(E1662&gt;=WORKDAY.INTL(EOMONTH(E1662,0)+1,-2,1,FERIADOS!$A$2:$A$250),"SÍ","NO")</x:f>
        <x:v>NO</x:v>
      </x:c>
      <x:c r="G1662" s="10" t="n">
        <x:f>IF(F1662="SÍ",EOMONTH(E1662,0)+1,DATE(YEAR(E1662),MONTH(E1662),1))</x:f>
        <x:v>47300</x:v>
      </x:c>
      <x:c r="H1662" t="str">
        <x:f>IF(D1662="NO",IF(C1662="SÍ","FERIADO","FIN DE SEMANA"),"LABORABLE")&amp;IF(F1662="SÍ"," + CIERRE","")</x:f>
        <x:v>LABORABLE</x:v>
      </x:c>
      <x:c r="I1662" t="str">
        <x:f>TEXT(G1662,"yyyy-mm")</x:f>
        <x:v>2029-07</x:v>
      </x:c>
    </x:row>
    <x:row r="1663" ht="19" customHeight="1">
      <x:c r="A1663" s="2" t="n">
        <x:v>47319</x:v>
      </x:c>
      <x:c r="B1663" t="str">
        <x:f>CHOOSE(WEEKDAY(A1663,2),"Lunes","Martes","Miércoles","Jueves","Viernes","Sábado","Domingo")</x:f>
        <x:v>Viernes</x:v>
      </x:c>
      <x:c r="C1663" t="str">
        <x:f>IF(COUNTIF(FERIADOS!$A$2:$A$250,A1663)&gt;0,"SÍ","NO")</x:f>
        <x:v>NO</x:v>
      </x:c>
      <x:c r="D1663" t="str">
        <x:f>IF(AND(WEEKDAY(A1663,2)&lt;=5,C1663="NO"),"SÍ","NO")</x:f>
        <x:v>SÍ</x:v>
      </x:c>
      <x:c r="E1663" s="2" t="n">
        <x:f>WORKDAY.INTL(A1663-1,1,1,FERIADOS!$A$2:$A$250)</x:f>
        <x:v>47319</x:v>
      </x:c>
      <x:c r="F1663" t="str">
        <x:f>IF(E1663&gt;=WORKDAY.INTL(EOMONTH(E1663,0)+1,-2,1,FERIADOS!$A$2:$A$250),"SÍ","NO")</x:f>
        <x:v>NO</x:v>
      </x:c>
      <x:c r="G1663" s="10" t="n">
        <x:f>IF(F1663="SÍ",EOMONTH(E1663,0)+1,DATE(YEAR(E1663),MONTH(E1663),1))</x:f>
        <x:v>47300</x:v>
      </x:c>
      <x:c r="H1663" t="str">
        <x:f>IF(D1663="NO",IF(C1663="SÍ","FERIADO","FIN DE SEMANA"),"LABORABLE")&amp;IF(F1663="SÍ"," + CIERRE","")</x:f>
        <x:v>LABORABLE</x:v>
      </x:c>
      <x:c r="I1663" t="str">
        <x:f>TEXT(G1663,"yyyy-mm")</x:f>
        <x:v>2029-07</x:v>
      </x:c>
    </x:row>
    <x:row r="1664" ht="19" customHeight="1">
      <x:c r="A1664" s="2" t="n">
        <x:v>47320</x:v>
      </x:c>
      <x:c r="B1664" t="str">
        <x:f>CHOOSE(WEEKDAY(A1664,2),"Lunes","Martes","Miércoles","Jueves","Viernes","Sábado","Domingo")</x:f>
        <x:v>Sábado</x:v>
      </x:c>
      <x:c r="C1664" t="str">
        <x:f>IF(COUNTIF(FERIADOS!$A$2:$A$250,A1664)&gt;0,"SÍ","NO")</x:f>
        <x:v>NO</x:v>
      </x:c>
      <x:c r="D1664" t="str">
        <x:f>IF(AND(WEEKDAY(A1664,2)&lt;=5,C1664="NO"),"SÍ","NO")</x:f>
        <x:v>NO</x:v>
      </x:c>
      <x:c r="E1664" s="2" t="n">
        <x:f>WORKDAY.INTL(A1664-1,1,1,FERIADOS!$A$2:$A$250)</x:f>
        <x:v>47322</x:v>
      </x:c>
      <x:c r="F1664" t="str">
        <x:f>IF(E1664&gt;=WORKDAY.INTL(EOMONTH(E1664,0)+1,-2,1,FERIADOS!$A$2:$A$250),"SÍ","NO")</x:f>
        <x:v>NO</x:v>
      </x:c>
      <x:c r="G1664" s="10" t="n">
        <x:f>IF(F1664="SÍ",EOMONTH(E1664,0)+1,DATE(YEAR(E1664),MONTH(E1664),1))</x:f>
        <x:v>47300</x:v>
      </x:c>
      <x:c r="H1664" t="str">
        <x:f>IF(D1664="NO",IF(C1664="SÍ","FERIADO","FIN DE SEMANA"),"LABORABLE")&amp;IF(F1664="SÍ"," + CIERRE","")</x:f>
        <x:v>FIN DE SEMANA</x:v>
      </x:c>
      <x:c r="I1664" t="str">
        <x:f>TEXT(G1664,"yyyy-mm")</x:f>
        <x:v>2029-07</x:v>
      </x:c>
    </x:row>
    <x:row r="1665" ht="19" customHeight="1">
      <x:c r="A1665" s="2" t="n">
        <x:v>47321</x:v>
      </x:c>
      <x:c r="B1665" t="str">
        <x:f>CHOOSE(WEEKDAY(A1665,2),"Lunes","Martes","Miércoles","Jueves","Viernes","Sábado","Domingo")</x:f>
        <x:v>Domingo</x:v>
      </x:c>
      <x:c r="C1665" t="str">
        <x:f>IF(COUNTIF(FERIADOS!$A$2:$A$250,A1665)&gt;0,"SÍ","NO")</x:f>
        <x:v>NO</x:v>
      </x:c>
      <x:c r="D1665" t="str">
        <x:f>IF(AND(WEEKDAY(A1665,2)&lt;=5,C1665="NO"),"SÍ","NO")</x:f>
        <x:v>NO</x:v>
      </x:c>
      <x:c r="E1665" s="2" t="n">
        <x:f>WORKDAY.INTL(A1665-1,1,1,FERIADOS!$A$2:$A$250)</x:f>
        <x:v>47322</x:v>
      </x:c>
      <x:c r="F1665" t="str">
        <x:f>IF(E1665&gt;=WORKDAY.INTL(EOMONTH(E1665,0)+1,-2,1,FERIADOS!$A$2:$A$250),"SÍ","NO")</x:f>
        <x:v>NO</x:v>
      </x:c>
      <x:c r="G1665" s="10" t="n">
        <x:f>IF(F1665="SÍ",EOMONTH(E1665,0)+1,DATE(YEAR(E1665),MONTH(E1665),1))</x:f>
        <x:v>47300</x:v>
      </x:c>
      <x:c r="H1665" t="str">
        <x:f>IF(D1665="NO",IF(C1665="SÍ","FERIADO","FIN DE SEMANA"),"LABORABLE")&amp;IF(F1665="SÍ"," + CIERRE","")</x:f>
        <x:v>FIN DE SEMANA</x:v>
      </x:c>
      <x:c r="I1665" t="str">
        <x:f>TEXT(G1665,"yyyy-mm")</x:f>
        <x:v>2029-07</x:v>
      </x:c>
    </x:row>
    <x:row r="1666" ht="19" customHeight="1">
      <x:c r="A1666" s="2" t="n">
        <x:v>47322</x:v>
      </x:c>
      <x:c r="B1666" t="str">
        <x:f>CHOOSE(WEEKDAY(A1666,2),"Lunes","Martes","Miércoles","Jueves","Viernes","Sábado","Domingo")</x:f>
        <x:v>Lunes</x:v>
      </x:c>
      <x:c r="C1666" t="str">
        <x:f>IF(COUNTIF(FERIADOS!$A$2:$A$250,A1666)&gt;0,"SÍ","NO")</x:f>
        <x:v>NO</x:v>
      </x:c>
      <x:c r="D1666" t="str">
        <x:f>IF(AND(WEEKDAY(A1666,2)&lt;=5,C1666="NO"),"SÍ","NO")</x:f>
        <x:v>SÍ</x:v>
      </x:c>
      <x:c r="E1666" s="2" t="n">
        <x:f>WORKDAY.INTL(A1666-1,1,1,FERIADOS!$A$2:$A$250)</x:f>
        <x:v>47322</x:v>
      </x:c>
      <x:c r="F1666" t="str">
        <x:f>IF(E1666&gt;=WORKDAY.INTL(EOMONTH(E1666,0)+1,-2,1,FERIADOS!$A$2:$A$250),"SÍ","NO")</x:f>
        <x:v>NO</x:v>
      </x:c>
      <x:c r="G1666" s="10" t="n">
        <x:f>IF(F1666="SÍ",EOMONTH(E1666,0)+1,DATE(YEAR(E1666),MONTH(E1666),1))</x:f>
        <x:v>47300</x:v>
      </x:c>
      <x:c r="H1666" t="str">
        <x:f>IF(D1666="NO",IF(C1666="SÍ","FERIADO","FIN DE SEMANA"),"LABORABLE")&amp;IF(F1666="SÍ"," + CIERRE","")</x:f>
        <x:v>LABORABLE</x:v>
      </x:c>
      <x:c r="I1666" t="str">
        <x:f>TEXT(G1666,"yyyy-mm")</x:f>
        <x:v>2029-07</x:v>
      </x:c>
    </x:row>
    <x:row r="1667" ht="19" customHeight="1">
      <x:c r="A1667" s="2" t="n">
        <x:v>47323</x:v>
      </x:c>
      <x:c r="B1667" t="str">
        <x:f>CHOOSE(WEEKDAY(A1667,2),"Lunes","Martes","Miércoles","Jueves","Viernes","Sábado","Domingo")</x:f>
        <x:v>Martes</x:v>
      </x:c>
      <x:c r="C1667" t="str">
        <x:f>IF(COUNTIF(FERIADOS!$A$2:$A$250,A1667)&gt;0,"SÍ","NO")</x:f>
        <x:v>NO</x:v>
      </x:c>
      <x:c r="D1667" t="str">
        <x:f>IF(AND(WEEKDAY(A1667,2)&lt;=5,C1667="NO"),"SÍ","NO")</x:f>
        <x:v>SÍ</x:v>
      </x:c>
      <x:c r="E1667" s="2" t="n">
        <x:f>WORKDAY.INTL(A1667-1,1,1,FERIADOS!$A$2:$A$250)</x:f>
        <x:v>47323</x:v>
      </x:c>
      <x:c r="F1667" t="str">
        <x:f>IF(E1667&gt;=WORKDAY.INTL(EOMONTH(E1667,0)+1,-2,1,FERIADOS!$A$2:$A$250),"SÍ","NO")</x:f>
        <x:v>NO</x:v>
      </x:c>
      <x:c r="G1667" s="10" t="n">
        <x:f>IF(F1667="SÍ",EOMONTH(E1667,0)+1,DATE(YEAR(E1667),MONTH(E1667),1))</x:f>
        <x:v>47300</x:v>
      </x:c>
      <x:c r="H1667" t="str">
        <x:f>IF(D1667="NO",IF(C1667="SÍ","FERIADO","FIN DE SEMANA"),"LABORABLE")&amp;IF(F1667="SÍ"," + CIERRE","")</x:f>
        <x:v>LABORABLE</x:v>
      </x:c>
      <x:c r="I1667" t="str">
        <x:f>TEXT(G1667,"yyyy-mm")</x:f>
        <x:v>2029-07</x:v>
      </x:c>
    </x:row>
    <x:row r="1668" ht="19" customHeight="1">
      <x:c r="A1668" s="2" t="n">
        <x:v>47324</x:v>
      </x:c>
      <x:c r="B1668" t="str">
        <x:f>CHOOSE(WEEKDAY(A1668,2),"Lunes","Martes","Miércoles","Jueves","Viernes","Sábado","Domingo")</x:f>
        <x:v>Miércoles</x:v>
      </x:c>
      <x:c r="C1668" t="str">
        <x:f>IF(COUNTIF(FERIADOS!$A$2:$A$250,A1668)&gt;0,"SÍ","NO")</x:f>
        <x:v>NO</x:v>
      </x:c>
      <x:c r="D1668" t="str">
        <x:f>IF(AND(WEEKDAY(A1668,2)&lt;=5,C1668="NO"),"SÍ","NO")</x:f>
        <x:v>SÍ</x:v>
      </x:c>
      <x:c r="E1668" s="2" t="n">
        <x:f>WORKDAY.INTL(A1668-1,1,1,FERIADOS!$A$2:$A$250)</x:f>
        <x:v>47324</x:v>
      </x:c>
      <x:c r="F1668" t="str">
        <x:f>IF(E1668&gt;=WORKDAY.INTL(EOMONTH(E1668,0)+1,-2,1,FERIADOS!$A$2:$A$250),"SÍ","NO")</x:f>
        <x:v>NO</x:v>
      </x:c>
      <x:c r="G1668" s="10" t="n">
        <x:f>IF(F1668="SÍ",EOMONTH(E1668,0)+1,DATE(YEAR(E1668),MONTH(E1668),1))</x:f>
        <x:v>47300</x:v>
      </x:c>
      <x:c r="H1668" t="str">
        <x:f>IF(D1668="NO",IF(C1668="SÍ","FERIADO","FIN DE SEMANA"),"LABORABLE")&amp;IF(F1668="SÍ"," + CIERRE","")</x:f>
        <x:v>LABORABLE</x:v>
      </x:c>
      <x:c r="I1668" t="str">
        <x:f>TEXT(G1668,"yyyy-mm")</x:f>
        <x:v>2029-07</x:v>
      </x:c>
    </x:row>
    <x:row r="1669" ht="19" customHeight="1">
      <x:c r="A1669" s="2" t="n">
        <x:v>47325</x:v>
      </x:c>
      <x:c r="B1669" t="str">
        <x:f>CHOOSE(WEEKDAY(A1669,2),"Lunes","Martes","Miércoles","Jueves","Viernes","Sábado","Domingo")</x:f>
        <x:v>Jueves</x:v>
      </x:c>
      <x:c r="C1669" t="str">
        <x:f>IF(COUNTIF(FERIADOS!$A$2:$A$250,A1669)&gt;0,"SÍ","NO")</x:f>
        <x:v>NO</x:v>
      </x:c>
      <x:c r="D1669" t="str">
        <x:f>IF(AND(WEEKDAY(A1669,2)&lt;=5,C1669="NO"),"SÍ","NO")</x:f>
        <x:v>SÍ</x:v>
      </x:c>
      <x:c r="E1669" s="2" t="n">
        <x:f>WORKDAY.INTL(A1669-1,1,1,FERIADOS!$A$2:$A$250)</x:f>
        <x:v>47325</x:v>
      </x:c>
      <x:c r="F1669" t="str">
        <x:f>IF(E1669&gt;=WORKDAY.INTL(EOMONTH(E1669,0)+1,-2,1,FERIADOS!$A$2:$A$250),"SÍ","NO")</x:f>
        <x:v>NO</x:v>
      </x:c>
      <x:c r="G1669" s="10" t="n">
        <x:f>IF(F1669="SÍ",EOMONTH(E1669,0)+1,DATE(YEAR(E1669),MONTH(E1669),1))</x:f>
        <x:v>47300</x:v>
      </x:c>
      <x:c r="H1669" t="str">
        <x:f>IF(D1669="NO",IF(C1669="SÍ","FERIADO","FIN DE SEMANA"),"LABORABLE")&amp;IF(F1669="SÍ"," + CIERRE","")</x:f>
        <x:v>LABORABLE</x:v>
      </x:c>
      <x:c r="I1669" t="str">
        <x:f>TEXT(G1669,"yyyy-mm")</x:f>
        <x:v>2029-07</x:v>
      </x:c>
    </x:row>
    <x:row r="1670" ht="19" customHeight="1">
      <x:c r="A1670" s="2" t="n">
        <x:v>47326</x:v>
      </x:c>
      <x:c r="B1670" t="str">
        <x:f>CHOOSE(WEEKDAY(A1670,2),"Lunes","Martes","Miércoles","Jueves","Viernes","Sábado","Domingo")</x:f>
        <x:v>Viernes</x:v>
      </x:c>
      <x:c r="C1670" t="str">
        <x:f>IF(COUNTIF(FERIADOS!$A$2:$A$250,A1670)&gt;0,"SÍ","NO")</x:f>
        <x:v>NO</x:v>
      </x:c>
      <x:c r="D1670" t="str">
        <x:f>IF(AND(WEEKDAY(A1670,2)&lt;=5,C1670="NO"),"SÍ","NO")</x:f>
        <x:v>SÍ</x:v>
      </x:c>
      <x:c r="E1670" s="2" t="n">
        <x:f>WORKDAY.INTL(A1670-1,1,1,FERIADOS!$A$2:$A$250)</x:f>
        <x:v>47326</x:v>
      </x:c>
      <x:c r="F1670" t="str">
        <x:f>IF(E1670&gt;=WORKDAY.INTL(EOMONTH(E1670,0)+1,-2,1,FERIADOS!$A$2:$A$250),"SÍ","NO")</x:f>
        <x:v>NO</x:v>
      </x:c>
      <x:c r="G1670" s="10" t="n">
        <x:f>IF(F1670="SÍ",EOMONTH(E1670,0)+1,DATE(YEAR(E1670),MONTH(E1670),1))</x:f>
        <x:v>47300</x:v>
      </x:c>
      <x:c r="H1670" t="str">
        <x:f>IF(D1670="NO",IF(C1670="SÍ","FERIADO","FIN DE SEMANA"),"LABORABLE")&amp;IF(F1670="SÍ"," + CIERRE","")</x:f>
        <x:v>LABORABLE</x:v>
      </x:c>
      <x:c r="I1670" t="str">
        <x:f>TEXT(G1670,"yyyy-mm")</x:f>
        <x:v>2029-07</x:v>
      </x:c>
    </x:row>
    <x:row r="1671" ht="19" customHeight="1">
      <x:c r="A1671" s="2" t="n">
        <x:v>47327</x:v>
      </x:c>
      <x:c r="B1671" t="str">
        <x:f>CHOOSE(WEEKDAY(A1671,2),"Lunes","Martes","Miércoles","Jueves","Viernes","Sábado","Domingo")</x:f>
        <x:v>Sábado</x:v>
      </x:c>
      <x:c r="C1671" t="str">
        <x:f>IF(COUNTIF(FERIADOS!$A$2:$A$250,A1671)&gt;0,"SÍ","NO")</x:f>
        <x:v>NO</x:v>
      </x:c>
      <x:c r="D1671" t="str">
        <x:f>IF(AND(WEEKDAY(A1671,2)&lt;=5,C1671="NO"),"SÍ","NO")</x:f>
        <x:v>NO</x:v>
      </x:c>
      <x:c r="E1671" s="2" t="n">
        <x:f>WORKDAY.INTL(A1671-1,1,1,FERIADOS!$A$2:$A$250)</x:f>
        <x:v>47329</x:v>
      </x:c>
      <x:c r="F1671" t="str">
        <x:f>IF(E1671&gt;=WORKDAY.INTL(EOMONTH(E1671,0)+1,-2,1,FERIADOS!$A$2:$A$250),"SÍ","NO")</x:f>
        <x:v>SÍ</x:v>
      </x:c>
      <x:c r="G1671" s="10" t="n">
        <x:f>IF(F1671="SÍ",EOMONTH(E1671,0)+1,DATE(YEAR(E1671),MONTH(E1671),1))</x:f>
        <x:v>47331</x:v>
      </x:c>
      <x:c r="H1671" t="str">
        <x:f>IF(D1671="NO",IF(C1671="SÍ","FERIADO","FIN DE SEMANA"),"LABORABLE")&amp;IF(F1671="SÍ"," + CIERRE","")</x:f>
        <x:v>FIN DE SEMANA + CIERRE</x:v>
      </x:c>
      <x:c r="I1671" t="str">
        <x:f>TEXT(G1671,"yyyy-mm")</x:f>
        <x:v>2029-08</x:v>
      </x:c>
    </x:row>
    <x:row r="1672" ht="19" customHeight="1">
      <x:c r="A1672" s="2" t="n">
        <x:v>47328</x:v>
      </x:c>
      <x:c r="B1672" t="str">
        <x:f>CHOOSE(WEEKDAY(A1672,2),"Lunes","Martes","Miércoles","Jueves","Viernes","Sábado","Domingo")</x:f>
        <x:v>Domingo</x:v>
      </x:c>
      <x:c r="C1672" t="str">
        <x:f>IF(COUNTIF(FERIADOS!$A$2:$A$250,A1672)&gt;0,"SÍ","NO")</x:f>
        <x:v>NO</x:v>
      </x:c>
      <x:c r="D1672" t="str">
        <x:f>IF(AND(WEEKDAY(A1672,2)&lt;=5,C1672="NO"),"SÍ","NO")</x:f>
        <x:v>NO</x:v>
      </x:c>
      <x:c r="E1672" s="2" t="n">
        <x:f>WORKDAY.INTL(A1672-1,1,1,FERIADOS!$A$2:$A$250)</x:f>
        <x:v>47329</x:v>
      </x:c>
      <x:c r="F1672" t="str">
        <x:f>IF(E1672&gt;=WORKDAY.INTL(EOMONTH(E1672,0)+1,-2,1,FERIADOS!$A$2:$A$250),"SÍ","NO")</x:f>
        <x:v>SÍ</x:v>
      </x:c>
      <x:c r="G1672" s="10" t="n">
        <x:f>IF(F1672="SÍ",EOMONTH(E1672,0)+1,DATE(YEAR(E1672),MONTH(E1672),1))</x:f>
        <x:v>47331</x:v>
      </x:c>
      <x:c r="H1672" t="str">
        <x:f>IF(D1672="NO",IF(C1672="SÍ","FERIADO","FIN DE SEMANA"),"LABORABLE")&amp;IF(F1672="SÍ"," + CIERRE","")</x:f>
        <x:v>FIN DE SEMANA + CIERRE</x:v>
      </x:c>
      <x:c r="I1672" t="str">
        <x:f>TEXT(G1672,"yyyy-mm")</x:f>
        <x:v>2029-08</x:v>
      </x:c>
    </x:row>
    <x:row r="1673" ht="19" customHeight="1">
      <x:c r="A1673" s="2" t="n">
        <x:v>47329</x:v>
      </x:c>
      <x:c r="B1673" t="str">
        <x:f>CHOOSE(WEEKDAY(A1673,2),"Lunes","Martes","Miércoles","Jueves","Viernes","Sábado","Domingo")</x:f>
        <x:v>Lunes</x:v>
      </x:c>
      <x:c r="C1673" t="str">
        <x:f>IF(COUNTIF(FERIADOS!$A$2:$A$250,A1673)&gt;0,"SÍ","NO")</x:f>
        <x:v>NO</x:v>
      </x:c>
      <x:c r="D1673" t="str">
        <x:f>IF(AND(WEEKDAY(A1673,2)&lt;=5,C1673="NO"),"SÍ","NO")</x:f>
        <x:v>SÍ</x:v>
      </x:c>
      <x:c r="E1673" s="2" t="n">
        <x:f>WORKDAY.INTL(A1673-1,1,1,FERIADOS!$A$2:$A$250)</x:f>
        <x:v>47329</x:v>
      </x:c>
      <x:c r="F1673" t="str">
        <x:f>IF(E1673&gt;=WORKDAY.INTL(EOMONTH(E1673,0)+1,-2,1,FERIADOS!$A$2:$A$250),"SÍ","NO")</x:f>
        <x:v>SÍ</x:v>
      </x:c>
      <x:c r="G1673" s="10" t="n">
        <x:f>IF(F1673="SÍ",EOMONTH(E1673,0)+1,DATE(YEAR(E1673),MONTH(E1673),1))</x:f>
        <x:v>47331</x:v>
      </x:c>
      <x:c r="H1673" t="str">
        <x:f>IF(D1673="NO",IF(C1673="SÍ","FERIADO","FIN DE SEMANA"),"LABORABLE")&amp;IF(F1673="SÍ"," + CIERRE","")</x:f>
        <x:v>LABORABLE + CIERRE</x:v>
      </x:c>
      <x:c r="I1673" t="str">
        <x:f>TEXT(G1673,"yyyy-mm")</x:f>
        <x:v>2029-08</x:v>
      </x:c>
    </x:row>
    <x:row r="1674" ht="19" customHeight="1">
      <x:c r="A1674" s="2" t="n">
        <x:v>47330</x:v>
      </x:c>
      <x:c r="B1674" t="str">
        <x:f>CHOOSE(WEEKDAY(A1674,2),"Lunes","Martes","Miércoles","Jueves","Viernes","Sábado","Domingo")</x:f>
        <x:v>Martes</x:v>
      </x:c>
      <x:c r="C1674" t="str">
        <x:f>IF(COUNTIF(FERIADOS!$A$2:$A$250,A1674)&gt;0,"SÍ","NO")</x:f>
        <x:v>NO</x:v>
      </x:c>
      <x:c r="D1674" t="str">
        <x:f>IF(AND(WEEKDAY(A1674,2)&lt;=5,C1674="NO"),"SÍ","NO")</x:f>
        <x:v>SÍ</x:v>
      </x:c>
      <x:c r="E1674" s="2" t="n">
        <x:f>WORKDAY.INTL(A1674-1,1,1,FERIADOS!$A$2:$A$250)</x:f>
        <x:v>47330</x:v>
      </x:c>
      <x:c r="F1674" t="str">
        <x:f>IF(E1674&gt;=WORKDAY.INTL(EOMONTH(E1674,0)+1,-2,1,FERIADOS!$A$2:$A$250),"SÍ","NO")</x:f>
        <x:v>SÍ</x:v>
      </x:c>
      <x:c r="G1674" s="10" t="n">
        <x:f>IF(F1674="SÍ",EOMONTH(E1674,0)+1,DATE(YEAR(E1674),MONTH(E1674),1))</x:f>
        <x:v>47331</x:v>
      </x:c>
      <x:c r="H1674" t="str">
        <x:f>IF(D1674="NO",IF(C1674="SÍ","FERIADO","FIN DE SEMANA"),"LABORABLE")&amp;IF(F1674="SÍ"," + CIERRE","")</x:f>
        <x:v>LABORABLE + CIERRE</x:v>
      </x:c>
      <x:c r="I1674" t="str">
        <x:f>TEXT(G1674,"yyyy-mm")</x:f>
        <x:v>2029-08</x:v>
      </x:c>
    </x:row>
    <x:row r="1675" ht="19" customHeight="1">
      <x:c r="A1675" s="2" t="n">
        <x:v>47331</x:v>
      </x:c>
      <x:c r="B1675" t="str">
        <x:f>CHOOSE(WEEKDAY(A1675,2),"Lunes","Martes","Miércoles","Jueves","Viernes","Sábado","Domingo")</x:f>
        <x:v>Miércoles</x:v>
      </x:c>
      <x:c r="C1675" t="str">
        <x:f>IF(COUNTIF(FERIADOS!$A$2:$A$250,A1675)&gt;0,"SÍ","NO")</x:f>
        <x:v>NO</x:v>
      </x:c>
      <x:c r="D1675" t="str">
        <x:f>IF(AND(WEEKDAY(A1675,2)&lt;=5,C1675="NO"),"SÍ","NO")</x:f>
        <x:v>SÍ</x:v>
      </x:c>
      <x:c r="E1675" s="2" t="n">
        <x:f>WORKDAY.INTL(A1675-1,1,1,FERIADOS!$A$2:$A$250)</x:f>
        <x:v>47331</x:v>
      </x:c>
      <x:c r="F1675" t="str">
        <x:f>IF(E1675&gt;=WORKDAY.INTL(EOMONTH(E1675,0)+1,-2,1,FERIADOS!$A$2:$A$250),"SÍ","NO")</x:f>
        <x:v>NO</x:v>
      </x:c>
      <x:c r="G1675" s="10" t="n">
        <x:f>IF(F1675="SÍ",EOMONTH(E1675,0)+1,DATE(YEAR(E1675),MONTH(E1675),1))</x:f>
        <x:v>47331</x:v>
      </x:c>
      <x:c r="H1675" t="str">
        <x:f>IF(D1675="NO",IF(C1675="SÍ","FERIADO","FIN DE SEMANA"),"LABORABLE")&amp;IF(F1675="SÍ"," + CIERRE","")</x:f>
        <x:v>LABORABLE</x:v>
      </x:c>
      <x:c r="I1675" t="str">
        <x:f>TEXT(G1675,"yyyy-mm")</x:f>
        <x:v>2029-08</x:v>
      </x:c>
    </x:row>
    <x:row r="1676" ht="19" customHeight="1">
      <x:c r="A1676" s="2" t="n">
        <x:v>47332</x:v>
      </x:c>
      <x:c r="B1676" t="str">
        <x:f>CHOOSE(WEEKDAY(A1676,2),"Lunes","Martes","Miércoles","Jueves","Viernes","Sábado","Domingo")</x:f>
        <x:v>Jueves</x:v>
      </x:c>
      <x:c r="C1676" t="str">
        <x:f>IF(COUNTIF(FERIADOS!$A$2:$A$250,A1676)&gt;0,"SÍ","NO")</x:f>
        <x:v>NO</x:v>
      </x:c>
      <x:c r="D1676" t="str">
        <x:f>IF(AND(WEEKDAY(A1676,2)&lt;=5,C1676="NO"),"SÍ","NO")</x:f>
        <x:v>SÍ</x:v>
      </x:c>
      <x:c r="E1676" s="2" t="n">
        <x:f>WORKDAY.INTL(A1676-1,1,1,FERIADOS!$A$2:$A$250)</x:f>
        <x:v>47332</x:v>
      </x:c>
      <x:c r="F1676" t="str">
        <x:f>IF(E1676&gt;=WORKDAY.INTL(EOMONTH(E1676,0)+1,-2,1,FERIADOS!$A$2:$A$250),"SÍ","NO")</x:f>
        <x:v>NO</x:v>
      </x:c>
      <x:c r="G1676" s="10" t="n">
        <x:f>IF(F1676="SÍ",EOMONTH(E1676,0)+1,DATE(YEAR(E1676),MONTH(E1676),1))</x:f>
        <x:v>47331</x:v>
      </x:c>
      <x:c r="H1676" t="str">
        <x:f>IF(D1676="NO",IF(C1676="SÍ","FERIADO","FIN DE SEMANA"),"LABORABLE")&amp;IF(F1676="SÍ"," + CIERRE","")</x:f>
        <x:v>LABORABLE</x:v>
      </x:c>
      <x:c r="I1676" t="str">
        <x:f>TEXT(G1676,"yyyy-mm")</x:f>
        <x:v>2029-08</x:v>
      </x:c>
    </x:row>
    <x:row r="1677" ht="19" customHeight="1">
      <x:c r="A1677" s="2" t="n">
        <x:v>47333</x:v>
      </x:c>
      <x:c r="B1677" t="str">
        <x:f>CHOOSE(WEEKDAY(A1677,2),"Lunes","Martes","Miércoles","Jueves","Viernes","Sábado","Domingo")</x:f>
        <x:v>Viernes</x:v>
      </x:c>
      <x:c r="C1677" t="str">
        <x:f>IF(COUNTIF(FERIADOS!$A$2:$A$250,A1677)&gt;0,"SÍ","NO")</x:f>
        <x:v>NO</x:v>
      </x:c>
      <x:c r="D1677" t="str">
        <x:f>IF(AND(WEEKDAY(A1677,2)&lt;=5,C1677="NO"),"SÍ","NO")</x:f>
        <x:v>SÍ</x:v>
      </x:c>
      <x:c r="E1677" s="2" t="n">
        <x:f>WORKDAY.INTL(A1677-1,1,1,FERIADOS!$A$2:$A$250)</x:f>
        <x:v>47333</x:v>
      </x:c>
      <x:c r="F1677" t="str">
        <x:f>IF(E1677&gt;=WORKDAY.INTL(EOMONTH(E1677,0)+1,-2,1,FERIADOS!$A$2:$A$250),"SÍ","NO")</x:f>
        <x:v>NO</x:v>
      </x:c>
      <x:c r="G1677" s="10" t="n">
        <x:f>IF(F1677="SÍ",EOMONTH(E1677,0)+1,DATE(YEAR(E1677),MONTH(E1677),1))</x:f>
        <x:v>47331</x:v>
      </x:c>
      <x:c r="H1677" t="str">
        <x:f>IF(D1677="NO",IF(C1677="SÍ","FERIADO","FIN DE SEMANA"),"LABORABLE")&amp;IF(F1677="SÍ"," + CIERRE","")</x:f>
        <x:v>LABORABLE</x:v>
      </x:c>
      <x:c r="I1677" t="str">
        <x:f>TEXT(G1677,"yyyy-mm")</x:f>
        <x:v>2029-08</x:v>
      </x:c>
    </x:row>
    <x:row r="1678" ht="19" customHeight="1">
      <x:c r="A1678" s="2" t="n">
        <x:v>47334</x:v>
      </x:c>
      <x:c r="B1678" t="str">
        <x:f>CHOOSE(WEEKDAY(A1678,2),"Lunes","Martes","Miércoles","Jueves","Viernes","Sábado","Domingo")</x:f>
        <x:v>Sábado</x:v>
      </x:c>
      <x:c r="C1678" t="str">
        <x:f>IF(COUNTIF(FERIADOS!$A$2:$A$250,A1678)&gt;0,"SÍ","NO")</x:f>
        <x:v>NO</x:v>
      </x:c>
      <x:c r="D1678" t="str">
        <x:f>IF(AND(WEEKDAY(A1678,2)&lt;=5,C1678="NO"),"SÍ","NO")</x:f>
        <x:v>NO</x:v>
      </x:c>
      <x:c r="E1678" s="2" t="n">
        <x:f>WORKDAY.INTL(A1678-1,1,1,FERIADOS!$A$2:$A$250)</x:f>
        <x:v>47336</x:v>
      </x:c>
      <x:c r="F1678" t="str">
        <x:f>IF(E1678&gt;=WORKDAY.INTL(EOMONTH(E1678,0)+1,-2,1,FERIADOS!$A$2:$A$250),"SÍ","NO")</x:f>
        <x:v>NO</x:v>
      </x:c>
      <x:c r="G1678" s="10" t="n">
        <x:f>IF(F1678="SÍ",EOMONTH(E1678,0)+1,DATE(YEAR(E1678),MONTH(E1678),1))</x:f>
        <x:v>47331</x:v>
      </x:c>
      <x:c r="H1678" t="str">
        <x:f>IF(D1678="NO",IF(C1678="SÍ","FERIADO","FIN DE SEMANA"),"LABORABLE")&amp;IF(F1678="SÍ"," + CIERRE","")</x:f>
        <x:v>FIN DE SEMANA</x:v>
      </x:c>
      <x:c r="I1678" t="str">
        <x:f>TEXT(G1678,"yyyy-mm")</x:f>
        <x:v>2029-08</x:v>
      </x:c>
    </x:row>
    <x:row r="1679" ht="19" customHeight="1">
      <x:c r="A1679" s="2" t="n">
        <x:v>47335</x:v>
      </x:c>
      <x:c r="B1679" t="str">
        <x:f>CHOOSE(WEEKDAY(A1679,2),"Lunes","Martes","Miércoles","Jueves","Viernes","Sábado","Domingo")</x:f>
        <x:v>Domingo</x:v>
      </x:c>
      <x:c r="C1679" t="str">
        <x:f>IF(COUNTIF(FERIADOS!$A$2:$A$250,A1679)&gt;0,"SÍ","NO")</x:f>
        <x:v>NO</x:v>
      </x:c>
      <x:c r="D1679" t="str">
        <x:f>IF(AND(WEEKDAY(A1679,2)&lt;=5,C1679="NO"),"SÍ","NO")</x:f>
        <x:v>NO</x:v>
      </x:c>
      <x:c r="E1679" s="2" t="n">
        <x:f>WORKDAY.INTL(A1679-1,1,1,FERIADOS!$A$2:$A$250)</x:f>
        <x:v>47336</x:v>
      </x:c>
      <x:c r="F1679" t="str">
        <x:f>IF(E1679&gt;=WORKDAY.INTL(EOMONTH(E1679,0)+1,-2,1,FERIADOS!$A$2:$A$250),"SÍ","NO")</x:f>
        <x:v>NO</x:v>
      </x:c>
      <x:c r="G1679" s="10" t="n">
        <x:f>IF(F1679="SÍ",EOMONTH(E1679,0)+1,DATE(YEAR(E1679),MONTH(E1679),1))</x:f>
        <x:v>47331</x:v>
      </x:c>
      <x:c r="H1679" t="str">
        <x:f>IF(D1679="NO",IF(C1679="SÍ","FERIADO","FIN DE SEMANA"),"LABORABLE")&amp;IF(F1679="SÍ"," + CIERRE","")</x:f>
        <x:v>FIN DE SEMANA</x:v>
      </x:c>
      <x:c r="I1679" t="str">
        <x:f>TEXT(G1679,"yyyy-mm")</x:f>
        <x:v>2029-08</x:v>
      </x:c>
    </x:row>
    <x:row r="1680" ht="19" customHeight="1">
      <x:c r="A1680" s="2" t="n">
        <x:v>47336</x:v>
      </x:c>
      <x:c r="B1680" t="str">
        <x:f>CHOOSE(WEEKDAY(A1680,2),"Lunes","Martes","Miércoles","Jueves","Viernes","Sábado","Domingo")</x:f>
        <x:v>Lunes</x:v>
      </x:c>
      <x:c r="C1680" t="str">
        <x:f>IF(COUNTIF(FERIADOS!$A$2:$A$250,A1680)&gt;0,"SÍ","NO")</x:f>
        <x:v>NO</x:v>
      </x:c>
      <x:c r="D1680" t="str">
        <x:f>IF(AND(WEEKDAY(A1680,2)&lt;=5,C1680="NO"),"SÍ","NO")</x:f>
        <x:v>SÍ</x:v>
      </x:c>
      <x:c r="E1680" s="2" t="n">
        <x:f>WORKDAY.INTL(A1680-1,1,1,FERIADOS!$A$2:$A$250)</x:f>
        <x:v>47336</x:v>
      </x:c>
      <x:c r="F1680" t="str">
        <x:f>IF(E1680&gt;=WORKDAY.INTL(EOMONTH(E1680,0)+1,-2,1,FERIADOS!$A$2:$A$250),"SÍ","NO")</x:f>
        <x:v>NO</x:v>
      </x:c>
      <x:c r="G1680" s="10" t="n">
        <x:f>IF(F1680="SÍ",EOMONTH(E1680,0)+1,DATE(YEAR(E1680),MONTH(E1680),1))</x:f>
        <x:v>47331</x:v>
      </x:c>
      <x:c r="H1680" t="str">
        <x:f>IF(D1680="NO",IF(C1680="SÍ","FERIADO","FIN DE SEMANA"),"LABORABLE")&amp;IF(F1680="SÍ"," + CIERRE","")</x:f>
        <x:v>LABORABLE</x:v>
      </x:c>
      <x:c r="I1680" t="str">
        <x:f>TEXT(G1680,"yyyy-mm")</x:f>
        <x:v>2029-08</x:v>
      </x:c>
    </x:row>
    <x:row r="1681" ht="19" customHeight="1">
      <x:c r="A1681" s="2" t="n">
        <x:v>47337</x:v>
      </x:c>
      <x:c r="B1681" t="str">
        <x:f>CHOOSE(WEEKDAY(A1681,2),"Lunes","Martes","Miércoles","Jueves","Viernes","Sábado","Domingo")</x:f>
        <x:v>Martes</x:v>
      </x:c>
      <x:c r="C1681" t="str">
        <x:f>IF(COUNTIF(FERIADOS!$A$2:$A$250,A1681)&gt;0,"SÍ","NO")</x:f>
        <x:v>NO</x:v>
      </x:c>
      <x:c r="D1681" t="str">
        <x:f>IF(AND(WEEKDAY(A1681,2)&lt;=5,C1681="NO"),"SÍ","NO")</x:f>
        <x:v>SÍ</x:v>
      </x:c>
      <x:c r="E1681" s="2" t="n">
        <x:f>WORKDAY.INTL(A1681-1,1,1,FERIADOS!$A$2:$A$250)</x:f>
        <x:v>47337</x:v>
      </x:c>
      <x:c r="F1681" t="str">
        <x:f>IF(E1681&gt;=WORKDAY.INTL(EOMONTH(E1681,0)+1,-2,1,FERIADOS!$A$2:$A$250),"SÍ","NO")</x:f>
        <x:v>NO</x:v>
      </x:c>
      <x:c r="G1681" s="10" t="n">
        <x:f>IF(F1681="SÍ",EOMONTH(E1681,0)+1,DATE(YEAR(E1681),MONTH(E1681),1))</x:f>
        <x:v>47331</x:v>
      </x:c>
      <x:c r="H1681" t="str">
        <x:f>IF(D1681="NO",IF(C1681="SÍ","FERIADO","FIN DE SEMANA"),"LABORABLE")&amp;IF(F1681="SÍ"," + CIERRE","")</x:f>
        <x:v>LABORABLE</x:v>
      </x:c>
      <x:c r="I1681" t="str">
        <x:f>TEXT(G1681,"yyyy-mm")</x:f>
        <x:v>2029-08</x:v>
      </x:c>
    </x:row>
    <x:row r="1682" ht="19" customHeight="1">
      <x:c r="A1682" s="2" t="n">
        <x:v>47338</x:v>
      </x:c>
      <x:c r="B1682" t="str">
        <x:f>CHOOSE(WEEKDAY(A1682,2),"Lunes","Martes","Miércoles","Jueves","Viernes","Sábado","Domingo")</x:f>
        <x:v>Miércoles</x:v>
      </x:c>
      <x:c r="C1682" t="str">
        <x:f>IF(COUNTIF(FERIADOS!$A$2:$A$250,A1682)&gt;0,"SÍ","NO")</x:f>
        <x:v>NO</x:v>
      </x:c>
      <x:c r="D1682" t="str">
        <x:f>IF(AND(WEEKDAY(A1682,2)&lt;=5,C1682="NO"),"SÍ","NO")</x:f>
        <x:v>SÍ</x:v>
      </x:c>
      <x:c r="E1682" s="2" t="n">
        <x:f>WORKDAY.INTL(A1682-1,1,1,FERIADOS!$A$2:$A$250)</x:f>
        <x:v>47338</x:v>
      </x:c>
      <x:c r="F1682" t="str">
        <x:f>IF(E1682&gt;=WORKDAY.INTL(EOMONTH(E1682,0)+1,-2,1,FERIADOS!$A$2:$A$250),"SÍ","NO")</x:f>
        <x:v>NO</x:v>
      </x:c>
      <x:c r="G1682" s="10" t="n">
        <x:f>IF(F1682="SÍ",EOMONTH(E1682,0)+1,DATE(YEAR(E1682),MONTH(E1682),1))</x:f>
        <x:v>47331</x:v>
      </x:c>
      <x:c r="H1682" t="str">
        <x:f>IF(D1682="NO",IF(C1682="SÍ","FERIADO","FIN DE SEMANA"),"LABORABLE")&amp;IF(F1682="SÍ"," + CIERRE","")</x:f>
        <x:v>LABORABLE</x:v>
      </x:c>
      <x:c r="I1682" t="str">
        <x:f>TEXT(G1682,"yyyy-mm")</x:f>
        <x:v>2029-08</x:v>
      </x:c>
    </x:row>
    <x:row r="1683" ht="19" customHeight="1">
      <x:c r="A1683" s="2" t="n">
        <x:v>47339</x:v>
      </x:c>
      <x:c r="B1683" t="str">
        <x:f>CHOOSE(WEEKDAY(A1683,2),"Lunes","Martes","Miércoles","Jueves","Viernes","Sábado","Domingo")</x:f>
        <x:v>Jueves</x:v>
      </x:c>
      <x:c r="C1683" t="str">
        <x:f>IF(COUNTIF(FERIADOS!$A$2:$A$250,A1683)&gt;0,"SÍ","NO")</x:f>
        <x:v>NO</x:v>
      </x:c>
      <x:c r="D1683" t="str">
        <x:f>IF(AND(WEEKDAY(A1683,2)&lt;=5,C1683="NO"),"SÍ","NO")</x:f>
        <x:v>SÍ</x:v>
      </x:c>
      <x:c r="E1683" s="2" t="n">
        <x:f>WORKDAY.INTL(A1683-1,1,1,FERIADOS!$A$2:$A$250)</x:f>
        <x:v>47339</x:v>
      </x:c>
      <x:c r="F1683" t="str">
        <x:f>IF(E1683&gt;=WORKDAY.INTL(EOMONTH(E1683,0)+1,-2,1,FERIADOS!$A$2:$A$250),"SÍ","NO")</x:f>
        <x:v>NO</x:v>
      </x:c>
      <x:c r="G1683" s="10" t="n">
        <x:f>IF(F1683="SÍ",EOMONTH(E1683,0)+1,DATE(YEAR(E1683),MONTH(E1683),1))</x:f>
        <x:v>47331</x:v>
      </x:c>
      <x:c r="H1683" t="str">
        <x:f>IF(D1683="NO",IF(C1683="SÍ","FERIADO","FIN DE SEMANA"),"LABORABLE")&amp;IF(F1683="SÍ"," + CIERRE","")</x:f>
        <x:v>LABORABLE</x:v>
      </x:c>
      <x:c r="I1683" t="str">
        <x:f>TEXT(G1683,"yyyy-mm")</x:f>
        <x:v>2029-08</x:v>
      </x:c>
    </x:row>
    <x:row r="1684" ht="19" customHeight="1">
      <x:c r="A1684" s="2" t="n">
        <x:v>47340</x:v>
      </x:c>
      <x:c r="B1684" t="str">
        <x:f>CHOOSE(WEEKDAY(A1684,2),"Lunes","Martes","Miércoles","Jueves","Viernes","Sábado","Domingo")</x:f>
        <x:v>Viernes</x:v>
      </x:c>
      <x:c r="C1684" t="str">
        <x:f>IF(COUNTIF(FERIADOS!$A$2:$A$250,A1684)&gt;0,"SÍ","NO")</x:f>
        <x:v>SÍ</x:v>
      </x:c>
      <x:c r="D1684" t="str">
        <x:f>IF(AND(WEEKDAY(A1684,2)&lt;=5,C1684="NO"),"SÍ","NO")</x:f>
        <x:v>NO</x:v>
      </x:c>
      <x:c r="E1684" s="2" t="n">
        <x:f>WORKDAY.INTL(A1684-1,1,1,FERIADOS!$A$2:$A$250)</x:f>
        <x:v>47343</x:v>
      </x:c>
      <x:c r="F1684" t="str">
        <x:f>IF(E1684&gt;=WORKDAY.INTL(EOMONTH(E1684,0)+1,-2,1,FERIADOS!$A$2:$A$250),"SÍ","NO")</x:f>
        <x:v>NO</x:v>
      </x:c>
      <x:c r="G1684" s="10" t="n">
        <x:f>IF(F1684="SÍ",EOMONTH(E1684,0)+1,DATE(YEAR(E1684),MONTH(E1684),1))</x:f>
        <x:v>47331</x:v>
      </x:c>
      <x:c r="H1684" t="str">
        <x:f>IF(D1684="NO",IF(C1684="SÍ","FERIADO","FIN DE SEMANA"),"LABORABLE")&amp;IF(F1684="SÍ"," + CIERRE","")</x:f>
        <x:v>FERIADO</x:v>
      </x:c>
      <x:c r="I1684" t="str">
        <x:f>TEXT(G1684,"yyyy-mm")</x:f>
        <x:v>2029-08</x:v>
      </x:c>
    </x:row>
    <x:row r="1685" ht="19" customHeight="1">
      <x:c r="A1685" s="2" t="n">
        <x:v>47341</x:v>
      </x:c>
      <x:c r="B1685" t="str">
        <x:f>CHOOSE(WEEKDAY(A1685,2),"Lunes","Martes","Miércoles","Jueves","Viernes","Sábado","Domingo")</x:f>
        <x:v>Sábado</x:v>
      </x:c>
      <x:c r="C1685" t="str">
        <x:f>IF(COUNTIF(FERIADOS!$A$2:$A$250,A1685)&gt;0,"SÍ","NO")</x:f>
        <x:v>NO</x:v>
      </x:c>
      <x:c r="D1685" t="str">
        <x:f>IF(AND(WEEKDAY(A1685,2)&lt;=5,C1685="NO"),"SÍ","NO")</x:f>
        <x:v>NO</x:v>
      </x:c>
      <x:c r="E1685" s="2" t="n">
        <x:f>WORKDAY.INTL(A1685-1,1,1,FERIADOS!$A$2:$A$250)</x:f>
        <x:v>47343</x:v>
      </x:c>
      <x:c r="F1685" t="str">
        <x:f>IF(E1685&gt;=WORKDAY.INTL(EOMONTH(E1685,0)+1,-2,1,FERIADOS!$A$2:$A$250),"SÍ","NO")</x:f>
        <x:v>NO</x:v>
      </x:c>
      <x:c r="G1685" s="10" t="n">
        <x:f>IF(F1685="SÍ",EOMONTH(E1685,0)+1,DATE(YEAR(E1685),MONTH(E1685),1))</x:f>
        <x:v>47331</x:v>
      </x:c>
      <x:c r="H1685" t="str">
        <x:f>IF(D1685="NO",IF(C1685="SÍ","FERIADO","FIN DE SEMANA"),"LABORABLE")&amp;IF(F1685="SÍ"," + CIERRE","")</x:f>
        <x:v>FIN DE SEMANA</x:v>
      </x:c>
      <x:c r="I1685" t="str">
        <x:f>TEXT(G1685,"yyyy-mm")</x:f>
        <x:v>2029-08</x:v>
      </x:c>
    </x:row>
    <x:row r="1686" ht="19" customHeight="1">
      <x:c r="A1686" s="2" t="n">
        <x:v>47342</x:v>
      </x:c>
      <x:c r="B1686" t="str">
        <x:f>CHOOSE(WEEKDAY(A1686,2),"Lunes","Martes","Miércoles","Jueves","Viernes","Sábado","Domingo")</x:f>
        <x:v>Domingo</x:v>
      </x:c>
      <x:c r="C1686" t="str">
        <x:f>IF(COUNTIF(FERIADOS!$A$2:$A$250,A1686)&gt;0,"SÍ","NO")</x:f>
        <x:v>NO</x:v>
      </x:c>
      <x:c r="D1686" t="str">
        <x:f>IF(AND(WEEKDAY(A1686,2)&lt;=5,C1686="NO"),"SÍ","NO")</x:f>
        <x:v>NO</x:v>
      </x:c>
      <x:c r="E1686" s="2" t="n">
        <x:f>WORKDAY.INTL(A1686-1,1,1,FERIADOS!$A$2:$A$250)</x:f>
        <x:v>47343</x:v>
      </x:c>
      <x:c r="F1686" t="str">
        <x:f>IF(E1686&gt;=WORKDAY.INTL(EOMONTH(E1686,0)+1,-2,1,FERIADOS!$A$2:$A$250),"SÍ","NO")</x:f>
        <x:v>NO</x:v>
      </x:c>
      <x:c r="G1686" s="10" t="n">
        <x:f>IF(F1686="SÍ",EOMONTH(E1686,0)+1,DATE(YEAR(E1686),MONTH(E1686),1))</x:f>
        <x:v>47331</x:v>
      </x:c>
      <x:c r="H1686" t="str">
        <x:f>IF(D1686="NO",IF(C1686="SÍ","FERIADO","FIN DE SEMANA"),"LABORABLE")&amp;IF(F1686="SÍ"," + CIERRE","")</x:f>
        <x:v>FIN DE SEMANA</x:v>
      </x:c>
      <x:c r="I1686" t="str">
        <x:f>TEXT(G1686,"yyyy-mm")</x:f>
        <x:v>2029-08</x:v>
      </x:c>
    </x:row>
    <x:row r="1687" ht="19" customHeight="1">
      <x:c r="A1687" s="2" t="n">
        <x:v>47343</x:v>
      </x:c>
      <x:c r="B1687" t="str">
        <x:f>CHOOSE(WEEKDAY(A1687,2),"Lunes","Martes","Miércoles","Jueves","Viernes","Sábado","Domingo")</x:f>
        <x:v>Lunes</x:v>
      </x:c>
      <x:c r="C1687" t="str">
        <x:f>IF(COUNTIF(FERIADOS!$A$2:$A$250,A1687)&gt;0,"SÍ","NO")</x:f>
        <x:v>NO</x:v>
      </x:c>
      <x:c r="D1687" t="str">
        <x:f>IF(AND(WEEKDAY(A1687,2)&lt;=5,C1687="NO"),"SÍ","NO")</x:f>
        <x:v>SÍ</x:v>
      </x:c>
      <x:c r="E1687" s="2" t="n">
        <x:f>WORKDAY.INTL(A1687-1,1,1,FERIADOS!$A$2:$A$250)</x:f>
        <x:v>47343</x:v>
      </x:c>
      <x:c r="F1687" t="str">
        <x:f>IF(E1687&gt;=WORKDAY.INTL(EOMONTH(E1687,0)+1,-2,1,FERIADOS!$A$2:$A$250),"SÍ","NO")</x:f>
        <x:v>NO</x:v>
      </x:c>
      <x:c r="G1687" s="10" t="n">
        <x:f>IF(F1687="SÍ",EOMONTH(E1687,0)+1,DATE(YEAR(E1687),MONTH(E1687),1))</x:f>
        <x:v>47331</x:v>
      </x:c>
      <x:c r="H1687" t="str">
        <x:f>IF(D1687="NO",IF(C1687="SÍ","FERIADO","FIN DE SEMANA"),"LABORABLE")&amp;IF(F1687="SÍ"," + CIERRE","")</x:f>
        <x:v>LABORABLE</x:v>
      </x:c>
      <x:c r="I1687" t="str">
        <x:f>TEXT(G1687,"yyyy-mm")</x:f>
        <x:v>2029-08</x:v>
      </x:c>
    </x:row>
    <x:row r="1688" ht="19" customHeight="1">
      <x:c r="A1688" s="2" t="n">
        <x:v>47344</x:v>
      </x:c>
      <x:c r="B1688" t="str">
        <x:f>CHOOSE(WEEKDAY(A1688,2),"Lunes","Martes","Miércoles","Jueves","Viernes","Sábado","Domingo")</x:f>
        <x:v>Martes</x:v>
      </x:c>
      <x:c r="C1688" t="str">
        <x:f>IF(COUNTIF(FERIADOS!$A$2:$A$250,A1688)&gt;0,"SÍ","NO")</x:f>
        <x:v>NO</x:v>
      </x:c>
      <x:c r="D1688" t="str">
        <x:f>IF(AND(WEEKDAY(A1688,2)&lt;=5,C1688="NO"),"SÍ","NO")</x:f>
        <x:v>SÍ</x:v>
      </x:c>
      <x:c r="E1688" s="2" t="n">
        <x:f>WORKDAY.INTL(A1688-1,1,1,FERIADOS!$A$2:$A$250)</x:f>
        <x:v>47344</x:v>
      </x:c>
      <x:c r="F1688" t="str">
        <x:f>IF(E1688&gt;=WORKDAY.INTL(EOMONTH(E1688,0)+1,-2,1,FERIADOS!$A$2:$A$250),"SÍ","NO")</x:f>
        <x:v>NO</x:v>
      </x:c>
      <x:c r="G1688" s="10" t="n">
        <x:f>IF(F1688="SÍ",EOMONTH(E1688,0)+1,DATE(YEAR(E1688),MONTH(E1688),1))</x:f>
        <x:v>47331</x:v>
      </x:c>
      <x:c r="H1688" t="str">
        <x:f>IF(D1688="NO",IF(C1688="SÍ","FERIADO","FIN DE SEMANA"),"LABORABLE")&amp;IF(F1688="SÍ"," + CIERRE","")</x:f>
        <x:v>LABORABLE</x:v>
      </x:c>
      <x:c r="I1688" t="str">
        <x:f>TEXT(G1688,"yyyy-mm")</x:f>
        <x:v>2029-08</x:v>
      </x:c>
    </x:row>
    <x:row r="1689" ht="19" customHeight="1">
      <x:c r="A1689" s="2" t="n">
        <x:v>47345</x:v>
      </x:c>
      <x:c r="B1689" t="str">
        <x:f>CHOOSE(WEEKDAY(A1689,2),"Lunes","Martes","Miércoles","Jueves","Viernes","Sábado","Domingo")</x:f>
        <x:v>Miércoles</x:v>
      </x:c>
      <x:c r="C1689" t="str">
        <x:f>IF(COUNTIF(FERIADOS!$A$2:$A$250,A1689)&gt;0,"SÍ","NO")</x:f>
        <x:v>NO</x:v>
      </x:c>
      <x:c r="D1689" t="str">
        <x:f>IF(AND(WEEKDAY(A1689,2)&lt;=5,C1689="NO"),"SÍ","NO")</x:f>
        <x:v>SÍ</x:v>
      </x:c>
      <x:c r="E1689" s="2" t="n">
        <x:f>WORKDAY.INTL(A1689-1,1,1,FERIADOS!$A$2:$A$250)</x:f>
        <x:v>47345</x:v>
      </x:c>
      <x:c r="F1689" t="str">
        <x:f>IF(E1689&gt;=WORKDAY.INTL(EOMONTH(E1689,0)+1,-2,1,FERIADOS!$A$2:$A$250),"SÍ","NO")</x:f>
        <x:v>NO</x:v>
      </x:c>
      <x:c r="G1689" s="10" t="n">
        <x:f>IF(F1689="SÍ",EOMONTH(E1689,0)+1,DATE(YEAR(E1689),MONTH(E1689),1))</x:f>
        <x:v>47331</x:v>
      </x:c>
      <x:c r="H1689" t="str">
        <x:f>IF(D1689="NO",IF(C1689="SÍ","FERIADO","FIN DE SEMANA"),"LABORABLE")&amp;IF(F1689="SÍ"," + CIERRE","")</x:f>
        <x:v>LABORABLE</x:v>
      </x:c>
      <x:c r="I1689" t="str">
        <x:f>TEXT(G1689,"yyyy-mm")</x:f>
        <x:v>2029-08</x:v>
      </x:c>
    </x:row>
    <x:row r="1690" ht="19" customHeight="1">
      <x:c r="A1690" s="2" t="n">
        <x:v>47346</x:v>
      </x:c>
      <x:c r="B1690" t="str">
        <x:f>CHOOSE(WEEKDAY(A1690,2),"Lunes","Martes","Miércoles","Jueves","Viernes","Sábado","Domingo")</x:f>
        <x:v>Jueves</x:v>
      </x:c>
      <x:c r="C1690" t="str">
        <x:f>IF(COUNTIF(FERIADOS!$A$2:$A$250,A1690)&gt;0,"SÍ","NO")</x:f>
        <x:v>NO</x:v>
      </x:c>
      <x:c r="D1690" t="str">
        <x:f>IF(AND(WEEKDAY(A1690,2)&lt;=5,C1690="NO"),"SÍ","NO")</x:f>
        <x:v>SÍ</x:v>
      </x:c>
      <x:c r="E1690" s="2" t="n">
        <x:f>WORKDAY.INTL(A1690-1,1,1,FERIADOS!$A$2:$A$250)</x:f>
        <x:v>47346</x:v>
      </x:c>
      <x:c r="F1690" t="str">
        <x:f>IF(E1690&gt;=WORKDAY.INTL(EOMONTH(E1690,0)+1,-2,1,FERIADOS!$A$2:$A$250),"SÍ","NO")</x:f>
        <x:v>NO</x:v>
      </x:c>
      <x:c r="G1690" s="10" t="n">
        <x:f>IF(F1690="SÍ",EOMONTH(E1690,0)+1,DATE(YEAR(E1690),MONTH(E1690),1))</x:f>
        <x:v>47331</x:v>
      </x:c>
      <x:c r="H1690" t="str">
        <x:f>IF(D1690="NO",IF(C1690="SÍ","FERIADO","FIN DE SEMANA"),"LABORABLE")&amp;IF(F1690="SÍ"," + CIERRE","")</x:f>
        <x:v>LABORABLE</x:v>
      </x:c>
      <x:c r="I1690" t="str">
        <x:f>TEXT(G1690,"yyyy-mm")</x:f>
        <x:v>2029-08</x:v>
      </x:c>
    </x:row>
    <x:row r="1691" ht="19" customHeight="1">
      <x:c r="A1691" s="2" t="n">
        <x:v>47347</x:v>
      </x:c>
      <x:c r="B1691" t="str">
        <x:f>CHOOSE(WEEKDAY(A1691,2),"Lunes","Martes","Miércoles","Jueves","Viernes","Sábado","Domingo")</x:f>
        <x:v>Viernes</x:v>
      </x:c>
      <x:c r="C1691" t="str">
        <x:f>IF(COUNTIF(FERIADOS!$A$2:$A$250,A1691)&gt;0,"SÍ","NO")</x:f>
        <x:v>NO</x:v>
      </x:c>
      <x:c r="D1691" t="str">
        <x:f>IF(AND(WEEKDAY(A1691,2)&lt;=5,C1691="NO"),"SÍ","NO")</x:f>
        <x:v>SÍ</x:v>
      </x:c>
      <x:c r="E1691" s="2" t="n">
        <x:f>WORKDAY.INTL(A1691-1,1,1,FERIADOS!$A$2:$A$250)</x:f>
        <x:v>47347</x:v>
      </x:c>
      <x:c r="F1691" t="str">
        <x:f>IF(E1691&gt;=WORKDAY.INTL(EOMONTH(E1691,0)+1,-2,1,FERIADOS!$A$2:$A$250),"SÍ","NO")</x:f>
        <x:v>NO</x:v>
      </x:c>
      <x:c r="G1691" s="10" t="n">
        <x:f>IF(F1691="SÍ",EOMONTH(E1691,0)+1,DATE(YEAR(E1691),MONTH(E1691),1))</x:f>
        <x:v>47331</x:v>
      </x:c>
      <x:c r="H1691" t="str">
        <x:f>IF(D1691="NO",IF(C1691="SÍ","FERIADO","FIN DE SEMANA"),"LABORABLE")&amp;IF(F1691="SÍ"," + CIERRE","")</x:f>
        <x:v>LABORABLE</x:v>
      </x:c>
      <x:c r="I1691" t="str">
        <x:f>TEXT(G1691,"yyyy-mm")</x:f>
        <x:v>2029-08</x:v>
      </x:c>
    </x:row>
    <x:row r="1692" ht="19" customHeight="1">
      <x:c r="A1692" s="2" t="n">
        <x:v>47348</x:v>
      </x:c>
      <x:c r="B1692" t="str">
        <x:f>CHOOSE(WEEKDAY(A1692,2),"Lunes","Martes","Miércoles","Jueves","Viernes","Sábado","Domingo")</x:f>
        <x:v>Sábado</x:v>
      </x:c>
      <x:c r="C1692" t="str">
        <x:f>IF(COUNTIF(FERIADOS!$A$2:$A$250,A1692)&gt;0,"SÍ","NO")</x:f>
        <x:v>NO</x:v>
      </x:c>
      <x:c r="D1692" t="str">
        <x:f>IF(AND(WEEKDAY(A1692,2)&lt;=5,C1692="NO"),"SÍ","NO")</x:f>
        <x:v>NO</x:v>
      </x:c>
      <x:c r="E1692" s="2" t="n">
        <x:f>WORKDAY.INTL(A1692-1,1,1,FERIADOS!$A$2:$A$250)</x:f>
        <x:v>47350</x:v>
      </x:c>
      <x:c r="F1692" t="str">
        <x:f>IF(E1692&gt;=WORKDAY.INTL(EOMONTH(E1692,0)+1,-2,1,FERIADOS!$A$2:$A$250),"SÍ","NO")</x:f>
        <x:v>NO</x:v>
      </x:c>
      <x:c r="G1692" s="10" t="n">
        <x:f>IF(F1692="SÍ",EOMONTH(E1692,0)+1,DATE(YEAR(E1692),MONTH(E1692),1))</x:f>
        <x:v>47331</x:v>
      </x:c>
      <x:c r="H1692" t="str">
        <x:f>IF(D1692="NO",IF(C1692="SÍ","FERIADO","FIN DE SEMANA"),"LABORABLE")&amp;IF(F1692="SÍ"," + CIERRE","")</x:f>
        <x:v>FIN DE SEMANA</x:v>
      </x:c>
      <x:c r="I1692" t="str">
        <x:f>TEXT(G1692,"yyyy-mm")</x:f>
        <x:v>2029-08</x:v>
      </x:c>
    </x:row>
    <x:row r="1693" ht="19" customHeight="1">
      <x:c r="A1693" s="2" t="n">
        <x:v>47349</x:v>
      </x:c>
      <x:c r="B1693" t="str">
        <x:f>CHOOSE(WEEKDAY(A1693,2),"Lunes","Martes","Miércoles","Jueves","Viernes","Sábado","Domingo")</x:f>
        <x:v>Domingo</x:v>
      </x:c>
      <x:c r="C1693" t="str">
        <x:f>IF(COUNTIF(FERIADOS!$A$2:$A$250,A1693)&gt;0,"SÍ","NO")</x:f>
        <x:v>NO</x:v>
      </x:c>
      <x:c r="D1693" t="str">
        <x:f>IF(AND(WEEKDAY(A1693,2)&lt;=5,C1693="NO"),"SÍ","NO")</x:f>
        <x:v>NO</x:v>
      </x:c>
      <x:c r="E1693" s="2" t="n">
        <x:f>WORKDAY.INTL(A1693-1,1,1,FERIADOS!$A$2:$A$250)</x:f>
        <x:v>47350</x:v>
      </x:c>
      <x:c r="F1693" t="str">
        <x:f>IF(E1693&gt;=WORKDAY.INTL(EOMONTH(E1693,0)+1,-2,1,FERIADOS!$A$2:$A$250),"SÍ","NO")</x:f>
        <x:v>NO</x:v>
      </x:c>
      <x:c r="G1693" s="10" t="n">
        <x:f>IF(F1693="SÍ",EOMONTH(E1693,0)+1,DATE(YEAR(E1693),MONTH(E1693),1))</x:f>
        <x:v>47331</x:v>
      </x:c>
      <x:c r="H1693" t="str">
        <x:f>IF(D1693="NO",IF(C1693="SÍ","FERIADO","FIN DE SEMANA"),"LABORABLE")&amp;IF(F1693="SÍ"," + CIERRE","")</x:f>
        <x:v>FIN DE SEMANA</x:v>
      </x:c>
      <x:c r="I1693" t="str">
        <x:f>TEXT(G1693,"yyyy-mm")</x:f>
        <x:v>2029-08</x:v>
      </x:c>
    </x:row>
    <x:row r="1694" ht="19" customHeight="1">
      <x:c r="A1694" s="2" t="n">
        <x:v>47350</x:v>
      </x:c>
      <x:c r="B1694" t="str">
        <x:f>CHOOSE(WEEKDAY(A1694,2),"Lunes","Martes","Miércoles","Jueves","Viernes","Sábado","Domingo")</x:f>
        <x:v>Lunes</x:v>
      </x:c>
      <x:c r="C1694" t="str">
        <x:f>IF(COUNTIF(FERIADOS!$A$2:$A$250,A1694)&gt;0,"SÍ","NO")</x:f>
        <x:v>NO</x:v>
      </x:c>
      <x:c r="D1694" t="str">
        <x:f>IF(AND(WEEKDAY(A1694,2)&lt;=5,C1694="NO"),"SÍ","NO")</x:f>
        <x:v>SÍ</x:v>
      </x:c>
      <x:c r="E1694" s="2" t="n">
        <x:f>WORKDAY.INTL(A1694-1,1,1,FERIADOS!$A$2:$A$250)</x:f>
        <x:v>47350</x:v>
      </x:c>
      <x:c r="F1694" t="str">
        <x:f>IF(E1694&gt;=WORKDAY.INTL(EOMONTH(E1694,0)+1,-2,1,FERIADOS!$A$2:$A$250),"SÍ","NO")</x:f>
        <x:v>NO</x:v>
      </x:c>
      <x:c r="G1694" s="10" t="n">
        <x:f>IF(F1694="SÍ",EOMONTH(E1694,0)+1,DATE(YEAR(E1694),MONTH(E1694),1))</x:f>
        <x:v>47331</x:v>
      </x:c>
      <x:c r="H1694" t="str">
        <x:f>IF(D1694="NO",IF(C1694="SÍ","FERIADO","FIN DE SEMANA"),"LABORABLE")&amp;IF(F1694="SÍ"," + CIERRE","")</x:f>
        <x:v>LABORABLE</x:v>
      </x:c>
      <x:c r="I1694" t="str">
        <x:f>TEXT(G1694,"yyyy-mm")</x:f>
        <x:v>2029-08</x:v>
      </x:c>
    </x:row>
    <x:row r="1695" ht="19" customHeight="1">
      <x:c r="A1695" s="2" t="n">
        <x:v>47351</x:v>
      </x:c>
      <x:c r="B1695" t="str">
        <x:f>CHOOSE(WEEKDAY(A1695,2),"Lunes","Martes","Miércoles","Jueves","Viernes","Sábado","Domingo")</x:f>
        <x:v>Martes</x:v>
      </x:c>
      <x:c r="C1695" t="str">
        <x:f>IF(COUNTIF(FERIADOS!$A$2:$A$250,A1695)&gt;0,"SÍ","NO")</x:f>
        <x:v>NO</x:v>
      </x:c>
      <x:c r="D1695" t="str">
        <x:f>IF(AND(WEEKDAY(A1695,2)&lt;=5,C1695="NO"),"SÍ","NO")</x:f>
        <x:v>SÍ</x:v>
      </x:c>
      <x:c r="E1695" s="2" t="n">
        <x:f>WORKDAY.INTL(A1695-1,1,1,FERIADOS!$A$2:$A$250)</x:f>
        <x:v>47351</x:v>
      </x:c>
      <x:c r="F1695" t="str">
        <x:f>IF(E1695&gt;=WORKDAY.INTL(EOMONTH(E1695,0)+1,-2,1,FERIADOS!$A$2:$A$250),"SÍ","NO")</x:f>
        <x:v>NO</x:v>
      </x:c>
      <x:c r="G1695" s="10" t="n">
        <x:f>IF(F1695="SÍ",EOMONTH(E1695,0)+1,DATE(YEAR(E1695),MONTH(E1695),1))</x:f>
        <x:v>47331</x:v>
      </x:c>
      <x:c r="H1695" t="str">
        <x:f>IF(D1695="NO",IF(C1695="SÍ","FERIADO","FIN DE SEMANA"),"LABORABLE")&amp;IF(F1695="SÍ"," + CIERRE","")</x:f>
        <x:v>LABORABLE</x:v>
      </x:c>
      <x:c r="I1695" t="str">
        <x:f>TEXT(G1695,"yyyy-mm")</x:f>
        <x:v>2029-08</x:v>
      </x:c>
    </x:row>
    <x:row r="1696" ht="19" customHeight="1">
      <x:c r="A1696" s="2" t="n">
        <x:v>47352</x:v>
      </x:c>
      <x:c r="B1696" t="str">
        <x:f>CHOOSE(WEEKDAY(A1696,2),"Lunes","Martes","Miércoles","Jueves","Viernes","Sábado","Domingo")</x:f>
        <x:v>Miércoles</x:v>
      </x:c>
      <x:c r="C1696" t="str">
        <x:f>IF(COUNTIF(FERIADOS!$A$2:$A$250,A1696)&gt;0,"SÍ","NO")</x:f>
        <x:v>NO</x:v>
      </x:c>
      <x:c r="D1696" t="str">
        <x:f>IF(AND(WEEKDAY(A1696,2)&lt;=5,C1696="NO"),"SÍ","NO")</x:f>
        <x:v>SÍ</x:v>
      </x:c>
      <x:c r="E1696" s="2" t="n">
        <x:f>WORKDAY.INTL(A1696-1,1,1,FERIADOS!$A$2:$A$250)</x:f>
        <x:v>47352</x:v>
      </x:c>
      <x:c r="F1696" t="str">
        <x:f>IF(E1696&gt;=WORKDAY.INTL(EOMONTH(E1696,0)+1,-2,1,FERIADOS!$A$2:$A$250),"SÍ","NO")</x:f>
        <x:v>NO</x:v>
      </x:c>
      <x:c r="G1696" s="10" t="n">
        <x:f>IF(F1696="SÍ",EOMONTH(E1696,0)+1,DATE(YEAR(E1696),MONTH(E1696),1))</x:f>
        <x:v>47331</x:v>
      </x:c>
      <x:c r="H1696" t="str">
        <x:f>IF(D1696="NO",IF(C1696="SÍ","FERIADO","FIN DE SEMANA"),"LABORABLE")&amp;IF(F1696="SÍ"," + CIERRE","")</x:f>
        <x:v>LABORABLE</x:v>
      </x:c>
      <x:c r="I1696" t="str">
        <x:f>TEXT(G1696,"yyyy-mm")</x:f>
        <x:v>2029-08</x:v>
      </x:c>
    </x:row>
    <x:row r="1697" ht="19" customHeight="1">
      <x:c r="A1697" s="2" t="n">
        <x:v>47353</x:v>
      </x:c>
      <x:c r="B1697" t="str">
        <x:f>CHOOSE(WEEKDAY(A1697,2),"Lunes","Martes","Miércoles","Jueves","Viernes","Sábado","Domingo")</x:f>
        <x:v>Jueves</x:v>
      </x:c>
      <x:c r="C1697" t="str">
        <x:f>IF(COUNTIF(FERIADOS!$A$2:$A$250,A1697)&gt;0,"SÍ","NO")</x:f>
        <x:v>NO</x:v>
      </x:c>
      <x:c r="D1697" t="str">
        <x:f>IF(AND(WEEKDAY(A1697,2)&lt;=5,C1697="NO"),"SÍ","NO")</x:f>
        <x:v>SÍ</x:v>
      </x:c>
      <x:c r="E1697" s="2" t="n">
        <x:f>WORKDAY.INTL(A1697-1,1,1,FERIADOS!$A$2:$A$250)</x:f>
        <x:v>47353</x:v>
      </x:c>
      <x:c r="F1697" t="str">
        <x:f>IF(E1697&gt;=WORKDAY.INTL(EOMONTH(E1697,0)+1,-2,1,FERIADOS!$A$2:$A$250),"SÍ","NO")</x:f>
        <x:v>NO</x:v>
      </x:c>
      <x:c r="G1697" s="10" t="n">
        <x:f>IF(F1697="SÍ",EOMONTH(E1697,0)+1,DATE(YEAR(E1697),MONTH(E1697),1))</x:f>
        <x:v>47331</x:v>
      </x:c>
      <x:c r="H1697" t="str">
        <x:f>IF(D1697="NO",IF(C1697="SÍ","FERIADO","FIN DE SEMANA"),"LABORABLE")&amp;IF(F1697="SÍ"," + CIERRE","")</x:f>
        <x:v>LABORABLE</x:v>
      </x:c>
      <x:c r="I1697" t="str">
        <x:f>TEXT(G1697,"yyyy-mm")</x:f>
        <x:v>2029-08</x:v>
      </x:c>
    </x:row>
    <x:row r="1698" ht="19" customHeight="1">
      <x:c r="A1698" s="2" t="n">
        <x:v>47354</x:v>
      </x:c>
      <x:c r="B1698" t="str">
        <x:f>CHOOSE(WEEKDAY(A1698,2),"Lunes","Martes","Miércoles","Jueves","Viernes","Sábado","Domingo")</x:f>
        <x:v>Viernes</x:v>
      </x:c>
      <x:c r="C1698" t="str">
        <x:f>IF(COUNTIF(FERIADOS!$A$2:$A$250,A1698)&gt;0,"SÍ","NO")</x:f>
        <x:v>NO</x:v>
      </x:c>
      <x:c r="D1698" t="str">
        <x:f>IF(AND(WEEKDAY(A1698,2)&lt;=5,C1698="NO"),"SÍ","NO")</x:f>
        <x:v>SÍ</x:v>
      </x:c>
      <x:c r="E1698" s="2" t="n">
        <x:f>WORKDAY.INTL(A1698-1,1,1,FERIADOS!$A$2:$A$250)</x:f>
        <x:v>47354</x:v>
      </x:c>
      <x:c r="F1698" t="str">
        <x:f>IF(E1698&gt;=WORKDAY.INTL(EOMONTH(E1698,0)+1,-2,1,FERIADOS!$A$2:$A$250),"SÍ","NO")</x:f>
        <x:v>NO</x:v>
      </x:c>
      <x:c r="G1698" s="10" t="n">
        <x:f>IF(F1698="SÍ",EOMONTH(E1698,0)+1,DATE(YEAR(E1698),MONTH(E1698),1))</x:f>
        <x:v>47331</x:v>
      </x:c>
      <x:c r="H1698" t="str">
        <x:f>IF(D1698="NO",IF(C1698="SÍ","FERIADO","FIN DE SEMANA"),"LABORABLE")&amp;IF(F1698="SÍ"," + CIERRE","")</x:f>
        <x:v>LABORABLE</x:v>
      </x:c>
      <x:c r="I1698" t="str">
        <x:f>TEXT(G1698,"yyyy-mm")</x:f>
        <x:v>2029-08</x:v>
      </x:c>
    </x:row>
    <x:row r="1699" ht="19" customHeight="1">
      <x:c r="A1699" s="2" t="n">
        <x:v>47355</x:v>
      </x:c>
      <x:c r="B1699" t="str">
        <x:f>CHOOSE(WEEKDAY(A1699,2),"Lunes","Martes","Miércoles","Jueves","Viernes","Sábado","Domingo")</x:f>
        <x:v>Sábado</x:v>
      </x:c>
      <x:c r="C1699" t="str">
        <x:f>IF(COUNTIF(FERIADOS!$A$2:$A$250,A1699)&gt;0,"SÍ","NO")</x:f>
        <x:v>NO</x:v>
      </x:c>
      <x:c r="D1699" t="str">
        <x:f>IF(AND(WEEKDAY(A1699,2)&lt;=5,C1699="NO"),"SÍ","NO")</x:f>
        <x:v>NO</x:v>
      </x:c>
      <x:c r="E1699" s="2" t="n">
        <x:f>WORKDAY.INTL(A1699-1,1,1,FERIADOS!$A$2:$A$250)</x:f>
        <x:v>47357</x:v>
      </x:c>
      <x:c r="F1699" t="str">
        <x:f>IF(E1699&gt;=WORKDAY.INTL(EOMONTH(E1699,0)+1,-2,1,FERIADOS!$A$2:$A$250),"SÍ","NO")</x:f>
        <x:v>NO</x:v>
      </x:c>
      <x:c r="G1699" s="10" t="n">
        <x:f>IF(F1699="SÍ",EOMONTH(E1699,0)+1,DATE(YEAR(E1699),MONTH(E1699),1))</x:f>
        <x:v>47331</x:v>
      </x:c>
      <x:c r="H1699" t="str">
        <x:f>IF(D1699="NO",IF(C1699="SÍ","FERIADO","FIN DE SEMANA"),"LABORABLE")&amp;IF(F1699="SÍ"," + CIERRE","")</x:f>
        <x:v>FIN DE SEMANA</x:v>
      </x:c>
      <x:c r="I1699" t="str">
        <x:f>TEXT(G1699,"yyyy-mm")</x:f>
        <x:v>2029-08</x:v>
      </x:c>
    </x:row>
    <x:row r="1700" ht="19" customHeight="1">
      <x:c r="A1700" s="2" t="n">
        <x:v>47356</x:v>
      </x:c>
      <x:c r="B1700" t="str">
        <x:f>CHOOSE(WEEKDAY(A1700,2),"Lunes","Martes","Miércoles","Jueves","Viernes","Sábado","Domingo")</x:f>
        <x:v>Domingo</x:v>
      </x:c>
      <x:c r="C1700" t="str">
        <x:f>IF(COUNTIF(FERIADOS!$A$2:$A$250,A1700)&gt;0,"SÍ","NO")</x:f>
        <x:v>NO</x:v>
      </x:c>
      <x:c r="D1700" t="str">
        <x:f>IF(AND(WEEKDAY(A1700,2)&lt;=5,C1700="NO"),"SÍ","NO")</x:f>
        <x:v>NO</x:v>
      </x:c>
      <x:c r="E1700" s="2" t="n">
        <x:f>WORKDAY.INTL(A1700-1,1,1,FERIADOS!$A$2:$A$250)</x:f>
        <x:v>47357</x:v>
      </x:c>
      <x:c r="F1700" t="str">
        <x:f>IF(E1700&gt;=WORKDAY.INTL(EOMONTH(E1700,0)+1,-2,1,FERIADOS!$A$2:$A$250),"SÍ","NO")</x:f>
        <x:v>NO</x:v>
      </x:c>
      <x:c r="G1700" s="10" t="n">
        <x:f>IF(F1700="SÍ",EOMONTH(E1700,0)+1,DATE(YEAR(E1700),MONTH(E1700),1))</x:f>
        <x:v>47331</x:v>
      </x:c>
      <x:c r="H1700" t="str">
        <x:f>IF(D1700="NO",IF(C1700="SÍ","FERIADO","FIN DE SEMANA"),"LABORABLE")&amp;IF(F1700="SÍ"," + CIERRE","")</x:f>
        <x:v>FIN DE SEMANA</x:v>
      </x:c>
      <x:c r="I1700" t="str">
        <x:f>TEXT(G1700,"yyyy-mm")</x:f>
        <x:v>2029-08</x:v>
      </x:c>
    </x:row>
    <x:row r="1701" ht="19" customHeight="1">
      <x:c r="A1701" s="2" t="n">
        <x:v>47357</x:v>
      </x:c>
      <x:c r="B1701" t="str">
        <x:f>CHOOSE(WEEKDAY(A1701,2),"Lunes","Martes","Miércoles","Jueves","Viernes","Sábado","Domingo")</x:f>
        <x:v>Lunes</x:v>
      </x:c>
      <x:c r="C1701" t="str">
        <x:f>IF(COUNTIF(FERIADOS!$A$2:$A$250,A1701)&gt;0,"SÍ","NO")</x:f>
        <x:v>NO</x:v>
      </x:c>
      <x:c r="D1701" t="str">
        <x:f>IF(AND(WEEKDAY(A1701,2)&lt;=5,C1701="NO"),"SÍ","NO")</x:f>
        <x:v>SÍ</x:v>
      </x:c>
      <x:c r="E1701" s="2" t="n">
        <x:f>WORKDAY.INTL(A1701-1,1,1,FERIADOS!$A$2:$A$250)</x:f>
        <x:v>47357</x:v>
      </x:c>
      <x:c r="F1701" t="str">
        <x:f>IF(E1701&gt;=WORKDAY.INTL(EOMONTH(E1701,0)+1,-2,1,FERIADOS!$A$2:$A$250),"SÍ","NO")</x:f>
        <x:v>NO</x:v>
      </x:c>
      <x:c r="G1701" s="10" t="n">
        <x:f>IF(F1701="SÍ",EOMONTH(E1701,0)+1,DATE(YEAR(E1701),MONTH(E1701),1))</x:f>
        <x:v>47331</x:v>
      </x:c>
      <x:c r="H1701" t="str">
        <x:f>IF(D1701="NO",IF(C1701="SÍ","FERIADO","FIN DE SEMANA"),"LABORABLE")&amp;IF(F1701="SÍ"," + CIERRE","")</x:f>
        <x:v>LABORABLE</x:v>
      </x:c>
      <x:c r="I1701" t="str">
        <x:f>TEXT(G1701,"yyyy-mm")</x:f>
        <x:v>2029-08</x:v>
      </x:c>
    </x:row>
    <x:row r="1702" ht="19" customHeight="1">
      <x:c r="A1702" s="2" t="n">
        <x:v>47358</x:v>
      </x:c>
      <x:c r="B1702" t="str">
        <x:f>CHOOSE(WEEKDAY(A1702,2),"Lunes","Martes","Miércoles","Jueves","Viernes","Sábado","Domingo")</x:f>
        <x:v>Martes</x:v>
      </x:c>
      <x:c r="C1702" t="str">
        <x:f>IF(COUNTIF(FERIADOS!$A$2:$A$250,A1702)&gt;0,"SÍ","NO")</x:f>
        <x:v>NO</x:v>
      </x:c>
      <x:c r="D1702" t="str">
        <x:f>IF(AND(WEEKDAY(A1702,2)&lt;=5,C1702="NO"),"SÍ","NO")</x:f>
        <x:v>SÍ</x:v>
      </x:c>
      <x:c r="E1702" s="2" t="n">
        <x:f>WORKDAY.INTL(A1702-1,1,1,FERIADOS!$A$2:$A$250)</x:f>
        <x:v>47358</x:v>
      </x:c>
      <x:c r="F1702" t="str">
        <x:f>IF(E1702&gt;=WORKDAY.INTL(EOMONTH(E1702,0)+1,-2,1,FERIADOS!$A$2:$A$250),"SÍ","NO")</x:f>
        <x:v>NO</x:v>
      </x:c>
      <x:c r="G1702" s="10" t="n">
        <x:f>IF(F1702="SÍ",EOMONTH(E1702,0)+1,DATE(YEAR(E1702),MONTH(E1702),1))</x:f>
        <x:v>47331</x:v>
      </x:c>
      <x:c r="H1702" t="str">
        <x:f>IF(D1702="NO",IF(C1702="SÍ","FERIADO","FIN DE SEMANA"),"LABORABLE")&amp;IF(F1702="SÍ"," + CIERRE","")</x:f>
        <x:v>LABORABLE</x:v>
      </x:c>
      <x:c r="I1702" t="str">
        <x:f>TEXT(G1702,"yyyy-mm")</x:f>
        <x:v>2029-08</x:v>
      </x:c>
    </x:row>
    <x:row r="1703" ht="19" customHeight="1">
      <x:c r="A1703" s="2" t="n">
        <x:v>47359</x:v>
      </x:c>
      <x:c r="B1703" t="str">
        <x:f>CHOOSE(WEEKDAY(A1703,2),"Lunes","Martes","Miércoles","Jueves","Viernes","Sábado","Domingo")</x:f>
        <x:v>Miércoles</x:v>
      </x:c>
      <x:c r="C1703" t="str">
        <x:f>IF(COUNTIF(FERIADOS!$A$2:$A$250,A1703)&gt;0,"SÍ","NO")</x:f>
        <x:v>NO</x:v>
      </x:c>
      <x:c r="D1703" t="str">
        <x:f>IF(AND(WEEKDAY(A1703,2)&lt;=5,C1703="NO"),"SÍ","NO")</x:f>
        <x:v>SÍ</x:v>
      </x:c>
      <x:c r="E1703" s="2" t="n">
        <x:f>WORKDAY.INTL(A1703-1,1,1,FERIADOS!$A$2:$A$250)</x:f>
        <x:v>47359</x:v>
      </x:c>
      <x:c r="F1703" t="str">
        <x:f>IF(E1703&gt;=WORKDAY.INTL(EOMONTH(E1703,0)+1,-2,1,FERIADOS!$A$2:$A$250),"SÍ","NO")</x:f>
        <x:v>NO</x:v>
      </x:c>
      <x:c r="G1703" s="10" t="n">
        <x:f>IF(F1703="SÍ",EOMONTH(E1703,0)+1,DATE(YEAR(E1703),MONTH(E1703),1))</x:f>
        <x:v>47331</x:v>
      </x:c>
      <x:c r="H1703" t="str">
        <x:f>IF(D1703="NO",IF(C1703="SÍ","FERIADO","FIN DE SEMANA"),"LABORABLE")&amp;IF(F1703="SÍ"," + CIERRE","")</x:f>
        <x:v>LABORABLE</x:v>
      </x:c>
      <x:c r="I1703" t="str">
        <x:f>TEXT(G1703,"yyyy-mm")</x:f>
        <x:v>2029-08</x:v>
      </x:c>
    </x:row>
    <x:row r="1704" ht="19" customHeight="1">
      <x:c r="A1704" s="2" t="n">
        <x:v>47360</x:v>
      </x:c>
      <x:c r="B1704" t="str">
        <x:f>CHOOSE(WEEKDAY(A1704,2),"Lunes","Martes","Miércoles","Jueves","Viernes","Sábado","Domingo")</x:f>
        <x:v>Jueves</x:v>
      </x:c>
      <x:c r="C1704" t="str">
        <x:f>IF(COUNTIF(FERIADOS!$A$2:$A$250,A1704)&gt;0,"SÍ","NO")</x:f>
        <x:v>NO</x:v>
      </x:c>
      <x:c r="D1704" t="str">
        <x:f>IF(AND(WEEKDAY(A1704,2)&lt;=5,C1704="NO"),"SÍ","NO")</x:f>
        <x:v>SÍ</x:v>
      </x:c>
      <x:c r="E1704" s="2" t="n">
        <x:f>WORKDAY.INTL(A1704-1,1,1,FERIADOS!$A$2:$A$250)</x:f>
        <x:v>47360</x:v>
      </x:c>
      <x:c r="F1704" t="str">
        <x:f>IF(E1704&gt;=WORKDAY.INTL(EOMONTH(E1704,0)+1,-2,1,FERIADOS!$A$2:$A$250),"SÍ","NO")</x:f>
        <x:v>SÍ</x:v>
      </x:c>
      <x:c r="G1704" s="10" t="n">
        <x:f>IF(F1704="SÍ",EOMONTH(E1704,0)+1,DATE(YEAR(E1704),MONTH(E1704),1))</x:f>
        <x:v>47362</x:v>
      </x:c>
      <x:c r="H1704" t="str">
        <x:f>IF(D1704="NO",IF(C1704="SÍ","FERIADO","FIN DE SEMANA"),"LABORABLE")&amp;IF(F1704="SÍ"," + CIERRE","")</x:f>
        <x:v>LABORABLE + CIERRE</x:v>
      </x:c>
      <x:c r="I1704" t="str">
        <x:f>TEXT(G1704,"yyyy-mm")</x:f>
        <x:v>2029-09</x:v>
      </x:c>
    </x:row>
    <x:row r="1705" ht="19" customHeight="1">
      <x:c r="A1705" s="2" t="n">
        <x:v>47361</x:v>
      </x:c>
      <x:c r="B1705" t="str">
        <x:f>CHOOSE(WEEKDAY(A1705,2),"Lunes","Martes","Miércoles","Jueves","Viernes","Sábado","Domingo")</x:f>
        <x:v>Viernes</x:v>
      </x:c>
      <x:c r="C1705" t="str">
        <x:f>IF(COUNTIF(FERIADOS!$A$2:$A$250,A1705)&gt;0,"SÍ","NO")</x:f>
        <x:v>NO</x:v>
      </x:c>
      <x:c r="D1705" t="str">
        <x:f>IF(AND(WEEKDAY(A1705,2)&lt;=5,C1705="NO"),"SÍ","NO")</x:f>
        <x:v>SÍ</x:v>
      </x:c>
      <x:c r="E1705" s="2" t="n">
        <x:f>WORKDAY.INTL(A1705-1,1,1,FERIADOS!$A$2:$A$250)</x:f>
        <x:v>47361</x:v>
      </x:c>
      <x:c r="F1705" t="str">
        <x:f>IF(E1705&gt;=WORKDAY.INTL(EOMONTH(E1705,0)+1,-2,1,FERIADOS!$A$2:$A$250),"SÍ","NO")</x:f>
        <x:v>SÍ</x:v>
      </x:c>
      <x:c r="G1705" s="10" t="n">
        <x:f>IF(F1705="SÍ",EOMONTH(E1705,0)+1,DATE(YEAR(E1705),MONTH(E1705),1))</x:f>
        <x:v>47362</x:v>
      </x:c>
      <x:c r="H1705" t="str">
        <x:f>IF(D1705="NO",IF(C1705="SÍ","FERIADO","FIN DE SEMANA"),"LABORABLE")&amp;IF(F1705="SÍ"," + CIERRE","")</x:f>
        <x:v>LABORABLE + CIERRE</x:v>
      </x:c>
      <x:c r="I1705" t="str">
        <x:f>TEXT(G1705,"yyyy-mm")</x:f>
        <x:v>2029-09</x:v>
      </x:c>
    </x:row>
    <x:row r="1706" ht="19" customHeight="1">
      <x:c r="A1706" s="2" t="n">
        <x:v>47362</x:v>
      </x:c>
      <x:c r="B1706" t="str">
        <x:f>CHOOSE(WEEKDAY(A1706,2),"Lunes","Martes","Miércoles","Jueves","Viernes","Sábado","Domingo")</x:f>
        <x:v>Sábado</x:v>
      </x:c>
      <x:c r="C1706" t="str">
        <x:f>IF(COUNTIF(FERIADOS!$A$2:$A$250,A1706)&gt;0,"SÍ","NO")</x:f>
        <x:v>NO</x:v>
      </x:c>
      <x:c r="D1706" t="str">
        <x:f>IF(AND(WEEKDAY(A1706,2)&lt;=5,C1706="NO"),"SÍ","NO")</x:f>
        <x:v>NO</x:v>
      </x:c>
      <x:c r="E1706" s="2" t="n">
        <x:f>WORKDAY.INTL(A1706-1,1,1,FERIADOS!$A$2:$A$250)</x:f>
        <x:v>47364</x:v>
      </x:c>
      <x:c r="F1706" t="str">
        <x:f>IF(E1706&gt;=WORKDAY.INTL(EOMONTH(E1706,0)+1,-2,1,FERIADOS!$A$2:$A$250),"SÍ","NO")</x:f>
        <x:v>NO</x:v>
      </x:c>
      <x:c r="G1706" s="10" t="n">
        <x:f>IF(F1706="SÍ",EOMONTH(E1706,0)+1,DATE(YEAR(E1706),MONTH(E1706),1))</x:f>
        <x:v>47362</x:v>
      </x:c>
      <x:c r="H1706" t="str">
        <x:f>IF(D1706="NO",IF(C1706="SÍ","FERIADO","FIN DE SEMANA"),"LABORABLE")&amp;IF(F1706="SÍ"," + CIERRE","")</x:f>
        <x:v>FIN DE SEMANA</x:v>
      </x:c>
      <x:c r="I1706" t="str">
        <x:f>TEXT(G1706,"yyyy-mm")</x:f>
        <x:v>2029-09</x:v>
      </x:c>
    </x:row>
    <x:row r="1707" ht="19" customHeight="1">
      <x:c r="A1707" s="2" t="n">
        <x:v>47363</x:v>
      </x:c>
      <x:c r="B1707" t="str">
        <x:f>CHOOSE(WEEKDAY(A1707,2),"Lunes","Martes","Miércoles","Jueves","Viernes","Sábado","Domingo")</x:f>
        <x:v>Domingo</x:v>
      </x:c>
      <x:c r="C1707" t="str">
        <x:f>IF(COUNTIF(FERIADOS!$A$2:$A$250,A1707)&gt;0,"SÍ","NO")</x:f>
        <x:v>NO</x:v>
      </x:c>
      <x:c r="D1707" t="str">
        <x:f>IF(AND(WEEKDAY(A1707,2)&lt;=5,C1707="NO"),"SÍ","NO")</x:f>
        <x:v>NO</x:v>
      </x:c>
      <x:c r="E1707" s="2" t="n">
        <x:f>WORKDAY.INTL(A1707-1,1,1,FERIADOS!$A$2:$A$250)</x:f>
        <x:v>47364</x:v>
      </x:c>
      <x:c r="F1707" t="str">
        <x:f>IF(E1707&gt;=WORKDAY.INTL(EOMONTH(E1707,0)+1,-2,1,FERIADOS!$A$2:$A$250),"SÍ","NO")</x:f>
        <x:v>NO</x:v>
      </x:c>
      <x:c r="G1707" s="10" t="n">
        <x:f>IF(F1707="SÍ",EOMONTH(E1707,0)+1,DATE(YEAR(E1707),MONTH(E1707),1))</x:f>
        <x:v>47362</x:v>
      </x:c>
      <x:c r="H1707" t="str">
        <x:f>IF(D1707="NO",IF(C1707="SÍ","FERIADO","FIN DE SEMANA"),"LABORABLE")&amp;IF(F1707="SÍ"," + CIERRE","")</x:f>
        <x:v>FIN DE SEMANA</x:v>
      </x:c>
      <x:c r="I1707" t="str">
        <x:f>TEXT(G1707,"yyyy-mm")</x:f>
        <x:v>2029-09</x:v>
      </x:c>
    </x:row>
    <x:row r="1708" ht="19" customHeight="1">
      <x:c r="A1708" s="2" t="n">
        <x:v>47364</x:v>
      </x:c>
      <x:c r="B1708" t="str">
        <x:f>CHOOSE(WEEKDAY(A1708,2),"Lunes","Martes","Miércoles","Jueves","Viernes","Sábado","Domingo")</x:f>
        <x:v>Lunes</x:v>
      </x:c>
      <x:c r="C1708" t="str">
        <x:f>IF(COUNTIF(FERIADOS!$A$2:$A$250,A1708)&gt;0,"SÍ","NO")</x:f>
        <x:v>NO</x:v>
      </x:c>
      <x:c r="D1708" t="str">
        <x:f>IF(AND(WEEKDAY(A1708,2)&lt;=5,C1708="NO"),"SÍ","NO")</x:f>
        <x:v>SÍ</x:v>
      </x:c>
      <x:c r="E1708" s="2" t="n">
        <x:f>WORKDAY.INTL(A1708-1,1,1,FERIADOS!$A$2:$A$250)</x:f>
        <x:v>47364</x:v>
      </x:c>
      <x:c r="F1708" t="str">
        <x:f>IF(E1708&gt;=WORKDAY.INTL(EOMONTH(E1708,0)+1,-2,1,FERIADOS!$A$2:$A$250),"SÍ","NO")</x:f>
        <x:v>NO</x:v>
      </x:c>
      <x:c r="G1708" s="10" t="n">
        <x:f>IF(F1708="SÍ",EOMONTH(E1708,0)+1,DATE(YEAR(E1708),MONTH(E1708),1))</x:f>
        <x:v>47362</x:v>
      </x:c>
      <x:c r="H1708" t="str">
        <x:f>IF(D1708="NO",IF(C1708="SÍ","FERIADO","FIN DE SEMANA"),"LABORABLE")&amp;IF(F1708="SÍ"," + CIERRE","")</x:f>
        <x:v>LABORABLE</x:v>
      </x:c>
      <x:c r="I1708" t="str">
        <x:f>TEXT(G1708,"yyyy-mm")</x:f>
        <x:v>2029-09</x:v>
      </x:c>
    </x:row>
    <x:row r="1709" ht="19" customHeight="1">
      <x:c r="A1709" s="2" t="n">
        <x:v>47365</x:v>
      </x:c>
      <x:c r="B1709" t="str">
        <x:f>CHOOSE(WEEKDAY(A1709,2),"Lunes","Martes","Miércoles","Jueves","Viernes","Sábado","Domingo")</x:f>
        <x:v>Martes</x:v>
      </x:c>
      <x:c r="C1709" t="str">
        <x:f>IF(COUNTIF(FERIADOS!$A$2:$A$250,A1709)&gt;0,"SÍ","NO")</x:f>
        <x:v>NO</x:v>
      </x:c>
      <x:c r="D1709" t="str">
        <x:f>IF(AND(WEEKDAY(A1709,2)&lt;=5,C1709="NO"),"SÍ","NO")</x:f>
        <x:v>SÍ</x:v>
      </x:c>
      <x:c r="E1709" s="2" t="n">
        <x:f>WORKDAY.INTL(A1709-1,1,1,FERIADOS!$A$2:$A$250)</x:f>
        <x:v>47365</x:v>
      </x:c>
      <x:c r="F1709" t="str">
        <x:f>IF(E1709&gt;=WORKDAY.INTL(EOMONTH(E1709,0)+1,-2,1,FERIADOS!$A$2:$A$250),"SÍ","NO")</x:f>
        <x:v>NO</x:v>
      </x:c>
      <x:c r="G1709" s="10" t="n">
        <x:f>IF(F1709="SÍ",EOMONTH(E1709,0)+1,DATE(YEAR(E1709),MONTH(E1709),1))</x:f>
        <x:v>47362</x:v>
      </x:c>
      <x:c r="H1709" t="str">
        <x:f>IF(D1709="NO",IF(C1709="SÍ","FERIADO","FIN DE SEMANA"),"LABORABLE")&amp;IF(F1709="SÍ"," + CIERRE","")</x:f>
        <x:v>LABORABLE</x:v>
      </x:c>
      <x:c r="I1709" t="str">
        <x:f>TEXT(G1709,"yyyy-mm")</x:f>
        <x:v>2029-09</x:v>
      </x:c>
    </x:row>
    <x:row r="1710" ht="19" customHeight="1">
      <x:c r="A1710" s="2" t="n">
        <x:v>47366</x:v>
      </x:c>
      <x:c r="B1710" t="str">
        <x:f>CHOOSE(WEEKDAY(A1710,2),"Lunes","Martes","Miércoles","Jueves","Viernes","Sábado","Domingo")</x:f>
        <x:v>Miércoles</x:v>
      </x:c>
      <x:c r="C1710" t="str">
        <x:f>IF(COUNTIF(FERIADOS!$A$2:$A$250,A1710)&gt;0,"SÍ","NO")</x:f>
        <x:v>NO</x:v>
      </x:c>
      <x:c r="D1710" t="str">
        <x:f>IF(AND(WEEKDAY(A1710,2)&lt;=5,C1710="NO"),"SÍ","NO")</x:f>
        <x:v>SÍ</x:v>
      </x:c>
      <x:c r="E1710" s="2" t="n">
        <x:f>WORKDAY.INTL(A1710-1,1,1,FERIADOS!$A$2:$A$250)</x:f>
        <x:v>47366</x:v>
      </x:c>
      <x:c r="F1710" t="str">
        <x:f>IF(E1710&gt;=WORKDAY.INTL(EOMONTH(E1710,0)+1,-2,1,FERIADOS!$A$2:$A$250),"SÍ","NO")</x:f>
        <x:v>NO</x:v>
      </x:c>
      <x:c r="G1710" s="10" t="n">
        <x:f>IF(F1710="SÍ",EOMONTH(E1710,0)+1,DATE(YEAR(E1710),MONTH(E1710),1))</x:f>
        <x:v>47362</x:v>
      </x:c>
      <x:c r="H1710" t="str">
        <x:f>IF(D1710="NO",IF(C1710="SÍ","FERIADO","FIN DE SEMANA"),"LABORABLE")&amp;IF(F1710="SÍ"," + CIERRE","")</x:f>
        <x:v>LABORABLE</x:v>
      </x:c>
      <x:c r="I1710" t="str">
        <x:f>TEXT(G1710,"yyyy-mm")</x:f>
        <x:v>2029-09</x:v>
      </x:c>
    </x:row>
    <x:row r="1711" ht="19" customHeight="1">
      <x:c r="A1711" s="2" t="n">
        <x:v>47367</x:v>
      </x:c>
      <x:c r="B1711" t="str">
        <x:f>CHOOSE(WEEKDAY(A1711,2),"Lunes","Martes","Miércoles","Jueves","Viernes","Sábado","Domingo")</x:f>
        <x:v>Jueves</x:v>
      </x:c>
      <x:c r="C1711" t="str">
        <x:f>IF(COUNTIF(FERIADOS!$A$2:$A$250,A1711)&gt;0,"SÍ","NO")</x:f>
        <x:v>NO</x:v>
      </x:c>
      <x:c r="D1711" t="str">
        <x:f>IF(AND(WEEKDAY(A1711,2)&lt;=5,C1711="NO"),"SÍ","NO")</x:f>
        <x:v>SÍ</x:v>
      </x:c>
      <x:c r="E1711" s="2" t="n">
        <x:f>WORKDAY.INTL(A1711-1,1,1,FERIADOS!$A$2:$A$250)</x:f>
        <x:v>47367</x:v>
      </x:c>
      <x:c r="F1711" t="str">
        <x:f>IF(E1711&gt;=WORKDAY.INTL(EOMONTH(E1711,0)+1,-2,1,FERIADOS!$A$2:$A$250),"SÍ","NO")</x:f>
        <x:v>NO</x:v>
      </x:c>
      <x:c r="G1711" s="10" t="n">
        <x:f>IF(F1711="SÍ",EOMONTH(E1711,0)+1,DATE(YEAR(E1711),MONTH(E1711),1))</x:f>
        <x:v>47362</x:v>
      </x:c>
      <x:c r="H1711" t="str">
        <x:f>IF(D1711="NO",IF(C1711="SÍ","FERIADO","FIN DE SEMANA"),"LABORABLE")&amp;IF(F1711="SÍ"," + CIERRE","")</x:f>
        <x:v>LABORABLE</x:v>
      </x:c>
      <x:c r="I1711" t="str">
        <x:f>TEXT(G1711,"yyyy-mm")</x:f>
        <x:v>2029-09</x:v>
      </x:c>
    </x:row>
    <x:row r="1712" ht="19" customHeight="1">
      <x:c r="A1712" s="2" t="n">
        <x:v>47368</x:v>
      </x:c>
      <x:c r="B1712" t="str">
        <x:f>CHOOSE(WEEKDAY(A1712,2),"Lunes","Martes","Miércoles","Jueves","Viernes","Sábado","Domingo")</x:f>
        <x:v>Viernes</x:v>
      </x:c>
      <x:c r="C1712" t="str">
        <x:f>IF(COUNTIF(FERIADOS!$A$2:$A$250,A1712)&gt;0,"SÍ","NO")</x:f>
        <x:v>NO</x:v>
      </x:c>
      <x:c r="D1712" t="str">
        <x:f>IF(AND(WEEKDAY(A1712,2)&lt;=5,C1712="NO"),"SÍ","NO")</x:f>
        <x:v>SÍ</x:v>
      </x:c>
      <x:c r="E1712" s="2" t="n">
        <x:f>WORKDAY.INTL(A1712-1,1,1,FERIADOS!$A$2:$A$250)</x:f>
        <x:v>47368</x:v>
      </x:c>
      <x:c r="F1712" t="str">
        <x:f>IF(E1712&gt;=WORKDAY.INTL(EOMONTH(E1712,0)+1,-2,1,FERIADOS!$A$2:$A$250),"SÍ","NO")</x:f>
        <x:v>NO</x:v>
      </x:c>
      <x:c r="G1712" s="10" t="n">
        <x:f>IF(F1712="SÍ",EOMONTH(E1712,0)+1,DATE(YEAR(E1712),MONTH(E1712),1))</x:f>
        <x:v>47362</x:v>
      </x:c>
      <x:c r="H1712" t="str">
        <x:f>IF(D1712="NO",IF(C1712="SÍ","FERIADO","FIN DE SEMANA"),"LABORABLE")&amp;IF(F1712="SÍ"," + CIERRE","")</x:f>
        <x:v>LABORABLE</x:v>
      </x:c>
      <x:c r="I1712" t="str">
        <x:f>TEXT(G1712,"yyyy-mm")</x:f>
        <x:v>2029-09</x:v>
      </x:c>
    </x:row>
    <x:row r="1713" ht="19" customHeight="1">
      <x:c r="A1713" s="2" t="n">
        <x:v>47369</x:v>
      </x:c>
      <x:c r="B1713" t="str">
        <x:f>CHOOSE(WEEKDAY(A1713,2),"Lunes","Martes","Miércoles","Jueves","Viernes","Sábado","Domingo")</x:f>
        <x:v>Sábado</x:v>
      </x:c>
      <x:c r="C1713" t="str">
        <x:f>IF(COUNTIF(FERIADOS!$A$2:$A$250,A1713)&gt;0,"SÍ","NO")</x:f>
        <x:v>NO</x:v>
      </x:c>
      <x:c r="D1713" t="str">
        <x:f>IF(AND(WEEKDAY(A1713,2)&lt;=5,C1713="NO"),"SÍ","NO")</x:f>
        <x:v>NO</x:v>
      </x:c>
      <x:c r="E1713" s="2" t="n">
        <x:f>WORKDAY.INTL(A1713-1,1,1,FERIADOS!$A$2:$A$250)</x:f>
        <x:v>47371</x:v>
      </x:c>
      <x:c r="F1713" t="str">
        <x:f>IF(E1713&gt;=WORKDAY.INTL(EOMONTH(E1713,0)+1,-2,1,FERIADOS!$A$2:$A$250),"SÍ","NO")</x:f>
        <x:v>NO</x:v>
      </x:c>
      <x:c r="G1713" s="10" t="n">
        <x:f>IF(F1713="SÍ",EOMONTH(E1713,0)+1,DATE(YEAR(E1713),MONTH(E1713),1))</x:f>
        <x:v>47362</x:v>
      </x:c>
      <x:c r="H1713" t="str">
        <x:f>IF(D1713="NO",IF(C1713="SÍ","FERIADO","FIN DE SEMANA"),"LABORABLE")&amp;IF(F1713="SÍ"," + CIERRE","")</x:f>
        <x:v>FIN DE SEMANA</x:v>
      </x:c>
      <x:c r="I1713" t="str">
        <x:f>TEXT(G1713,"yyyy-mm")</x:f>
        <x:v>2029-09</x:v>
      </x:c>
    </x:row>
    <x:row r="1714" ht="19" customHeight="1">
      <x:c r="A1714" s="2" t="n">
        <x:v>47370</x:v>
      </x:c>
      <x:c r="B1714" t="str">
        <x:f>CHOOSE(WEEKDAY(A1714,2),"Lunes","Martes","Miércoles","Jueves","Viernes","Sábado","Domingo")</x:f>
        <x:v>Domingo</x:v>
      </x:c>
      <x:c r="C1714" t="str">
        <x:f>IF(COUNTIF(FERIADOS!$A$2:$A$250,A1714)&gt;0,"SÍ","NO")</x:f>
        <x:v>NO</x:v>
      </x:c>
      <x:c r="D1714" t="str">
        <x:f>IF(AND(WEEKDAY(A1714,2)&lt;=5,C1714="NO"),"SÍ","NO")</x:f>
        <x:v>NO</x:v>
      </x:c>
      <x:c r="E1714" s="2" t="n">
        <x:f>WORKDAY.INTL(A1714-1,1,1,FERIADOS!$A$2:$A$250)</x:f>
        <x:v>47371</x:v>
      </x:c>
      <x:c r="F1714" t="str">
        <x:f>IF(E1714&gt;=WORKDAY.INTL(EOMONTH(E1714,0)+1,-2,1,FERIADOS!$A$2:$A$250),"SÍ","NO")</x:f>
        <x:v>NO</x:v>
      </x:c>
      <x:c r="G1714" s="10" t="n">
        <x:f>IF(F1714="SÍ",EOMONTH(E1714,0)+1,DATE(YEAR(E1714),MONTH(E1714),1))</x:f>
        <x:v>47362</x:v>
      </x:c>
      <x:c r="H1714" t="str">
        <x:f>IF(D1714="NO",IF(C1714="SÍ","FERIADO","FIN DE SEMANA"),"LABORABLE")&amp;IF(F1714="SÍ"," + CIERRE","")</x:f>
        <x:v>FIN DE SEMANA</x:v>
      </x:c>
      <x:c r="I1714" t="str">
        <x:f>TEXT(G1714,"yyyy-mm")</x:f>
        <x:v>2029-09</x:v>
      </x:c>
    </x:row>
    <x:row r="1715" ht="19" customHeight="1">
      <x:c r="A1715" s="2" t="n">
        <x:v>47371</x:v>
      </x:c>
      <x:c r="B1715" t="str">
        <x:f>CHOOSE(WEEKDAY(A1715,2),"Lunes","Martes","Miércoles","Jueves","Viernes","Sábado","Domingo")</x:f>
        <x:v>Lunes</x:v>
      </x:c>
      <x:c r="C1715" t="str">
        <x:f>IF(COUNTIF(FERIADOS!$A$2:$A$250,A1715)&gt;0,"SÍ","NO")</x:f>
        <x:v>NO</x:v>
      </x:c>
      <x:c r="D1715" t="str">
        <x:f>IF(AND(WEEKDAY(A1715,2)&lt;=5,C1715="NO"),"SÍ","NO")</x:f>
        <x:v>SÍ</x:v>
      </x:c>
      <x:c r="E1715" s="2" t="n">
        <x:f>WORKDAY.INTL(A1715-1,1,1,FERIADOS!$A$2:$A$250)</x:f>
        <x:v>47371</x:v>
      </x:c>
      <x:c r="F1715" t="str">
        <x:f>IF(E1715&gt;=WORKDAY.INTL(EOMONTH(E1715,0)+1,-2,1,FERIADOS!$A$2:$A$250),"SÍ","NO")</x:f>
        <x:v>NO</x:v>
      </x:c>
      <x:c r="G1715" s="10" t="n">
        <x:f>IF(F1715="SÍ",EOMONTH(E1715,0)+1,DATE(YEAR(E1715),MONTH(E1715),1))</x:f>
        <x:v>47362</x:v>
      </x:c>
      <x:c r="H1715" t="str">
        <x:f>IF(D1715="NO",IF(C1715="SÍ","FERIADO","FIN DE SEMANA"),"LABORABLE")&amp;IF(F1715="SÍ"," + CIERRE","")</x:f>
        <x:v>LABORABLE</x:v>
      </x:c>
      <x:c r="I1715" t="str">
        <x:f>TEXT(G1715,"yyyy-mm")</x:f>
        <x:v>2029-09</x:v>
      </x:c>
    </x:row>
    <x:row r="1716" ht="19" customHeight="1">
      <x:c r="A1716" s="2" t="n">
        <x:v>47372</x:v>
      </x:c>
      <x:c r="B1716" t="str">
        <x:f>CHOOSE(WEEKDAY(A1716,2),"Lunes","Martes","Miércoles","Jueves","Viernes","Sábado","Domingo")</x:f>
        <x:v>Martes</x:v>
      </x:c>
      <x:c r="C1716" t="str">
        <x:f>IF(COUNTIF(FERIADOS!$A$2:$A$250,A1716)&gt;0,"SÍ","NO")</x:f>
        <x:v>NO</x:v>
      </x:c>
      <x:c r="D1716" t="str">
        <x:f>IF(AND(WEEKDAY(A1716,2)&lt;=5,C1716="NO"),"SÍ","NO")</x:f>
        <x:v>SÍ</x:v>
      </x:c>
      <x:c r="E1716" s="2" t="n">
        <x:f>WORKDAY.INTL(A1716-1,1,1,FERIADOS!$A$2:$A$250)</x:f>
        <x:v>47372</x:v>
      </x:c>
      <x:c r="F1716" t="str">
        <x:f>IF(E1716&gt;=WORKDAY.INTL(EOMONTH(E1716,0)+1,-2,1,FERIADOS!$A$2:$A$250),"SÍ","NO")</x:f>
        <x:v>NO</x:v>
      </x:c>
      <x:c r="G1716" s="10" t="n">
        <x:f>IF(F1716="SÍ",EOMONTH(E1716,0)+1,DATE(YEAR(E1716),MONTH(E1716),1))</x:f>
        <x:v>47362</x:v>
      </x:c>
      <x:c r="H1716" t="str">
        <x:f>IF(D1716="NO",IF(C1716="SÍ","FERIADO","FIN DE SEMANA"),"LABORABLE")&amp;IF(F1716="SÍ"," + CIERRE","")</x:f>
        <x:v>LABORABLE</x:v>
      </x:c>
      <x:c r="I1716" t="str">
        <x:f>TEXT(G1716,"yyyy-mm")</x:f>
        <x:v>2029-09</x:v>
      </x:c>
    </x:row>
    <x:row r="1717" ht="19" customHeight="1">
      <x:c r="A1717" s="2" t="n">
        <x:v>47373</x:v>
      </x:c>
      <x:c r="B1717" t="str">
        <x:f>CHOOSE(WEEKDAY(A1717,2),"Lunes","Martes","Miércoles","Jueves","Viernes","Sábado","Domingo")</x:f>
        <x:v>Miércoles</x:v>
      </x:c>
      <x:c r="C1717" t="str">
        <x:f>IF(COUNTIF(FERIADOS!$A$2:$A$250,A1717)&gt;0,"SÍ","NO")</x:f>
        <x:v>NO</x:v>
      </x:c>
      <x:c r="D1717" t="str">
        <x:f>IF(AND(WEEKDAY(A1717,2)&lt;=5,C1717="NO"),"SÍ","NO")</x:f>
        <x:v>SÍ</x:v>
      </x:c>
      <x:c r="E1717" s="2" t="n">
        <x:f>WORKDAY.INTL(A1717-1,1,1,FERIADOS!$A$2:$A$250)</x:f>
        <x:v>47373</x:v>
      </x:c>
      <x:c r="F1717" t="str">
        <x:f>IF(E1717&gt;=WORKDAY.INTL(EOMONTH(E1717,0)+1,-2,1,FERIADOS!$A$2:$A$250),"SÍ","NO")</x:f>
        <x:v>NO</x:v>
      </x:c>
      <x:c r="G1717" s="10" t="n">
        <x:f>IF(F1717="SÍ",EOMONTH(E1717,0)+1,DATE(YEAR(E1717),MONTH(E1717),1))</x:f>
        <x:v>47362</x:v>
      </x:c>
      <x:c r="H1717" t="str">
        <x:f>IF(D1717="NO",IF(C1717="SÍ","FERIADO","FIN DE SEMANA"),"LABORABLE")&amp;IF(F1717="SÍ"," + CIERRE","")</x:f>
        <x:v>LABORABLE</x:v>
      </x:c>
      <x:c r="I1717" t="str">
        <x:f>TEXT(G1717,"yyyy-mm")</x:f>
        <x:v>2029-09</x:v>
      </x:c>
    </x:row>
    <x:row r="1718" ht="19" customHeight="1">
      <x:c r="A1718" s="2" t="n">
        <x:v>47374</x:v>
      </x:c>
      <x:c r="B1718" t="str">
        <x:f>CHOOSE(WEEKDAY(A1718,2),"Lunes","Martes","Miércoles","Jueves","Viernes","Sábado","Domingo")</x:f>
        <x:v>Jueves</x:v>
      </x:c>
      <x:c r="C1718" t="str">
        <x:f>IF(COUNTIF(FERIADOS!$A$2:$A$250,A1718)&gt;0,"SÍ","NO")</x:f>
        <x:v>NO</x:v>
      </x:c>
      <x:c r="D1718" t="str">
        <x:f>IF(AND(WEEKDAY(A1718,2)&lt;=5,C1718="NO"),"SÍ","NO")</x:f>
        <x:v>SÍ</x:v>
      </x:c>
      <x:c r="E1718" s="2" t="n">
        <x:f>WORKDAY.INTL(A1718-1,1,1,FERIADOS!$A$2:$A$250)</x:f>
        <x:v>47374</x:v>
      </x:c>
      <x:c r="F1718" t="str">
        <x:f>IF(E1718&gt;=WORKDAY.INTL(EOMONTH(E1718,0)+1,-2,1,FERIADOS!$A$2:$A$250),"SÍ","NO")</x:f>
        <x:v>NO</x:v>
      </x:c>
      <x:c r="G1718" s="10" t="n">
        <x:f>IF(F1718="SÍ",EOMONTH(E1718,0)+1,DATE(YEAR(E1718),MONTH(E1718),1))</x:f>
        <x:v>47362</x:v>
      </x:c>
      <x:c r="H1718" t="str">
        <x:f>IF(D1718="NO",IF(C1718="SÍ","FERIADO","FIN DE SEMANA"),"LABORABLE")&amp;IF(F1718="SÍ"," + CIERRE","")</x:f>
        <x:v>LABORABLE</x:v>
      </x:c>
      <x:c r="I1718" t="str">
        <x:f>TEXT(G1718,"yyyy-mm")</x:f>
        <x:v>2029-09</x:v>
      </x:c>
    </x:row>
    <x:row r="1719" ht="19" customHeight="1">
      <x:c r="A1719" s="2" t="n">
        <x:v>47375</x:v>
      </x:c>
      <x:c r="B1719" t="str">
        <x:f>CHOOSE(WEEKDAY(A1719,2),"Lunes","Martes","Miércoles","Jueves","Viernes","Sábado","Domingo")</x:f>
        <x:v>Viernes</x:v>
      </x:c>
      <x:c r="C1719" t="str">
        <x:f>IF(COUNTIF(FERIADOS!$A$2:$A$250,A1719)&gt;0,"SÍ","NO")</x:f>
        <x:v>NO</x:v>
      </x:c>
      <x:c r="D1719" t="str">
        <x:f>IF(AND(WEEKDAY(A1719,2)&lt;=5,C1719="NO"),"SÍ","NO")</x:f>
        <x:v>SÍ</x:v>
      </x:c>
      <x:c r="E1719" s="2" t="n">
        <x:f>WORKDAY.INTL(A1719-1,1,1,FERIADOS!$A$2:$A$250)</x:f>
        <x:v>47375</x:v>
      </x:c>
      <x:c r="F1719" t="str">
        <x:f>IF(E1719&gt;=WORKDAY.INTL(EOMONTH(E1719,0)+1,-2,1,FERIADOS!$A$2:$A$250),"SÍ","NO")</x:f>
        <x:v>NO</x:v>
      </x:c>
      <x:c r="G1719" s="10" t="n">
        <x:f>IF(F1719="SÍ",EOMONTH(E1719,0)+1,DATE(YEAR(E1719),MONTH(E1719),1))</x:f>
        <x:v>47362</x:v>
      </x:c>
      <x:c r="H1719" t="str">
        <x:f>IF(D1719="NO",IF(C1719="SÍ","FERIADO","FIN DE SEMANA"),"LABORABLE")&amp;IF(F1719="SÍ"," + CIERRE","")</x:f>
        <x:v>LABORABLE</x:v>
      </x:c>
      <x:c r="I1719" t="str">
        <x:f>TEXT(G1719,"yyyy-mm")</x:f>
        <x:v>2029-09</x:v>
      </x:c>
    </x:row>
    <x:row r="1720" ht="19" customHeight="1">
      <x:c r="A1720" s="2" t="n">
        <x:v>47376</x:v>
      </x:c>
      <x:c r="B1720" t="str">
        <x:f>CHOOSE(WEEKDAY(A1720,2),"Lunes","Martes","Miércoles","Jueves","Viernes","Sábado","Domingo")</x:f>
        <x:v>Sábado</x:v>
      </x:c>
      <x:c r="C1720" t="str">
        <x:f>IF(COUNTIF(FERIADOS!$A$2:$A$250,A1720)&gt;0,"SÍ","NO")</x:f>
        <x:v>NO</x:v>
      </x:c>
      <x:c r="D1720" t="str">
        <x:f>IF(AND(WEEKDAY(A1720,2)&lt;=5,C1720="NO"),"SÍ","NO")</x:f>
        <x:v>NO</x:v>
      </x:c>
      <x:c r="E1720" s="2" t="n">
        <x:f>WORKDAY.INTL(A1720-1,1,1,FERIADOS!$A$2:$A$250)</x:f>
        <x:v>47378</x:v>
      </x:c>
      <x:c r="F1720" t="str">
        <x:f>IF(E1720&gt;=WORKDAY.INTL(EOMONTH(E1720,0)+1,-2,1,FERIADOS!$A$2:$A$250),"SÍ","NO")</x:f>
        <x:v>NO</x:v>
      </x:c>
      <x:c r="G1720" s="10" t="n">
        <x:f>IF(F1720="SÍ",EOMONTH(E1720,0)+1,DATE(YEAR(E1720),MONTH(E1720),1))</x:f>
        <x:v>47362</x:v>
      </x:c>
      <x:c r="H1720" t="str">
        <x:f>IF(D1720="NO",IF(C1720="SÍ","FERIADO","FIN DE SEMANA"),"LABORABLE")&amp;IF(F1720="SÍ"," + CIERRE","")</x:f>
        <x:v>FIN DE SEMANA</x:v>
      </x:c>
      <x:c r="I1720" t="str">
        <x:f>TEXT(G1720,"yyyy-mm")</x:f>
        <x:v>2029-09</x:v>
      </x:c>
    </x:row>
    <x:row r="1721" ht="19" customHeight="1">
      <x:c r="A1721" s="2" t="n">
        <x:v>47377</x:v>
      </x:c>
      <x:c r="B1721" t="str">
        <x:f>CHOOSE(WEEKDAY(A1721,2),"Lunes","Martes","Miércoles","Jueves","Viernes","Sábado","Domingo")</x:f>
        <x:v>Domingo</x:v>
      </x:c>
      <x:c r="C1721" t="str">
        <x:f>IF(COUNTIF(FERIADOS!$A$2:$A$250,A1721)&gt;0,"SÍ","NO")</x:f>
        <x:v>NO</x:v>
      </x:c>
      <x:c r="D1721" t="str">
        <x:f>IF(AND(WEEKDAY(A1721,2)&lt;=5,C1721="NO"),"SÍ","NO")</x:f>
        <x:v>NO</x:v>
      </x:c>
      <x:c r="E1721" s="2" t="n">
        <x:f>WORKDAY.INTL(A1721-1,1,1,FERIADOS!$A$2:$A$250)</x:f>
        <x:v>47378</x:v>
      </x:c>
      <x:c r="F1721" t="str">
        <x:f>IF(E1721&gt;=WORKDAY.INTL(EOMONTH(E1721,0)+1,-2,1,FERIADOS!$A$2:$A$250),"SÍ","NO")</x:f>
        <x:v>NO</x:v>
      </x:c>
      <x:c r="G1721" s="10" t="n">
        <x:f>IF(F1721="SÍ",EOMONTH(E1721,0)+1,DATE(YEAR(E1721),MONTH(E1721),1))</x:f>
        <x:v>47362</x:v>
      </x:c>
      <x:c r="H1721" t="str">
        <x:f>IF(D1721="NO",IF(C1721="SÍ","FERIADO","FIN DE SEMANA"),"LABORABLE")&amp;IF(F1721="SÍ"," + CIERRE","")</x:f>
        <x:v>FIN DE SEMANA</x:v>
      </x:c>
      <x:c r="I1721" t="str">
        <x:f>TEXT(G1721,"yyyy-mm")</x:f>
        <x:v>2029-09</x:v>
      </x:c>
    </x:row>
    <x:row r="1722" ht="19" customHeight="1">
      <x:c r="A1722" s="2" t="n">
        <x:v>47378</x:v>
      </x:c>
      <x:c r="B1722" t="str">
        <x:f>CHOOSE(WEEKDAY(A1722,2),"Lunes","Martes","Miércoles","Jueves","Viernes","Sábado","Domingo")</x:f>
        <x:v>Lunes</x:v>
      </x:c>
      <x:c r="C1722" t="str">
        <x:f>IF(COUNTIF(FERIADOS!$A$2:$A$250,A1722)&gt;0,"SÍ","NO")</x:f>
        <x:v>NO</x:v>
      </x:c>
      <x:c r="D1722" t="str">
        <x:f>IF(AND(WEEKDAY(A1722,2)&lt;=5,C1722="NO"),"SÍ","NO")</x:f>
        <x:v>SÍ</x:v>
      </x:c>
      <x:c r="E1722" s="2" t="n">
        <x:f>WORKDAY.INTL(A1722-1,1,1,FERIADOS!$A$2:$A$250)</x:f>
        <x:v>47378</x:v>
      </x:c>
      <x:c r="F1722" t="str">
        <x:f>IF(E1722&gt;=WORKDAY.INTL(EOMONTH(E1722,0)+1,-2,1,FERIADOS!$A$2:$A$250),"SÍ","NO")</x:f>
        <x:v>NO</x:v>
      </x:c>
      <x:c r="G1722" s="10" t="n">
        <x:f>IF(F1722="SÍ",EOMONTH(E1722,0)+1,DATE(YEAR(E1722),MONTH(E1722),1))</x:f>
        <x:v>47362</x:v>
      </x:c>
      <x:c r="H1722" t="str">
        <x:f>IF(D1722="NO",IF(C1722="SÍ","FERIADO","FIN DE SEMANA"),"LABORABLE")&amp;IF(F1722="SÍ"," + CIERRE","")</x:f>
        <x:v>LABORABLE</x:v>
      </x:c>
      <x:c r="I1722" t="str">
        <x:f>TEXT(G1722,"yyyy-mm")</x:f>
        <x:v>2029-09</x:v>
      </x:c>
    </x:row>
    <x:row r="1723" ht="19" customHeight="1">
      <x:c r="A1723" s="2" t="n">
        <x:v>47379</x:v>
      </x:c>
      <x:c r="B1723" t="str">
        <x:f>CHOOSE(WEEKDAY(A1723,2),"Lunes","Martes","Miércoles","Jueves","Viernes","Sábado","Domingo")</x:f>
        <x:v>Martes</x:v>
      </x:c>
      <x:c r="C1723" t="str">
        <x:f>IF(COUNTIF(FERIADOS!$A$2:$A$250,A1723)&gt;0,"SÍ","NO")</x:f>
        <x:v>NO</x:v>
      </x:c>
      <x:c r="D1723" t="str">
        <x:f>IF(AND(WEEKDAY(A1723,2)&lt;=5,C1723="NO"),"SÍ","NO")</x:f>
        <x:v>SÍ</x:v>
      </x:c>
      <x:c r="E1723" s="2" t="n">
        <x:f>WORKDAY.INTL(A1723-1,1,1,FERIADOS!$A$2:$A$250)</x:f>
        <x:v>47379</x:v>
      </x:c>
      <x:c r="F1723" t="str">
        <x:f>IF(E1723&gt;=WORKDAY.INTL(EOMONTH(E1723,0)+1,-2,1,FERIADOS!$A$2:$A$250),"SÍ","NO")</x:f>
        <x:v>NO</x:v>
      </x:c>
      <x:c r="G1723" s="10" t="n">
        <x:f>IF(F1723="SÍ",EOMONTH(E1723,0)+1,DATE(YEAR(E1723),MONTH(E1723),1))</x:f>
        <x:v>47362</x:v>
      </x:c>
      <x:c r="H1723" t="str">
        <x:f>IF(D1723="NO",IF(C1723="SÍ","FERIADO","FIN DE SEMANA"),"LABORABLE")&amp;IF(F1723="SÍ"," + CIERRE","")</x:f>
        <x:v>LABORABLE</x:v>
      </x:c>
      <x:c r="I1723" t="str">
        <x:f>TEXT(G1723,"yyyy-mm")</x:f>
        <x:v>2029-09</x:v>
      </x:c>
    </x:row>
    <x:row r="1724" ht="19" customHeight="1">
      <x:c r="A1724" s="2" t="n">
        <x:v>47380</x:v>
      </x:c>
      <x:c r="B1724" t="str">
        <x:f>CHOOSE(WEEKDAY(A1724,2),"Lunes","Martes","Miércoles","Jueves","Viernes","Sábado","Domingo")</x:f>
        <x:v>Miércoles</x:v>
      </x:c>
      <x:c r="C1724" t="str">
        <x:f>IF(COUNTIF(FERIADOS!$A$2:$A$250,A1724)&gt;0,"SÍ","NO")</x:f>
        <x:v>NO</x:v>
      </x:c>
      <x:c r="D1724" t="str">
        <x:f>IF(AND(WEEKDAY(A1724,2)&lt;=5,C1724="NO"),"SÍ","NO")</x:f>
        <x:v>SÍ</x:v>
      </x:c>
      <x:c r="E1724" s="2" t="n">
        <x:f>WORKDAY.INTL(A1724-1,1,1,FERIADOS!$A$2:$A$250)</x:f>
        <x:v>47380</x:v>
      </x:c>
      <x:c r="F1724" t="str">
        <x:f>IF(E1724&gt;=WORKDAY.INTL(EOMONTH(E1724,0)+1,-2,1,FERIADOS!$A$2:$A$250),"SÍ","NO")</x:f>
        <x:v>NO</x:v>
      </x:c>
      <x:c r="G1724" s="10" t="n">
        <x:f>IF(F1724="SÍ",EOMONTH(E1724,0)+1,DATE(YEAR(E1724),MONTH(E1724),1))</x:f>
        <x:v>47362</x:v>
      </x:c>
      <x:c r="H1724" t="str">
        <x:f>IF(D1724="NO",IF(C1724="SÍ","FERIADO","FIN DE SEMANA"),"LABORABLE")&amp;IF(F1724="SÍ"," + CIERRE","")</x:f>
        <x:v>LABORABLE</x:v>
      </x:c>
      <x:c r="I1724" t="str">
        <x:f>TEXT(G1724,"yyyy-mm")</x:f>
        <x:v>2029-09</x:v>
      </x:c>
    </x:row>
    <x:row r="1725" ht="19" customHeight="1">
      <x:c r="A1725" s="2" t="n">
        <x:v>47381</x:v>
      </x:c>
      <x:c r="B1725" t="str">
        <x:f>CHOOSE(WEEKDAY(A1725,2),"Lunes","Martes","Miércoles","Jueves","Viernes","Sábado","Domingo")</x:f>
        <x:v>Jueves</x:v>
      </x:c>
      <x:c r="C1725" t="str">
        <x:f>IF(COUNTIF(FERIADOS!$A$2:$A$250,A1725)&gt;0,"SÍ","NO")</x:f>
        <x:v>NO</x:v>
      </x:c>
      <x:c r="D1725" t="str">
        <x:f>IF(AND(WEEKDAY(A1725,2)&lt;=5,C1725="NO"),"SÍ","NO")</x:f>
        <x:v>SÍ</x:v>
      </x:c>
      <x:c r="E1725" s="2" t="n">
        <x:f>WORKDAY.INTL(A1725-1,1,1,FERIADOS!$A$2:$A$250)</x:f>
        <x:v>47381</x:v>
      </x:c>
      <x:c r="F1725" t="str">
        <x:f>IF(E1725&gt;=WORKDAY.INTL(EOMONTH(E1725,0)+1,-2,1,FERIADOS!$A$2:$A$250),"SÍ","NO")</x:f>
        <x:v>NO</x:v>
      </x:c>
      <x:c r="G1725" s="10" t="n">
        <x:f>IF(F1725="SÍ",EOMONTH(E1725,0)+1,DATE(YEAR(E1725),MONTH(E1725),1))</x:f>
        <x:v>47362</x:v>
      </x:c>
      <x:c r="H1725" t="str">
        <x:f>IF(D1725="NO",IF(C1725="SÍ","FERIADO","FIN DE SEMANA"),"LABORABLE")&amp;IF(F1725="SÍ"," + CIERRE","")</x:f>
        <x:v>LABORABLE</x:v>
      </x:c>
      <x:c r="I1725" t="str">
        <x:f>TEXT(G1725,"yyyy-mm")</x:f>
        <x:v>2029-09</x:v>
      </x:c>
    </x:row>
    <x:row r="1726" ht="19" customHeight="1">
      <x:c r="A1726" s="2" t="n">
        <x:v>47382</x:v>
      </x:c>
      <x:c r="B1726" t="str">
        <x:f>CHOOSE(WEEKDAY(A1726,2),"Lunes","Martes","Miércoles","Jueves","Viernes","Sábado","Domingo")</x:f>
        <x:v>Viernes</x:v>
      </x:c>
      <x:c r="C1726" t="str">
        <x:f>IF(COUNTIF(FERIADOS!$A$2:$A$250,A1726)&gt;0,"SÍ","NO")</x:f>
        <x:v>NO</x:v>
      </x:c>
      <x:c r="D1726" t="str">
        <x:f>IF(AND(WEEKDAY(A1726,2)&lt;=5,C1726="NO"),"SÍ","NO")</x:f>
        <x:v>SÍ</x:v>
      </x:c>
      <x:c r="E1726" s="2" t="n">
        <x:f>WORKDAY.INTL(A1726-1,1,1,FERIADOS!$A$2:$A$250)</x:f>
        <x:v>47382</x:v>
      </x:c>
      <x:c r="F1726" t="str">
        <x:f>IF(E1726&gt;=WORKDAY.INTL(EOMONTH(E1726,0)+1,-2,1,FERIADOS!$A$2:$A$250),"SÍ","NO")</x:f>
        <x:v>NO</x:v>
      </x:c>
      <x:c r="G1726" s="10" t="n">
        <x:f>IF(F1726="SÍ",EOMONTH(E1726,0)+1,DATE(YEAR(E1726),MONTH(E1726),1))</x:f>
        <x:v>47362</x:v>
      </x:c>
      <x:c r="H1726" t="str">
        <x:f>IF(D1726="NO",IF(C1726="SÍ","FERIADO","FIN DE SEMANA"),"LABORABLE")&amp;IF(F1726="SÍ"," + CIERRE","")</x:f>
        <x:v>LABORABLE</x:v>
      </x:c>
      <x:c r="I1726" t="str">
        <x:f>TEXT(G1726,"yyyy-mm")</x:f>
        <x:v>2029-09</x:v>
      </x:c>
    </x:row>
    <x:row r="1727" ht="19" customHeight="1">
      <x:c r="A1727" s="2" t="n">
        <x:v>47383</x:v>
      </x:c>
      <x:c r="B1727" t="str">
        <x:f>CHOOSE(WEEKDAY(A1727,2),"Lunes","Martes","Miércoles","Jueves","Viernes","Sábado","Domingo")</x:f>
        <x:v>Sábado</x:v>
      </x:c>
      <x:c r="C1727" t="str">
        <x:f>IF(COUNTIF(FERIADOS!$A$2:$A$250,A1727)&gt;0,"SÍ","NO")</x:f>
        <x:v>NO</x:v>
      </x:c>
      <x:c r="D1727" t="str">
        <x:f>IF(AND(WEEKDAY(A1727,2)&lt;=5,C1727="NO"),"SÍ","NO")</x:f>
        <x:v>NO</x:v>
      </x:c>
      <x:c r="E1727" s="2" t="n">
        <x:f>WORKDAY.INTL(A1727-1,1,1,FERIADOS!$A$2:$A$250)</x:f>
        <x:v>47385</x:v>
      </x:c>
      <x:c r="F1727" t="str">
        <x:f>IF(E1727&gt;=WORKDAY.INTL(EOMONTH(E1727,0)+1,-2,1,FERIADOS!$A$2:$A$250),"SÍ","NO")</x:f>
        <x:v>NO</x:v>
      </x:c>
      <x:c r="G1727" s="10" t="n">
        <x:f>IF(F1727="SÍ",EOMONTH(E1727,0)+1,DATE(YEAR(E1727),MONTH(E1727),1))</x:f>
        <x:v>47362</x:v>
      </x:c>
      <x:c r="H1727" t="str">
        <x:f>IF(D1727="NO",IF(C1727="SÍ","FERIADO","FIN DE SEMANA"),"LABORABLE")&amp;IF(F1727="SÍ"," + CIERRE","")</x:f>
        <x:v>FIN DE SEMANA</x:v>
      </x:c>
      <x:c r="I1727" t="str">
        <x:f>TEXT(G1727,"yyyy-mm")</x:f>
        <x:v>2029-09</x:v>
      </x:c>
    </x:row>
    <x:row r="1728" ht="19" customHeight="1">
      <x:c r="A1728" s="2" t="n">
        <x:v>47384</x:v>
      </x:c>
      <x:c r="B1728" t="str">
        <x:f>CHOOSE(WEEKDAY(A1728,2),"Lunes","Martes","Miércoles","Jueves","Viernes","Sábado","Domingo")</x:f>
        <x:v>Domingo</x:v>
      </x:c>
      <x:c r="C1728" t="str">
        <x:f>IF(COUNTIF(FERIADOS!$A$2:$A$250,A1728)&gt;0,"SÍ","NO")</x:f>
        <x:v>NO</x:v>
      </x:c>
      <x:c r="D1728" t="str">
        <x:f>IF(AND(WEEKDAY(A1728,2)&lt;=5,C1728="NO"),"SÍ","NO")</x:f>
        <x:v>NO</x:v>
      </x:c>
      <x:c r="E1728" s="2" t="n">
        <x:f>WORKDAY.INTL(A1728-1,1,1,FERIADOS!$A$2:$A$250)</x:f>
        <x:v>47385</x:v>
      </x:c>
      <x:c r="F1728" t="str">
        <x:f>IF(E1728&gt;=WORKDAY.INTL(EOMONTH(E1728,0)+1,-2,1,FERIADOS!$A$2:$A$250),"SÍ","NO")</x:f>
        <x:v>NO</x:v>
      </x:c>
      <x:c r="G1728" s="10" t="n">
        <x:f>IF(F1728="SÍ",EOMONTH(E1728,0)+1,DATE(YEAR(E1728),MONTH(E1728),1))</x:f>
        <x:v>47362</x:v>
      </x:c>
      <x:c r="H1728" t="str">
        <x:f>IF(D1728="NO",IF(C1728="SÍ","FERIADO","FIN DE SEMANA"),"LABORABLE")&amp;IF(F1728="SÍ"," + CIERRE","")</x:f>
        <x:v>FIN DE SEMANA</x:v>
      </x:c>
      <x:c r="I1728" t="str">
        <x:f>TEXT(G1728,"yyyy-mm")</x:f>
        <x:v>2029-09</x:v>
      </x:c>
    </x:row>
    <x:row r="1729" ht="19" customHeight="1">
      <x:c r="A1729" s="2" t="n">
        <x:v>47385</x:v>
      </x:c>
      <x:c r="B1729" t="str">
        <x:f>CHOOSE(WEEKDAY(A1729,2),"Lunes","Martes","Miércoles","Jueves","Viernes","Sábado","Domingo")</x:f>
        <x:v>Lunes</x:v>
      </x:c>
      <x:c r="C1729" t="str">
        <x:f>IF(COUNTIF(FERIADOS!$A$2:$A$250,A1729)&gt;0,"SÍ","NO")</x:f>
        <x:v>NO</x:v>
      </x:c>
      <x:c r="D1729" t="str">
        <x:f>IF(AND(WEEKDAY(A1729,2)&lt;=5,C1729="NO"),"SÍ","NO")</x:f>
        <x:v>SÍ</x:v>
      </x:c>
      <x:c r="E1729" s="2" t="n">
        <x:f>WORKDAY.INTL(A1729-1,1,1,FERIADOS!$A$2:$A$250)</x:f>
        <x:v>47385</x:v>
      </x:c>
      <x:c r="F1729" t="str">
        <x:f>IF(E1729&gt;=WORKDAY.INTL(EOMONTH(E1729,0)+1,-2,1,FERIADOS!$A$2:$A$250),"SÍ","NO")</x:f>
        <x:v>NO</x:v>
      </x:c>
      <x:c r="G1729" s="10" t="n">
        <x:f>IF(F1729="SÍ",EOMONTH(E1729,0)+1,DATE(YEAR(E1729),MONTH(E1729),1))</x:f>
        <x:v>47362</x:v>
      </x:c>
      <x:c r="H1729" t="str">
        <x:f>IF(D1729="NO",IF(C1729="SÍ","FERIADO","FIN DE SEMANA"),"LABORABLE")&amp;IF(F1729="SÍ"," + CIERRE","")</x:f>
        <x:v>LABORABLE</x:v>
      </x:c>
      <x:c r="I1729" t="str">
        <x:f>TEXT(G1729,"yyyy-mm")</x:f>
        <x:v>2029-09</x:v>
      </x:c>
    </x:row>
    <x:row r="1730" ht="19" customHeight="1">
      <x:c r="A1730" s="2" t="n">
        <x:v>47386</x:v>
      </x:c>
      <x:c r="B1730" t="str">
        <x:f>CHOOSE(WEEKDAY(A1730,2),"Lunes","Martes","Miércoles","Jueves","Viernes","Sábado","Domingo")</x:f>
        <x:v>Martes</x:v>
      </x:c>
      <x:c r="C1730" t="str">
        <x:f>IF(COUNTIF(FERIADOS!$A$2:$A$250,A1730)&gt;0,"SÍ","NO")</x:f>
        <x:v>NO</x:v>
      </x:c>
      <x:c r="D1730" t="str">
        <x:f>IF(AND(WEEKDAY(A1730,2)&lt;=5,C1730="NO"),"SÍ","NO")</x:f>
        <x:v>SÍ</x:v>
      </x:c>
      <x:c r="E1730" s="2" t="n">
        <x:f>WORKDAY.INTL(A1730-1,1,1,FERIADOS!$A$2:$A$250)</x:f>
        <x:v>47386</x:v>
      </x:c>
      <x:c r="F1730" t="str">
        <x:f>IF(E1730&gt;=WORKDAY.INTL(EOMONTH(E1730,0)+1,-2,1,FERIADOS!$A$2:$A$250),"SÍ","NO")</x:f>
        <x:v>NO</x:v>
      </x:c>
      <x:c r="G1730" s="10" t="n">
        <x:f>IF(F1730="SÍ",EOMONTH(E1730,0)+1,DATE(YEAR(E1730),MONTH(E1730),1))</x:f>
        <x:v>47362</x:v>
      </x:c>
      <x:c r="H1730" t="str">
        <x:f>IF(D1730="NO",IF(C1730="SÍ","FERIADO","FIN DE SEMANA"),"LABORABLE")&amp;IF(F1730="SÍ"," + CIERRE","")</x:f>
        <x:v>LABORABLE</x:v>
      </x:c>
      <x:c r="I1730" t="str">
        <x:f>TEXT(G1730,"yyyy-mm")</x:f>
        <x:v>2029-09</x:v>
      </x:c>
    </x:row>
    <x:row r="1731" ht="19" customHeight="1">
      <x:c r="A1731" s="2" t="n">
        <x:v>47387</x:v>
      </x:c>
      <x:c r="B1731" t="str">
        <x:f>CHOOSE(WEEKDAY(A1731,2),"Lunes","Martes","Miércoles","Jueves","Viernes","Sábado","Domingo")</x:f>
        <x:v>Miércoles</x:v>
      </x:c>
      <x:c r="C1731" t="str">
        <x:f>IF(COUNTIF(FERIADOS!$A$2:$A$250,A1731)&gt;0,"SÍ","NO")</x:f>
        <x:v>NO</x:v>
      </x:c>
      <x:c r="D1731" t="str">
        <x:f>IF(AND(WEEKDAY(A1731,2)&lt;=5,C1731="NO"),"SÍ","NO")</x:f>
        <x:v>SÍ</x:v>
      </x:c>
      <x:c r="E1731" s="2" t="n">
        <x:f>WORKDAY.INTL(A1731-1,1,1,FERIADOS!$A$2:$A$250)</x:f>
        <x:v>47387</x:v>
      </x:c>
      <x:c r="F1731" t="str">
        <x:f>IF(E1731&gt;=WORKDAY.INTL(EOMONTH(E1731,0)+1,-2,1,FERIADOS!$A$2:$A$250),"SÍ","NO")</x:f>
        <x:v>NO</x:v>
      </x:c>
      <x:c r="G1731" s="10" t="n">
        <x:f>IF(F1731="SÍ",EOMONTH(E1731,0)+1,DATE(YEAR(E1731),MONTH(E1731),1))</x:f>
        <x:v>47362</x:v>
      </x:c>
      <x:c r="H1731" t="str">
        <x:f>IF(D1731="NO",IF(C1731="SÍ","FERIADO","FIN DE SEMANA"),"LABORABLE")&amp;IF(F1731="SÍ"," + CIERRE","")</x:f>
        <x:v>LABORABLE</x:v>
      </x:c>
      <x:c r="I1731" t="str">
        <x:f>TEXT(G1731,"yyyy-mm")</x:f>
        <x:v>2029-09</x:v>
      </x:c>
    </x:row>
    <x:row r="1732" ht="19" customHeight="1">
      <x:c r="A1732" s="2" t="n">
        <x:v>47388</x:v>
      </x:c>
      <x:c r="B1732" t="str">
        <x:f>CHOOSE(WEEKDAY(A1732,2),"Lunes","Martes","Miércoles","Jueves","Viernes","Sábado","Domingo")</x:f>
        <x:v>Jueves</x:v>
      </x:c>
      <x:c r="C1732" t="str">
        <x:f>IF(COUNTIF(FERIADOS!$A$2:$A$250,A1732)&gt;0,"SÍ","NO")</x:f>
        <x:v>NO</x:v>
      </x:c>
      <x:c r="D1732" t="str">
        <x:f>IF(AND(WEEKDAY(A1732,2)&lt;=5,C1732="NO"),"SÍ","NO")</x:f>
        <x:v>SÍ</x:v>
      </x:c>
      <x:c r="E1732" s="2" t="n">
        <x:f>WORKDAY.INTL(A1732-1,1,1,FERIADOS!$A$2:$A$250)</x:f>
        <x:v>47388</x:v>
      </x:c>
      <x:c r="F1732" t="str">
        <x:f>IF(E1732&gt;=WORKDAY.INTL(EOMONTH(E1732,0)+1,-2,1,FERIADOS!$A$2:$A$250),"SÍ","NO")</x:f>
        <x:v>SÍ</x:v>
      </x:c>
      <x:c r="G1732" s="10" t="n">
        <x:f>IF(F1732="SÍ",EOMONTH(E1732,0)+1,DATE(YEAR(E1732),MONTH(E1732),1))</x:f>
        <x:v>47392</x:v>
      </x:c>
      <x:c r="H1732" t="str">
        <x:f>IF(D1732="NO",IF(C1732="SÍ","FERIADO","FIN DE SEMANA"),"LABORABLE")&amp;IF(F1732="SÍ"," + CIERRE","")</x:f>
        <x:v>LABORABLE + CIERRE</x:v>
      </x:c>
      <x:c r="I1732" t="str">
        <x:f>TEXT(G1732,"yyyy-mm")</x:f>
        <x:v>2029-10</x:v>
      </x:c>
    </x:row>
    <x:row r="1733" ht="19" customHeight="1">
      <x:c r="A1733" s="2" t="n">
        <x:v>47389</x:v>
      </x:c>
      <x:c r="B1733" t="str">
        <x:f>CHOOSE(WEEKDAY(A1733,2),"Lunes","Martes","Miércoles","Jueves","Viernes","Sábado","Domingo")</x:f>
        <x:v>Viernes</x:v>
      </x:c>
      <x:c r="C1733" t="str">
        <x:f>IF(COUNTIF(FERIADOS!$A$2:$A$250,A1733)&gt;0,"SÍ","NO")</x:f>
        <x:v>NO</x:v>
      </x:c>
      <x:c r="D1733" t="str">
        <x:f>IF(AND(WEEKDAY(A1733,2)&lt;=5,C1733="NO"),"SÍ","NO")</x:f>
        <x:v>SÍ</x:v>
      </x:c>
      <x:c r="E1733" s="2" t="n">
        <x:f>WORKDAY.INTL(A1733-1,1,1,FERIADOS!$A$2:$A$250)</x:f>
        <x:v>47389</x:v>
      </x:c>
      <x:c r="F1733" t="str">
        <x:f>IF(E1733&gt;=WORKDAY.INTL(EOMONTH(E1733,0)+1,-2,1,FERIADOS!$A$2:$A$250),"SÍ","NO")</x:f>
        <x:v>SÍ</x:v>
      </x:c>
      <x:c r="G1733" s="10" t="n">
        <x:f>IF(F1733="SÍ",EOMONTH(E1733,0)+1,DATE(YEAR(E1733),MONTH(E1733),1))</x:f>
        <x:v>47392</x:v>
      </x:c>
      <x:c r="H1733" t="str">
        <x:f>IF(D1733="NO",IF(C1733="SÍ","FERIADO","FIN DE SEMANA"),"LABORABLE")&amp;IF(F1733="SÍ"," + CIERRE","")</x:f>
        <x:v>LABORABLE + CIERRE</x:v>
      </x:c>
      <x:c r="I1733" t="str">
        <x:f>TEXT(G1733,"yyyy-mm")</x:f>
        <x:v>2029-10</x:v>
      </x:c>
    </x:row>
    <x:row r="1734" ht="19" customHeight="1">
      <x:c r="A1734" s="2" t="n">
        <x:v>47390</x:v>
      </x:c>
      <x:c r="B1734" t="str">
        <x:f>CHOOSE(WEEKDAY(A1734,2),"Lunes","Martes","Miércoles","Jueves","Viernes","Sábado","Domingo")</x:f>
        <x:v>Sábado</x:v>
      </x:c>
      <x:c r="C1734" t="str">
        <x:f>IF(COUNTIF(FERIADOS!$A$2:$A$250,A1734)&gt;0,"SÍ","NO")</x:f>
        <x:v>NO</x:v>
      </x:c>
      <x:c r="D1734" t="str">
        <x:f>IF(AND(WEEKDAY(A1734,2)&lt;=5,C1734="NO"),"SÍ","NO")</x:f>
        <x:v>NO</x:v>
      </x:c>
      <x:c r="E1734" s="2" t="n">
        <x:f>WORKDAY.INTL(A1734-1,1,1,FERIADOS!$A$2:$A$250)</x:f>
        <x:v>47392</x:v>
      </x:c>
      <x:c r="F1734" t="str">
        <x:f>IF(E1734&gt;=WORKDAY.INTL(EOMONTH(E1734,0)+1,-2,1,FERIADOS!$A$2:$A$250),"SÍ","NO")</x:f>
        <x:v>NO</x:v>
      </x:c>
      <x:c r="G1734" s="10" t="n">
        <x:f>IF(F1734="SÍ",EOMONTH(E1734,0)+1,DATE(YEAR(E1734),MONTH(E1734),1))</x:f>
        <x:v>47392</x:v>
      </x:c>
      <x:c r="H1734" t="str">
        <x:f>IF(D1734="NO",IF(C1734="SÍ","FERIADO","FIN DE SEMANA"),"LABORABLE")&amp;IF(F1734="SÍ"," + CIERRE","")</x:f>
        <x:v>FIN DE SEMANA</x:v>
      </x:c>
      <x:c r="I1734" t="str">
        <x:f>TEXT(G1734,"yyyy-mm")</x:f>
        <x:v>2029-10</x:v>
      </x:c>
    </x:row>
    <x:row r="1735" ht="19" customHeight="1">
      <x:c r="A1735" s="2" t="n">
        <x:v>47391</x:v>
      </x:c>
      <x:c r="B1735" t="str">
        <x:f>CHOOSE(WEEKDAY(A1735,2),"Lunes","Martes","Miércoles","Jueves","Viernes","Sábado","Domingo")</x:f>
        <x:v>Domingo</x:v>
      </x:c>
      <x:c r="C1735" t="str">
        <x:f>IF(COUNTIF(FERIADOS!$A$2:$A$250,A1735)&gt;0,"SÍ","NO")</x:f>
        <x:v>NO</x:v>
      </x:c>
      <x:c r="D1735" t="str">
        <x:f>IF(AND(WEEKDAY(A1735,2)&lt;=5,C1735="NO"),"SÍ","NO")</x:f>
        <x:v>NO</x:v>
      </x:c>
      <x:c r="E1735" s="2" t="n">
        <x:f>WORKDAY.INTL(A1735-1,1,1,FERIADOS!$A$2:$A$250)</x:f>
        <x:v>47392</x:v>
      </x:c>
      <x:c r="F1735" t="str">
        <x:f>IF(E1735&gt;=WORKDAY.INTL(EOMONTH(E1735,0)+1,-2,1,FERIADOS!$A$2:$A$250),"SÍ","NO")</x:f>
        <x:v>NO</x:v>
      </x:c>
      <x:c r="G1735" s="10" t="n">
        <x:f>IF(F1735="SÍ",EOMONTH(E1735,0)+1,DATE(YEAR(E1735),MONTH(E1735),1))</x:f>
        <x:v>47392</x:v>
      </x:c>
      <x:c r="H1735" t="str">
        <x:f>IF(D1735="NO",IF(C1735="SÍ","FERIADO","FIN DE SEMANA"),"LABORABLE")&amp;IF(F1735="SÍ"," + CIERRE","")</x:f>
        <x:v>FIN DE SEMANA</x:v>
      </x:c>
      <x:c r="I1735" t="str">
        <x:f>TEXT(G1735,"yyyy-mm")</x:f>
        <x:v>2029-10</x:v>
      </x:c>
    </x:row>
    <x:row r="1736" ht="19" customHeight="1">
      <x:c r="A1736" s="2" t="n">
        <x:v>47392</x:v>
      </x:c>
      <x:c r="B1736" t="str">
        <x:f>CHOOSE(WEEKDAY(A1736,2),"Lunes","Martes","Miércoles","Jueves","Viernes","Sábado","Domingo")</x:f>
        <x:v>Lunes</x:v>
      </x:c>
      <x:c r="C1736" t="str">
        <x:f>IF(COUNTIF(FERIADOS!$A$2:$A$250,A1736)&gt;0,"SÍ","NO")</x:f>
        <x:v>NO</x:v>
      </x:c>
      <x:c r="D1736" t="str">
        <x:f>IF(AND(WEEKDAY(A1736,2)&lt;=5,C1736="NO"),"SÍ","NO")</x:f>
        <x:v>SÍ</x:v>
      </x:c>
      <x:c r="E1736" s="2" t="n">
        <x:f>WORKDAY.INTL(A1736-1,1,1,FERIADOS!$A$2:$A$250)</x:f>
        <x:v>47392</x:v>
      </x:c>
      <x:c r="F1736" t="str">
        <x:f>IF(E1736&gt;=WORKDAY.INTL(EOMONTH(E1736,0)+1,-2,1,FERIADOS!$A$2:$A$250),"SÍ","NO")</x:f>
        <x:v>NO</x:v>
      </x:c>
      <x:c r="G1736" s="10" t="n">
        <x:f>IF(F1736="SÍ",EOMONTH(E1736,0)+1,DATE(YEAR(E1736),MONTH(E1736),1))</x:f>
        <x:v>47392</x:v>
      </x:c>
      <x:c r="H1736" t="str">
        <x:f>IF(D1736="NO",IF(C1736="SÍ","FERIADO","FIN DE SEMANA"),"LABORABLE")&amp;IF(F1736="SÍ"," + CIERRE","")</x:f>
        <x:v>LABORABLE</x:v>
      </x:c>
      <x:c r="I1736" t="str">
        <x:f>TEXT(G1736,"yyyy-mm")</x:f>
        <x:v>2029-10</x:v>
      </x:c>
    </x:row>
    <x:row r="1737" ht="19" customHeight="1">
      <x:c r="A1737" s="2" t="n">
        <x:v>47393</x:v>
      </x:c>
      <x:c r="B1737" t="str">
        <x:f>CHOOSE(WEEKDAY(A1737,2),"Lunes","Martes","Miércoles","Jueves","Viernes","Sábado","Domingo")</x:f>
        <x:v>Martes</x:v>
      </x:c>
      <x:c r="C1737" t="str">
        <x:f>IF(COUNTIF(FERIADOS!$A$2:$A$250,A1737)&gt;0,"SÍ","NO")</x:f>
        <x:v>NO</x:v>
      </x:c>
      <x:c r="D1737" t="str">
        <x:f>IF(AND(WEEKDAY(A1737,2)&lt;=5,C1737="NO"),"SÍ","NO")</x:f>
        <x:v>SÍ</x:v>
      </x:c>
      <x:c r="E1737" s="2" t="n">
        <x:f>WORKDAY.INTL(A1737-1,1,1,FERIADOS!$A$2:$A$250)</x:f>
        <x:v>47393</x:v>
      </x:c>
      <x:c r="F1737" t="str">
        <x:f>IF(E1737&gt;=WORKDAY.INTL(EOMONTH(E1737,0)+1,-2,1,FERIADOS!$A$2:$A$250),"SÍ","NO")</x:f>
        <x:v>NO</x:v>
      </x:c>
      <x:c r="G1737" s="10" t="n">
        <x:f>IF(F1737="SÍ",EOMONTH(E1737,0)+1,DATE(YEAR(E1737),MONTH(E1737),1))</x:f>
        <x:v>47392</x:v>
      </x:c>
      <x:c r="H1737" t="str">
        <x:f>IF(D1737="NO",IF(C1737="SÍ","FERIADO","FIN DE SEMANA"),"LABORABLE")&amp;IF(F1737="SÍ"," + CIERRE","")</x:f>
        <x:v>LABORABLE</x:v>
      </x:c>
      <x:c r="I1737" t="str">
        <x:f>TEXT(G1737,"yyyy-mm")</x:f>
        <x:v>2029-10</x:v>
      </x:c>
    </x:row>
    <x:row r="1738" ht="19" customHeight="1">
      <x:c r="A1738" s="2" t="n">
        <x:v>47394</x:v>
      </x:c>
      <x:c r="B1738" t="str">
        <x:f>CHOOSE(WEEKDAY(A1738,2),"Lunes","Martes","Miércoles","Jueves","Viernes","Sábado","Domingo")</x:f>
        <x:v>Miércoles</x:v>
      </x:c>
      <x:c r="C1738" t="str">
        <x:f>IF(COUNTIF(FERIADOS!$A$2:$A$250,A1738)&gt;0,"SÍ","NO")</x:f>
        <x:v>NO</x:v>
      </x:c>
      <x:c r="D1738" t="str">
        <x:f>IF(AND(WEEKDAY(A1738,2)&lt;=5,C1738="NO"),"SÍ","NO")</x:f>
        <x:v>SÍ</x:v>
      </x:c>
      <x:c r="E1738" s="2" t="n">
        <x:f>WORKDAY.INTL(A1738-1,1,1,FERIADOS!$A$2:$A$250)</x:f>
        <x:v>47394</x:v>
      </x:c>
      <x:c r="F1738" t="str">
        <x:f>IF(E1738&gt;=WORKDAY.INTL(EOMONTH(E1738,0)+1,-2,1,FERIADOS!$A$2:$A$250),"SÍ","NO")</x:f>
        <x:v>NO</x:v>
      </x:c>
      <x:c r="G1738" s="10" t="n">
        <x:f>IF(F1738="SÍ",EOMONTH(E1738,0)+1,DATE(YEAR(E1738),MONTH(E1738),1))</x:f>
        <x:v>47392</x:v>
      </x:c>
      <x:c r="H1738" t="str">
        <x:f>IF(D1738="NO",IF(C1738="SÍ","FERIADO","FIN DE SEMANA"),"LABORABLE")&amp;IF(F1738="SÍ"," + CIERRE","")</x:f>
        <x:v>LABORABLE</x:v>
      </x:c>
      <x:c r="I1738" t="str">
        <x:f>TEXT(G1738,"yyyy-mm")</x:f>
        <x:v>2029-10</x:v>
      </x:c>
    </x:row>
    <x:row r="1739" ht="19" customHeight="1">
      <x:c r="A1739" s="2" t="n">
        <x:v>47395</x:v>
      </x:c>
      <x:c r="B1739" t="str">
        <x:f>CHOOSE(WEEKDAY(A1739,2),"Lunes","Martes","Miércoles","Jueves","Viernes","Sábado","Domingo")</x:f>
        <x:v>Jueves</x:v>
      </x:c>
      <x:c r="C1739" t="str">
        <x:f>IF(COUNTIF(FERIADOS!$A$2:$A$250,A1739)&gt;0,"SÍ","NO")</x:f>
        <x:v>NO</x:v>
      </x:c>
      <x:c r="D1739" t="str">
        <x:f>IF(AND(WEEKDAY(A1739,2)&lt;=5,C1739="NO"),"SÍ","NO")</x:f>
        <x:v>SÍ</x:v>
      </x:c>
      <x:c r="E1739" s="2" t="n">
        <x:f>WORKDAY.INTL(A1739-1,1,1,FERIADOS!$A$2:$A$250)</x:f>
        <x:v>47395</x:v>
      </x:c>
      <x:c r="F1739" t="str">
        <x:f>IF(E1739&gt;=WORKDAY.INTL(EOMONTH(E1739,0)+1,-2,1,FERIADOS!$A$2:$A$250),"SÍ","NO")</x:f>
        <x:v>NO</x:v>
      </x:c>
      <x:c r="G1739" s="10" t="n">
        <x:f>IF(F1739="SÍ",EOMONTH(E1739,0)+1,DATE(YEAR(E1739),MONTH(E1739),1))</x:f>
        <x:v>47392</x:v>
      </x:c>
      <x:c r="H1739" t="str">
        <x:f>IF(D1739="NO",IF(C1739="SÍ","FERIADO","FIN DE SEMANA"),"LABORABLE")&amp;IF(F1739="SÍ"," + CIERRE","")</x:f>
        <x:v>LABORABLE</x:v>
      </x:c>
      <x:c r="I1739" t="str">
        <x:f>TEXT(G1739,"yyyy-mm")</x:f>
        <x:v>2029-10</x:v>
      </x:c>
    </x:row>
    <x:row r="1740" ht="19" customHeight="1">
      <x:c r="A1740" s="2" t="n">
        <x:v>47396</x:v>
      </x:c>
      <x:c r="B1740" t="str">
        <x:f>CHOOSE(WEEKDAY(A1740,2),"Lunes","Martes","Miércoles","Jueves","Viernes","Sábado","Domingo")</x:f>
        <x:v>Viernes</x:v>
      </x:c>
      <x:c r="C1740" t="str">
        <x:f>IF(COUNTIF(FERIADOS!$A$2:$A$250,A1740)&gt;0,"SÍ","NO")</x:f>
        <x:v>NO</x:v>
      </x:c>
      <x:c r="D1740" t="str">
        <x:f>IF(AND(WEEKDAY(A1740,2)&lt;=5,C1740="NO"),"SÍ","NO")</x:f>
        <x:v>SÍ</x:v>
      </x:c>
      <x:c r="E1740" s="2" t="n">
        <x:f>WORKDAY.INTL(A1740-1,1,1,FERIADOS!$A$2:$A$250)</x:f>
        <x:v>47396</x:v>
      </x:c>
      <x:c r="F1740" t="str">
        <x:f>IF(E1740&gt;=WORKDAY.INTL(EOMONTH(E1740,0)+1,-2,1,FERIADOS!$A$2:$A$250),"SÍ","NO")</x:f>
        <x:v>NO</x:v>
      </x:c>
      <x:c r="G1740" s="10" t="n">
        <x:f>IF(F1740="SÍ",EOMONTH(E1740,0)+1,DATE(YEAR(E1740),MONTH(E1740),1))</x:f>
        <x:v>47392</x:v>
      </x:c>
      <x:c r="H1740" t="str">
        <x:f>IF(D1740="NO",IF(C1740="SÍ","FERIADO","FIN DE SEMANA"),"LABORABLE")&amp;IF(F1740="SÍ"," + CIERRE","")</x:f>
        <x:v>LABORABLE</x:v>
      </x:c>
      <x:c r="I1740" t="str">
        <x:f>TEXT(G1740,"yyyy-mm")</x:f>
        <x:v>2029-10</x:v>
      </x:c>
    </x:row>
    <x:row r="1741" ht="19" customHeight="1">
      <x:c r="A1741" s="2" t="n">
        <x:v>47397</x:v>
      </x:c>
      <x:c r="B1741" t="str">
        <x:f>CHOOSE(WEEKDAY(A1741,2),"Lunes","Martes","Miércoles","Jueves","Viernes","Sábado","Domingo")</x:f>
        <x:v>Sábado</x:v>
      </x:c>
      <x:c r="C1741" t="str">
        <x:f>IF(COUNTIF(FERIADOS!$A$2:$A$250,A1741)&gt;0,"SÍ","NO")</x:f>
        <x:v>NO</x:v>
      </x:c>
      <x:c r="D1741" t="str">
        <x:f>IF(AND(WEEKDAY(A1741,2)&lt;=5,C1741="NO"),"SÍ","NO")</x:f>
        <x:v>NO</x:v>
      </x:c>
      <x:c r="E1741" s="2" t="n">
        <x:f>WORKDAY.INTL(A1741-1,1,1,FERIADOS!$A$2:$A$250)</x:f>
        <x:v>47400</x:v>
      </x:c>
      <x:c r="F1741" t="str">
        <x:f>IF(E1741&gt;=WORKDAY.INTL(EOMONTH(E1741,0)+1,-2,1,FERIADOS!$A$2:$A$250),"SÍ","NO")</x:f>
        <x:v>NO</x:v>
      </x:c>
      <x:c r="G1741" s="10" t="n">
        <x:f>IF(F1741="SÍ",EOMONTH(E1741,0)+1,DATE(YEAR(E1741),MONTH(E1741),1))</x:f>
        <x:v>47392</x:v>
      </x:c>
      <x:c r="H1741" t="str">
        <x:f>IF(D1741="NO",IF(C1741="SÍ","FERIADO","FIN DE SEMANA"),"LABORABLE")&amp;IF(F1741="SÍ"," + CIERRE","")</x:f>
        <x:v>FIN DE SEMANA</x:v>
      </x:c>
      <x:c r="I1741" t="str">
        <x:f>TEXT(G1741,"yyyy-mm")</x:f>
        <x:v>2029-10</x:v>
      </x:c>
    </x:row>
    <x:row r="1742" ht="19" customHeight="1">
      <x:c r="A1742" s="2" t="n">
        <x:v>47398</x:v>
      </x:c>
      <x:c r="B1742" t="str">
        <x:f>CHOOSE(WEEKDAY(A1742,2),"Lunes","Martes","Miércoles","Jueves","Viernes","Sábado","Domingo")</x:f>
        <x:v>Domingo</x:v>
      </x:c>
      <x:c r="C1742" t="str">
        <x:f>IF(COUNTIF(FERIADOS!$A$2:$A$250,A1742)&gt;0,"SÍ","NO")</x:f>
        <x:v>NO</x:v>
      </x:c>
      <x:c r="D1742" t="str">
        <x:f>IF(AND(WEEKDAY(A1742,2)&lt;=5,C1742="NO"),"SÍ","NO")</x:f>
        <x:v>NO</x:v>
      </x:c>
      <x:c r="E1742" s="2" t="n">
        <x:f>WORKDAY.INTL(A1742-1,1,1,FERIADOS!$A$2:$A$250)</x:f>
        <x:v>47400</x:v>
      </x:c>
      <x:c r="F1742" t="str">
        <x:f>IF(E1742&gt;=WORKDAY.INTL(EOMONTH(E1742,0)+1,-2,1,FERIADOS!$A$2:$A$250),"SÍ","NO")</x:f>
        <x:v>NO</x:v>
      </x:c>
      <x:c r="G1742" s="10" t="n">
        <x:f>IF(F1742="SÍ",EOMONTH(E1742,0)+1,DATE(YEAR(E1742),MONTH(E1742),1))</x:f>
        <x:v>47392</x:v>
      </x:c>
      <x:c r="H1742" t="str">
        <x:f>IF(D1742="NO",IF(C1742="SÍ","FERIADO","FIN DE SEMANA"),"LABORABLE")&amp;IF(F1742="SÍ"," + CIERRE","")</x:f>
        <x:v>FIN DE SEMANA</x:v>
      </x:c>
      <x:c r="I1742" t="str">
        <x:f>TEXT(G1742,"yyyy-mm")</x:f>
        <x:v>2029-10</x:v>
      </x:c>
    </x:row>
    <x:row r="1743" ht="19" customHeight="1">
      <x:c r="A1743" s="2" t="n">
        <x:v>47399</x:v>
      </x:c>
      <x:c r="B1743" t="str">
        <x:f>CHOOSE(WEEKDAY(A1743,2),"Lunes","Martes","Miércoles","Jueves","Viernes","Sábado","Domingo")</x:f>
        <x:v>Lunes</x:v>
      </x:c>
      <x:c r="C1743" t="str">
        <x:f>IF(COUNTIF(FERIADOS!$A$2:$A$250,A1743)&gt;0,"SÍ","NO")</x:f>
        <x:v>SÍ</x:v>
      </x:c>
      <x:c r="D1743" t="str">
        <x:f>IF(AND(WEEKDAY(A1743,2)&lt;=5,C1743="NO"),"SÍ","NO")</x:f>
        <x:v>NO</x:v>
      </x:c>
      <x:c r="E1743" s="2" t="n">
        <x:f>WORKDAY.INTL(A1743-1,1,1,FERIADOS!$A$2:$A$250)</x:f>
        <x:v>47400</x:v>
      </x:c>
      <x:c r="F1743" t="str">
        <x:f>IF(E1743&gt;=WORKDAY.INTL(EOMONTH(E1743,0)+1,-2,1,FERIADOS!$A$2:$A$250),"SÍ","NO")</x:f>
        <x:v>NO</x:v>
      </x:c>
      <x:c r="G1743" s="10" t="n">
        <x:f>IF(F1743="SÍ",EOMONTH(E1743,0)+1,DATE(YEAR(E1743),MONTH(E1743),1))</x:f>
        <x:v>47392</x:v>
      </x:c>
      <x:c r="H1743" t="str">
        <x:f>IF(D1743="NO",IF(C1743="SÍ","FERIADO","FIN DE SEMANA"),"LABORABLE")&amp;IF(F1743="SÍ"," + CIERRE","")</x:f>
        <x:v>FERIADO</x:v>
      </x:c>
      <x:c r="I1743" t="str">
        <x:f>TEXT(G1743,"yyyy-mm")</x:f>
        <x:v>2029-10</x:v>
      </x:c>
    </x:row>
    <x:row r="1744" ht="19" customHeight="1">
      <x:c r="A1744" s="2" t="n">
        <x:v>47400</x:v>
      </x:c>
      <x:c r="B1744" t="str">
        <x:f>CHOOSE(WEEKDAY(A1744,2),"Lunes","Martes","Miércoles","Jueves","Viernes","Sábado","Domingo")</x:f>
        <x:v>Martes</x:v>
      </x:c>
      <x:c r="C1744" t="str">
        <x:f>IF(COUNTIF(FERIADOS!$A$2:$A$250,A1744)&gt;0,"SÍ","NO")</x:f>
        <x:v>NO</x:v>
      </x:c>
      <x:c r="D1744" t="str">
        <x:f>IF(AND(WEEKDAY(A1744,2)&lt;=5,C1744="NO"),"SÍ","NO")</x:f>
        <x:v>SÍ</x:v>
      </x:c>
      <x:c r="E1744" s="2" t="n">
        <x:f>WORKDAY.INTL(A1744-1,1,1,FERIADOS!$A$2:$A$250)</x:f>
        <x:v>47400</x:v>
      </x:c>
      <x:c r="F1744" t="str">
        <x:f>IF(E1744&gt;=WORKDAY.INTL(EOMONTH(E1744,0)+1,-2,1,FERIADOS!$A$2:$A$250),"SÍ","NO")</x:f>
        <x:v>NO</x:v>
      </x:c>
      <x:c r="G1744" s="10" t="n">
        <x:f>IF(F1744="SÍ",EOMONTH(E1744,0)+1,DATE(YEAR(E1744),MONTH(E1744),1))</x:f>
        <x:v>47392</x:v>
      </x:c>
      <x:c r="H1744" t="str">
        <x:f>IF(D1744="NO",IF(C1744="SÍ","FERIADO","FIN DE SEMANA"),"LABORABLE")&amp;IF(F1744="SÍ"," + CIERRE","")</x:f>
        <x:v>LABORABLE</x:v>
      </x:c>
      <x:c r="I1744" t="str">
        <x:f>TEXT(G1744,"yyyy-mm")</x:f>
        <x:v>2029-10</x:v>
      </x:c>
    </x:row>
    <x:row r="1745" ht="19" customHeight="1">
      <x:c r="A1745" s="2" t="n">
        <x:v>47401</x:v>
      </x:c>
      <x:c r="B1745" t="str">
        <x:f>CHOOSE(WEEKDAY(A1745,2),"Lunes","Martes","Miércoles","Jueves","Viernes","Sábado","Domingo")</x:f>
        <x:v>Miércoles</x:v>
      </x:c>
      <x:c r="C1745" t="str">
        <x:f>IF(COUNTIF(FERIADOS!$A$2:$A$250,A1745)&gt;0,"SÍ","NO")</x:f>
        <x:v>NO</x:v>
      </x:c>
      <x:c r="D1745" t="str">
        <x:f>IF(AND(WEEKDAY(A1745,2)&lt;=5,C1745="NO"),"SÍ","NO")</x:f>
        <x:v>SÍ</x:v>
      </x:c>
      <x:c r="E1745" s="2" t="n">
        <x:f>WORKDAY.INTL(A1745-1,1,1,FERIADOS!$A$2:$A$250)</x:f>
        <x:v>47401</x:v>
      </x:c>
      <x:c r="F1745" t="str">
        <x:f>IF(E1745&gt;=WORKDAY.INTL(EOMONTH(E1745,0)+1,-2,1,FERIADOS!$A$2:$A$250),"SÍ","NO")</x:f>
        <x:v>NO</x:v>
      </x:c>
      <x:c r="G1745" s="10" t="n">
        <x:f>IF(F1745="SÍ",EOMONTH(E1745,0)+1,DATE(YEAR(E1745),MONTH(E1745),1))</x:f>
        <x:v>47392</x:v>
      </x:c>
      <x:c r="H1745" t="str">
        <x:f>IF(D1745="NO",IF(C1745="SÍ","FERIADO","FIN DE SEMANA"),"LABORABLE")&amp;IF(F1745="SÍ"," + CIERRE","")</x:f>
        <x:v>LABORABLE</x:v>
      </x:c>
      <x:c r="I1745" t="str">
        <x:f>TEXT(G1745,"yyyy-mm")</x:f>
        <x:v>2029-10</x:v>
      </x:c>
    </x:row>
    <x:row r="1746" ht="19" customHeight="1">
      <x:c r="A1746" s="2" t="n">
        <x:v>47402</x:v>
      </x:c>
      <x:c r="B1746" t="str">
        <x:f>CHOOSE(WEEKDAY(A1746,2),"Lunes","Martes","Miércoles","Jueves","Viernes","Sábado","Domingo")</x:f>
        <x:v>Jueves</x:v>
      </x:c>
      <x:c r="C1746" t="str">
        <x:f>IF(COUNTIF(FERIADOS!$A$2:$A$250,A1746)&gt;0,"SÍ","NO")</x:f>
        <x:v>NO</x:v>
      </x:c>
      <x:c r="D1746" t="str">
        <x:f>IF(AND(WEEKDAY(A1746,2)&lt;=5,C1746="NO"),"SÍ","NO")</x:f>
        <x:v>SÍ</x:v>
      </x:c>
      <x:c r="E1746" s="2" t="n">
        <x:f>WORKDAY.INTL(A1746-1,1,1,FERIADOS!$A$2:$A$250)</x:f>
        <x:v>47402</x:v>
      </x:c>
      <x:c r="F1746" t="str">
        <x:f>IF(E1746&gt;=WORKDAY.INTL(EOMONTH(E1746,0)+1,-2,1,FERIADOS!$A$2:$A$250),"SÍ","NO")</x:f>
        <x:v>NO</x:v>
      </x:c>
      <x:c r="G1746" s="10" t="n">
        <x:f>IF(F1746="SÍ",EOMONTH(E1746,0)+1,DATE(YEAR(E1746),MONTH(E1746),1))</x:f>
        <x:v>47392</x:v>
      </x:c>
      <x:c r="H1746" t="str">
        <x:f>IF(D1746="NO",IF(C1746="SÍ","FERIADO","FIN DE SEMANA"),"LABORABLE")&amp;IF(F1746="SÍ"," + CIERRE","")</x:f>
        <x:v>LABORABLE</x:v>
      </x:c>
      <x:c r="I1746" t="str">
        <x:f>TEXT(G1746,"yyyy-mm")</x:f>
        <x:v>2029-10</x:v>
      </x:c>
    </x:row>
    <x:row r="1747" ht="19" customHeight="1">
      <x:c r="A1747" s="2" t="n">
        <x:v>47403</x:v>
      </x:c>
      <x:c r="B1747" t="str">
        <x:f>CHOOSE(WEEKDAY(A1747,2),"Lunes","Martes","Miércoles","Jueves","Viernes","Sábado","Domingo")</x:f>
        <x:v>Viernes</x:v>
      </x:c>
      <x:c r="C1747" t="str">
        <x:f>IF(COUNTIF(FERIADOS!$A$2:$A$250,A1747)&gt;0,"SÍ","NO")</x:f>
        <x:v>NO</x:v>
      </x:c>
      <x:c r="D1747" t="str">
        <x:f>IF(AND(WEEKDAY(A1747,2)&lt;=5,C1747="NO"),"SÍ","NO")</x:f>
        <x:v>SÍ</x:v>
      </x:c>
      <x:c r="E1747" s="2" t="n">
        <x:f>WORKDAY.INTL(A1747-1,1,1,FERIADOS!$A$2:$A$250)</x:f>
        <x:v>47403</x:v>
      </x:c>
      <x:c r="F1747" t="str">
        <x:f>IF(E1747&gt;=WORKDAY.INTL(EOMONTH(E1747,0)+1,-2,1,FERIADOS!$A$2:$A$250),"SÍ","NO")</x:f>
        <x:v>NO</x:v>
      </x:c>
      <x:c r="G1747" s="10" t="n">
        <x:f>IF(F1747="SÍ",EOMONTH(E1747,0)+1,DATE(YEAR(E1747),MONTH(E1747),1))</x:f>
        <x:v>47392</x:v>
      </x:c>
      <x:c r="H1747" t="str">
        <x:f>IF(D1747="NO",IF(C1747="SÍ","FERIADO","FIN DE SEMANA"),"LABORABLE")&amp;IF(F1747="SÍ"," + CIERRE","")</x:f>
        <x:v>LABORABLE</x:v>
      </x:c>
      <x:c r="I1747" t="str">
        <x:f>TEXT(G1747,"yyyy-mm")</x:f>
        <x:v>2029-10</x:v>
      </x:c>
    </x:row>
    <x:row r="1748" ht="19" customHeight="1">
      <x:c r="A1748" s="2" t="n">
        <x:v>47404</x:v>
      </x:c>
      <x:c r="B1748" t="str">
        <x:f>CHOOSE(WEEKDAY(A1748,2),"Lunes","Martes","Miércoles","Jueves","Viernes","Sábado","Domingo")</x:f>
        <x:v>Sábado</x:v>
      </x:c>
      <x:c r="C1748" t="str">
        <x:f>IF(COUNTIF(FERIADOS!$A$2:$A$250,A1748)&gt;0,"SÍ","NO")</x:f>
        <x:v>NO</x:v>
      </x:c>
      <x:c r="D1748" t="str">
        <x:f>IF(AND(WEEKDAY(A1748,2)&lt;=5,C1748="NO"),"SÍ","NO")</x:f>
        <x:v>NO</x:v>
      </x:c>
      <x:c r="E1748" s="2" t="n">
        <x:f>WORKDAY.INTL(A1748-1,1,1,FERIADOS!$A$2:$A$250)</x:f>
        <x:v>47406</x:v>
      </x:c>
      <x:c r="F1748" t="str">
        <x:f>IF(E1748&gt;=WORKDAY.INTL(EOMONTH(E1748,0)+1,-2,1,FERIADOS!$A$2:$A$250),"SÍ","NO")</x:f>
        <x:v>NO</x:v>
      </x:c>
      <x:c r="G1748" s="10" t="n">
        <x:f>IF(F1748="SÍ",EOMONTH(E1748,0)+1,DATE(YEAR(E1748),MONTH(E1748),1))</x:f>
        <x:v>47392</x:v>
      </x:c>
      <x:c r="H1748" t="str">
        <x:f>IF(D1748="NO",IF(C1748="SÍ","FERIADO","FIN DE SEMANA"),"LABORABLE")&amp;IF(F1748="SÍ"," + CIERRE","")</x:f>
        <x:v>FIN DE SEMANA</x:v>
      </x:c>
      <x:c r="I1748" t="str">
        <x:f>TEXT(G1748,"yyyy-mm")</x:f>
        <x:v>2029-10</x:v>
      </x:c>
    </x:row>
    <x:row r="1749" ht="19" customHeight="1">
      <x:c r="A1749" s="2" t="n">
        <x:v>47405</x:v>
      </x:c>
      <x:c r="B1749" t="str">
        <x:f>CHOOSE(WEEKDAY(A1749,2),"Lunes","Martes","Miércoles","Jueves","Viernes","Sábado","Domingo")</x:f>
        <x:v>Domingo</x:v>
      </x:c>
      <x:c r="C1749" t="str">
        <x:f>IF(COUNTIF(FERIADOS!$A$2:$A$250,A1749)&gt;0,"SÍ","NO")</x:f>
        <x:v>NO</x:v>
      </x:c>
      <x:c r="D1749" t="str">
        <x:f>IF(AND(WEEKDAY(A1749,2)&lt;=5,C1749="NO"),"SÍ","NO")</x:f>
        <x:v>NO</x:v>
      </x:c>
      <x:c r="E1749" s="2" t="n">
        <x:f>WORKDAY.INTL(A1749-1,1,1,FERIADOS!$A$2:$A$250)</x:f>
        <x:v>47406</x:v>
      </x:c>
      <x:c r="F1749" t="str">
        <x:f>IF(E1749&gt;=WORKDAY.INTL(EOMONTH(E1749,0)+1,-2,1,FERIADOS!$A$2:$A$250),"SÍ","NO")</x:f>
        <x:v>NO</x:v>
      </x:c>
      <x:c r="G1749" s="10" t="n">
        <x:f>IF(F1749="SÍ",EOMONTH(E1749,0)+1,DATE(YEAR(E1749),MONTH(E1749),1))</x:f>
        <x:v>47392</x:v>
      </x:c>
      <x:c r="H1749" t="str">
        <x:f>IF(D1749="NO",IF(C1749="SÍ","FERIADO","FIN DE SEMANA"),"LABORABLE")&amp;IF(F1749="SÍ"," + CIERRE","")</x:f>
        <x:v>FIN DE SEMANA</x:v>
      </x:c>
      <x:c r="I1749" t="str">
        <x:f>TEXT(G1749,"yyyy-mm")</x:f>
        <x:v>2029-10</x:v>
      </x:c>
    </x:row>
    <x:row r="1750" ht="19" customHeight="1">
      <x:c r="A1750" s="2" t="n">
        <x:v>47406</x:v>
      </x:c>
      <x:c r="B1750" t="str">
        <x:f>CHOOSE(WEEKDAY(A1750,2),"Lunes","Martes","Miércoles","Jueves","Viernes","Sábado","Domingo")</x:f>
        <x:v>Lunes</x:v>
      </x:c>
      <x:c r="C1750" t="str">
        <x:f>IF(COUNTIF(FERIADOS!$A$2:$A$250,A1750)&gt;0,"SÍ","NO")</x:f>
        <x:v>NO</x:v>
      </x:c>
      <x:c r="D1750" t="str">
        <x:f>IF(AND(WEEKDAY(A1750,2)&lt;=5,C1750="NO"),"SÍ","NO")</x:f>
        <x:v>SÍ</x:v>
      </x:c>
      <x:c r="E1750" s="2" t="n">
        <x:f>WORKDAY.INTL(A1750-1,1,1,FERIADOS!$A$2:$A$250)</x:f>
        <x:v>47406</x:v>
      </x:c>
      <x:c r="F1750" t="str">
        <x:f>IF(E1750&gt;=WORKDAY.INTL(EOMONTH(E1750,0)+1,-2,1,FERIADOS!$A$2:$A$250),"SÍ","NO")</x:f>
        <x:v>NO</x:v>
      </x:c>
      <x:c r="G1750" s="10" t="n">
        <x:f>IF(F1750="SÍ",EOMONTH(E1750,0)+1,DATE(YEAR(E1750),MONTH(E1750),1))</x:f>
        <x:v>47392</x:v>
      </x:c>
      <x:c r="H1750" t="str">
        <x:f>IF(D1750="NO",IF(C1750="SÍ","FERIADO","FIN DE SEMANA"),"LABORABLE")&amp;IF(F1750="SÍ"," + CIERRE","")</x:f>
        <x:v>LABORABLE</x:v>
      </x:c>
      <x:c r="I1750" t="str">
        <x:f>TEXT(G1750,"yyyy-mm")</x:f>
        <x:v>2029-10</x:v>
      </x:c>
    </x:row>
    <x:row r="1751" ht="19" customHeight="1">
      <x:c r="A1751" s="2" t="n">
        <x:v>47407</x:v>
      </x:c>
      <x:c r="B1751" t="str">
        <x:f>CHOOSE(WEEKDAY(A1751,2),"Lunes","Martes","Miércoles","Jueves","Viernes","Sábado","Domingo")</x:f>
        <x:v>Martes</x:v>
      </x:c>
      <x:c r="C1751" t="str">
        <x:f>IF(COUNTIF(FERIADOS!$A$2:$A$250,A1751)&gt;0,"SÍ","NO")</x:f>
        <x:v>NO</x:v>
      </x:c>
      <x:c r="D1751" t="str">
        <x:f>IF(AND(WEEKDAY(A1751,2)&lt;=5,C1751="NO"),"SÍ","NO")</x:f>
        <x:v>SÍ</x:v>
      </x:c>
      <x:c r="E1751" s="2" t="n">
        <x:f>WORKDAY.INTL(A1751-1,1,1,FERIADOS!$A$2:$A$250)</x:f>
        <x:v>47407</x:v>
      </x:c>
      <x:c r="F1751" t="str">
        <x:f>IF(E1751&gt;=WORKDAY.INTL(EOMONTH(E1751,0)+1,-2,1,FERIADOS!$A$2:$A$250),"SÍ","NO")</x:f>
        <x:v>NO</x:v>
      </x:c>
      <x:c r="G1751" s="10" t="n">
        <x:f>IF(F1751="SÍ",EOMONTH(E1751,0)+1,DATE(YEAR(E1751),MONTH(E1751),1))</x:f>
        <x:v>47392</x:v>
      </x:c>
      <x:c r="H1751" t="str">
        <x:f>IF(D1751="NO",IF(C1751="SÍ","FERIADO","FIN DE SEMANA"),"LABORABLE")&amp;IF(F1751="SÍ"," + CIERRE","")</x:f>
        <x:v>LABORABLE</x:v>
      </x:c>
      <x:c r="I1751" t="str">
        <x:f>TEXT(G1751,"yyyy-mm")</x:f>
        <x:v>2029-10</x:v>
      </x:c>
    </x:row>
    <x:row r="1752" ht="19" customHeight="1">
      <x:c r="A1752" s="2" t="n">
        <x:v>47408</x:v>
      </x:c>
      <x:c r="B1752" t="str">
        <x:f>CHOOSE(WEEKDAY(A1752,2),"Lunes","Martes","Miércoles","Jueves","Viernes","Sábado","Domingo")</x:f>
        <x:v>Miércoles</x:v>
      </x:c>
      <x:c r="C1752" t="str">
        <x:f>IF(COUNTIF(FERIADOS!$A$2:$A$250,A1752)&gt;0,"SÍ","NO")</x:f>
        <x:v>NO</x:v>
      </x:c>
      <x:c r="D1752" t="str">
        <x:f>IF(AND(WEEKDAY(A1752,2)&lt;=5,C1752="NO"),"SÍ","NO")</x:f>
        <x:v>SÍ</x:v>
      </x:c>
      <x:c r="E1752" s="2" t="n">
        <x:f>WORKDAY.INTL(A1752-1,1,1,FERIADOS!$A$2:$A$250)</x:f>
        <x:v>47408</x:v>
      </x:c>
      <x:c r="F1752" t="str">
        <x:f>IF(E1752&gt;=WORKDAY.INTL(EOMONTH(E1752,0)+1,-2,1,FERIADOS!$A$2:$A$250),"SÍ","NO")</x:f>
        <x:v>NO</x:v>
      </x:c>
      <x:c r="G1752" s="10" t="n">
        <x:f>IF(F1752="SÍ",EOMONTH(E1752,0)+1,DATE(YEAR(E1752),MONTH(E1752),1))</x:f>
        <x:v>47392</x:v>
      </x:c>
      <x:c r="H1752" t="str">
        <x:f>IF(D1752="NO",IF(C1752="SÍ","FERIADO","FIN DE SEMANA"),"LABORABLE")&amp;IF(F1752="SÍ"," + CIERRE","")</x:f>
        <x:v>LABORABLE</x:v>
      </x:c>
      <x:c r="I1752" t="str">
        <x:f>TEXT(G1752,"yyyy-mm")</x:f>
        <x:v>2029-10</x:v>
      </x:c>
    </x:row>
    <x:row r="1753" ht="19" customHeight="1">
      <x:c r="A1753" s="2" t="n">
        <x:v>47409</x:v>
      </x:c>
      <x:c r="B1753" t="str">
        <x:f>CHOOSE(WEEKDAY(A1753,2),"Lunes","Martes","Miércoles","Jueves","Viernes","Sábado","Domingo")</x:f>
        <x:v>Jueves</x:v>
      </x:c>
      <x:c r="C1753" t="str">
        <x:f>IF(COUNTIF(FERIADOS!$A$2:$A$250,A1753)&gt;0,"SÍ","NO")</x:f>
        <x:v>NO</x:v>
      </x:c>
      <x:c r="D1753" t="str">
        <x:f>IF(AND(WEEKDAY(A1753,2)&lt;=5,C1753="NO"),"SÍ","NO")</x:f>
        <x:v>SÍ</x:v>
      </x:c>
      <x:c r="E1753" s="2" t="n">
        <x:f>WORKDAY.INTL(A1753-1,1,1,FERIADOS!$A$2:$A$250)</x:f>
        <x:v>47409</x:v>
      </x:c>
      <x:c r="F1753" t="str">
        <x:f>IF(E1753&gt;=WORKDAY.INTL(EOMONTH(E1753,0)+1,-2,1,FERIADOS!$A$2:$A$250),"SÍ","NO")</x:f>
        <x:v>NO</x:v>
      </x:c>
      <x:c r="G1753" s="10" t="n">
        <x:f>IF(F1753="SÍ",EOMONTH(E1753,0)+1,DATE(YEAR(E1753),MONTH(E1753),1))</x:f>
        <x:v>47392</x:v>
      </x:c>
      <x:c r="H1753" t="str">
        <x:f>IF(D1753="NO",IF(C1753="SÍ","FERIADO","FIN DE SEMANA"),"LABORABLE")&amp;IF(F1753="SÍ"," + CIERRE","")</x:f>
        <x:v>LABORABLE</x:v>
      </x:c>
      <x:c r="I1753" t="str">
        <x:f>TEXT(G1753,"yyyy-mm")</x:f>
        <x:v>2029-10</x:v>
      </x:c>
    </x:row>
    <x:row r="1754" ht="19" customHeight="1">
      <x:c r="A1754" s="2" t="n">
        <x:v>47410</x:v>
      </x:c>
      <x:c r="B1754" t="str">
        <x:f>CHOOSE(WEEKDAY(A1754,2),"Lunes","Martes","Miércoles","Jueves","Viernes","Sábado","Domingo")</x:f>
        <x:v>Viernes</x:v>
      </x:c>
      <x:c r="C1754" t="str">
        <x:f>IF(COUNTIF(FERIADOS!$A$2:$A$250,A1754)&gt;0,"SÍ","NO")</x:f>
        <x:v>NO</x:v>
      </x:c>
      <x:c r="D1754" t="str">
        <x:f>IF(AND(WEEKDAY(A1754,2)&lt;=5,C1754="NO"),"SÍ","NO")</x:f>
        <x:v>SÍ</x:v>
      </x:c>
      <x:c r="E1754" s="2" t="n">
        <x:f>WORKDAY.INTL(A1754-1,1,1,FERIADOS!$A$2:$A$250)</x:f>
        <x:v>47410</x:v>
      </x:c>
      <x:c r="F1754" t="str">
        <x:f>IF(E1754&gt;=WORKDAY.INTL(EOMONTH(E1754,0)+1,-2,1,FERIADOS!$A$2:$A$250),"SÍ","NO")</x:f>
        <x:v>NO</x:v>
      </x:c>
      <x:c r="G1754" s="10" t="n">
        <x:f>IF(F1754="SÍ",EOMONTH(E1754,0)+1,DATE(YEAR(E1754),MONTH(E1754),1))</x:f>
        <x:v>47392</x:v>
      </x:c>
      <x:c r="H1754" t="str">
        <x:f>IF(D1754="NO",IF(C1754="SÍ","FERIADO","FIN DE SEMANA"),"LABORABLE")&amp;IF(F1754="SÍ"," + CIERRE","")</x:f>
        <x:v>LABORABLE</x:v>
      </x:c>
      <x:c r="I1754" t="str">
        <x:f>TEXT(G1754,"yyyy-mm")</x:f>
        <x:v>2029-10</x:v>
      </x:c>
    </x:row>
    <x:row r="1755" ht="19" customHeight="1">
      <x:c r="A1755" s="2" t="n">
        <x:v>47411</x:v>
      </x:c>
      <x:c r="B1755" t="str">
        <x:f>CHOOSE(WEEKDAY(A1755,2),"Lunes","Martes","Miércoles","Jueves","Viernes","Sábado","Domingo")</x:f>
        <x:v>Sábado</x:v>
      </x:c>
      <x:c r="C1755" t="str">
        <x:f>IF(COUNTIF(FERIADOS!$A$2:$A$250,A1755)&gt;0,"SÍ","NO")</x:f>
        <x:v>NO</x:v>
      </x:c>
      <x:c r="D1755" t="str">
        <x:f>IF(AND(WEEKDAY(A1755,2)&lt;=5,C1755="NO"),"SÍ","NO")</x:f>
        <x:v>NO</x:v>
      </x:c>
      <x:c r="E1755" s="2" t="n">
        <x:f>WORKDAY.INTL(A1755-1,1,1,FERIADOS!$A$2:$A$250)</x:f>
        <x:v>47413</x:v>
      </x:c>
      <x:c r="F1755" t="str">
        <x:f>IF(E1755&gt;=WORKDAY.INTL(EOMONTH(E1755,0)+1,-2,1,FERIADOS!$A$2:$A$250),"SÍ","NO")</x:f>
        <x:v>NO</x:v>
      </x:c>
      <x:c r="G1755" s="10" t="n">
        <x:f>IF(F1755="SÍ",EOMONTH(E1755,0)+1,DATE(YEAR(E1755),MONTH(E1755),1))</x:f>
        <x:v>47392</x:v>
      </x:c>
      <x:c r="H1755" t="str">
        <x:f>IF(D1755="NO",IF(C1755="SÍ","FERIADO","FIN DE SEMANA"),"LABORABLE")&amp;IF(F1755="SÍ"," + CIERRE","")</x:f>
        <x:v>FIN DE SEMANA</x:v>
      </x:c>
      <x:c r="I1755" t="str">
        <x:f>TEXT(G1755,"yyyy-mm")</x:f>
        <x:v>2029-10</x:v>
      </x:c>
    </x:row>
    <x:row r="1756" ht="19" customHeight="1">
      <x:c r="A1756" s="2" t="n">
        <x:v>47412</x:v>
      </x:c>
      <x:c r="B1756" t="str">
        <x:f>CHOOSE(WEEKDAY(A1756,2),"Lunes","Martes","Miércoles","Jueves","Viernes","Sábado","Domingo")</x:f>
        <x:v>Domingo</x:v>
      </x:c>
      <x:c r="C1756" t="str">
        <x:f>IF(COUNTIF(FERIADOS!$A$2:$A$250,A1756)&gt;0,"SÍ","NO")</x:f>
        <x:v>NO</x:v>
      </x:c>
      <x:c r="D1756" t="str">
        <x:f>IF(AND(WEEKDAY(A1756,2)&lt;=5,C1756="NO"),"SÍ","NO")</x:f>
        <x:v>NO</x:v>
      </x:c>
      <x:c r="E1756" s="2" t="n">
        <x:f>WORKDAY.INTL(A1756-1,1,1,FERIADOS!$A$2:$A$250)</x:f>
        <x:v>47413</x:v>
      </x:c>
      <x:c r="F1756" t="str">
        <x:f>IF(E1756&gt;=WORKDAY.INTL(EOMONTH(E1756,0)+1,-2,1,FERIADOS!$A$2:$A$250),"SÍ","NO")</x:f>
        <x:v>NO</x:v>
      </x:c>
      <x:c r="G1756" s="10" t="n">
        <x:f>IF(F1756="SÍ",EOMONTH(E1756,0)+1,DATE(YEAR(E1756),MONTH(E1756),1))</x:f>
        <x:v>47392</x:v>
      </x:c>
      <x:c r="H1756" t="str">
        <x:f>IF(D1756="NO",IF(C1756="SÍ","FERIADO","FIN DE SEMANA"),"LABORABLE")&amp;IF(F1756="SÍ"," + CIERRE","")</x:f>
        <x:v>FIN DE SEMANA</x:v>
      </x:c>
      <x:c r="I1756" t="str">
        <x:f>TEXT(G1756,"yyyy-mm")</x:f>
        <x:v>2029-10</x:v>
      </x:c>
    </x:row>
    <x:row r="1757" ht="19" customHeight="1">
      <x:c r="A1757" s="2" t="n">
        <x:v>47413</x:v>
      </x:c>
      <x:c r="B1757" t="str">
        <x:f>CHOOSE(WEEKDAY(A1757,2),"Lunes","Martes","Miércoles","Jueves","Viernes","Sábado","Domingo")</x:f>
        <x:v>Lunes</x:v>
      </x:c>
      <x:c r="C1757" t="str">
        <x:f>IF(COUNTIF(FERIADOS!$A$2:$A$250,A1757)&gt;0,"SÍ","NO")</x:f>
        <x:v>NO</x:v>
      </x:c>
      <x:c r="D1757" t="str">
        <x:f>IF(AND(WEEKDAY(A1757,2)&lt;=5,C1757="NO"),"SÍ","NO")</x:f>
        <x:v>SÍ</x:v>
      </x:c>
      <x:c r="E1757" s="2" t="n">
        <x:f>WORKDAY.INTL(A1757-1,1,1,FERIADOS!$A$2:$A$250)</x:f>
        <x:v>47413</x:v>
      </x:c>
      <x:c r="F1757" t="str">
        <x:f>IF(E1757&gt;=WORKDAY.INTL(EOMONTH(E1757,0)+1,-2,1,FERIADOS!$A$2:$A$250),"SÍ","NO")</x:f>
        <x:v>NO</x:v>
      </x:c>
      <x:c r="G1757" s="10" t="n">
        <x:f>IF(F1757="SÍ",EOMONTH(E1757,0)+1,DATE(YEAR(E1757),MONTH(E1757),1))</x:f>
        <x:v>47392</x:v>
      </x:c>
      <x:c r="H1757" t="str">
        <x:f>IF(D1757="NO",IF(C1757="SÍ","FERIADO","FIN DE SEMANA"),"LABORABLE")&amp;IF(F1757="SÍ"," + CIERRE","")</x:f>
        <x:v>LABORABLE</x:v>
      </x:c>
      <x:c r="I1757" t="str">
        <x:f>TEXT(G1757,"yyyy-mm")</x:f>
        <x:v>2029-10</x:v>
      </x:c>
    </x:row>
    <x:row r="1758" ht="19" customHeight="1">
      <x:c r="A1758" s="2" t="n">
        <x:v>47414</x:v>
      </x:c>
      <x:c r="B1758" t="str">
        <x:f>CHOOSE(WEEKDAY(A1758,2),"Lunes","Martes","Miércoles","Jueves","Viernes","Sábado","Domingo")</x:f>
        <x:v>Martes</x:v>
      </x:c>
      <x:c r="C1758" t="str">
        <x:f>IF(COUNTIF(FERIADOS!$A$2:$A$250,A1758)&gt;0,"SÍ","NO")</x:f>
        <x:v>NO</x:v>
      </x:c>
      <x:c r="D1758" t="str">
        <x:f>IF(AND(WEEKDAY(A1758,2)&lt;=5,C1758="NO"),"SÍ","NO")</x:f>
        <x:v>SÍ</x:v>
      </x:c>
      <x:c r="E1758" s="2" t="n">
        <x:f>WORKDAY.INTL(A1758-1,1,1,FERIADOS!$A$2:$A$250)</x:f>
        <x:v>47414</x:v>
      </x:c>
      <x:c r="F1758" t="str">
        <x:f>IF(E1758&gt;=WORKDAY.INTL(EOMONTH(E1758,0)+1,-2,1,FERIADOS!$A$2:$A$250),"SÍ","NO")</x:f>
        <x:v>NO</x:v>
      </x:c>
      <x:c r="G1758" s="10" t="n">
        <x:f>IF(F1758="SÍ",EOMONTH(E1758,0)+1,DATE(YEAR(E1758),MONTH(E1758),1))</x:f>
        <x:v>47392</x:v>
      </x:c>
      <x:c r="H1758" t="str">
        <x:f>IF(D1758="NO",IF(C1758="SÍ","FERIADO","FIN DE SEMANA"),"LABORABLE")&amp;IF(F1758="SÍ"," + CIERRE","")</x:f>
        <x:v>LABORABLE</x:v>
      </x:c>
      <x:c r="I1758" t="str">
        <x:f>TEXT(G1758,"yyyy-mm")</x:f>
        <x:v>2029-10</x:v>
      </x:c>
    </x:row>
    <x:row r="1759" ht="19" customHeight="1">
      <x:c r="A1759" s="2" t="n">
        <x:v>47415</x:v>
      </x:c>
      <x:c r="B1759" t="str">
        <x:f>CHOOSE(WEEKDAY(A1759,2),"Lunes","Martes","Miércoles","Jueves","Viernes","Sábado","Domingo")</x:f>
        <x:v>Miércoles</x:v>
      </x:c>
      <x:c r="C1759" t="str">
        <x:f>IF(COUNTIF(FERIADOS!$A$2:$A$250,A1759)&gt;0,"SÍ","NO")</x:f>
        <x:v>NO</x:v>
      </x:c>
      <x:c r="D1759" t="str">
        <x:f>IF(AND(WEEKDAY(A1759,2)&lt;=5,C1759="NO"),"SÍ","NO")</x:f>
        <x:v>SÍ</x:v>
      </x:c>
      <x:c r="E1759" s="2" t="n">
        <x:f>WORKDAY.INTL(A1759-1,1,1,FERIADOS!$A$2:$A$250)</x:f>
        <x:v>47415</x:v>
      </x:c>
      <x:c r="F1759" t="str">
        <x:f>IF(E1759&gt;=WORKDAY.INTL(EOMONTH(E1759,0)+1,-2,1,FERIADOS!$A$2:$A$250),"SÍ","NO")</x:f>
        <x:v>NO</x:v>
      </x:c>
      <x:c r="G1759" s="10" t="n">
        <x:f>IF(F1759="SÍ",EOMONTH(E1759,0)+1,DATE(YEAR(E1759),MONTH(E1759),1))</x:f>
        <x:v>47392</x:v>
      </x:c>
      <x:c r="H1759" t="str">
        <x:f>IF(D1759="NO",IF(C1759="SÍ","FERIADO","FIN DE SEMANA"),"LABORABLE")&amp;IF(F1759="SÍ"," + CIERRE","")</x:f>
        <x:v>LABORABLE</x:v>
      </x:c>
      <x:c r="I1759" t="str">
        <x:f>TEXT(G1759,"yyyy-mm")</x:f>
        <x:v>2029-10</x:v>
      </x:c>
    </x:row>
    <x:row r="1760" ht="19" customHeight="1">
      <x:c r="A1760" s="2" t="n">
        <x:v>47416</x:v>
      </x:c>
      <x:c r="B1760" t="str">
        <x:f>CHOOSE(WEEKDAY(A1760,2),"Lunes","Martes","Miércoles","Jueves","Viernes","Sábado","Domingo")</x:f>
        <x:v>Jueves</x:v>
      </x:c>
      <x:c r="C1760" t="str">
        <x:f>IF(COUNTIF(FERIADOS!$A$2:$A$250,A1760)&gt;0,"SÍ","NO")</x:f>
        <x:v>NO</x:v>
      </x:c>
      <x:c r="D1760" t="str">
        <x:f>IF(AND(WEEKDAY(A1760,2)&lt;=5,C1760="NO"),"SÍ","NO")</x:f>
        <x:v>SÍ</x:v>
      </x:c>
      <x:c r="E1760" s="2" t="n">
        <x:f>WORKDAY.INTL(A1760-1,1,1,FERIADOS!$A$2:$A$250)</x:f>
        <x:v>47416</x:v>
      </x:c>
      <x:c r="F1760" t="str">
        <x:f>IF(E1760&gt;=WORKDAY.INTL(EOMONTH(E1760,0)+1,-2,1,FERIADOS!$A$2:$A$250),"SÍ","NO")</x:f>
        <x:v>NO</x:v>
      </x:c>
      <x:c r="G1760" s="10" t="n">
        <x:f>IF(F1760="SÍ",EOMONTH(E1760,0)+1,DATE(YEAR(E1760),MONTH(E1760),1))</x:f>
        <x:v>47392</x:v>
      </x:c>
      <x:c r="H1760" t="str">
        <x:f>IF(D1760="NO",IF(C1760="SÍ","FERIADO","FIN DE SEMANA"),"LABORABLE")&amp;IF(F1760="SÍ"," + CIERRE","")</x:f>
        <x:v>LABORABLE</x:v>
      </x:c>
      <x:c r="I1760" t="str">
        <x:f>TEXT(G1760,"yyyy-mm")</x:f>
        <x:v>2029-10</x:v>
      </x:c>
    </x:row>
    <x:row r="1761" ht="19" customHeight="1">
      <x:c r="A1761" s="2" t="n">
        <x:v>47417</x:v>
      </x:c>
      <x:c r="B1761" t="str">
        <x:f>CHOOSE(WEEKDAY(A1761,2),"Lunes","Martes","Miércoles","Jueves","Viernes","Sábado","Domingo")</x:f>
        <x:v>Viernes</x:v>
      </x:c>
      <x:c r="C1761" t="str">
        <x:f>IF(COUNTIF(FERIADOS!$A$2:$A$250,A1761)&gt;0,"SÍ","NO")</x:f>
        <x:v>NO</x:v>
      </x:c>
      <x:c r="D1761" t="str">
        <x:f>IF(AND(WEEKDAY(A1761,2)&lt;=5,C1761="NO"),"SÍ","NO")</x:f>
        <x:v>SÍ</x:v>
      </x:c>
      <x:c r="E1761" s="2" t="n">
        <x:f>WORKDAY.INTL(A1761-1,1,1,FERIADOS!$A$2:$A$250)</x:f>
        <x:v>47417</x:v>
      </x:c>
      <x:c r="F1761" t="str">
        <x:f>IF(E1761&gt;=WORKDAY.INTL(EOMONTH(E1761,0)+1,-2,1,FERIADOS!$A$2:$A$250),"SÍ","NO")</x:f>
        <x:v>NO</x:v>
      </x:c>
      <x:c r="G1761" s="10" t="n">
        <x:f>IF(F1761="SÍ",EOMONTH(E1761,0)+1,DATE(YEAR(E1761),MONTH(E1761),1))</x:f>
        <x:v>47392</x:v>
      </x:c>
      <x:c r="H1761" t="str">
        <x:f>IF(D1761="NO",IF(C1761="SÍ","FERIADO","FIN DE SEMANA"),"LABORABLE")&amp;IF(F1761="SÍ"," + CIERRE","")</x:f>
        <x:v>LABORABLE</x:v>
      </x:c>
      <x:c r="I1761" t="str">
        <x:f>TEXT(G1761,"yyyy-mm")</x:f>
        <x:v>2029-10</x:v>
      </x:c>
    </x:row>
    <x:row r="1762" ht="19" customHeight="1">
      <x:c r="A1762" s="2" t="n">
        <x:v>47418</x:v>
      </x:c>
      <x:c r="B1762" t="str">
        <x:f>CHOOSE(WEEKDAY(A1762,2),"Lunes","Martes","Miércoles","Jueves","Viernes","Sábado","Domingo")</x:f>
        <x:v>Sábado</x:v>
      </x:c>
      <x:c r="C1762" t="str">
        <x:f>IF(COUNTIF(FERIADOS!$A$2:$A$250,A1762)&gt;0,"SÍ","NO")</x:f>
        <x:v>NO</x:v>
      </x:c>
      <x:c r="D1762" t="str">
        <x:f>IF(AND(WEEKDAY(A1762,2)&lt;=5,C1762="NO"),"SÍ","NO")</x:f>
        <x:v>NO</x:v>
      </x:c>
      <x:c r="E1762" s="2" t="n">
        <x:f>WORKDAY.INTL(A1762-1,1,1,FERIADOS!$A$2:$A$250)</x:f>
        <x:v>47420</x:v>
      </x:c>
      <x:c r="F1762" t="str">
        <x:f>IF(E1762&gt;=WORKDAY.INTL(EOMONTH(E1762,0)+1,-2,1,FERIADOS!$A$2:$A$250),"SÍ","NO")</x:f>
        <x:v>NO</x:v>
      </x:c>
      <x:c r="G1762" s="10" t="n">
        <x:f>IF(F1762="SÍ",EOMONTH(E1762,0)+1,DATE(YEAR(E1762),MONTH(E1762),1))</x:f>
        <x:v>47392</x:v>
      </x:c>
      <x:c r="H1762" t="str">
        <x:f>IF(D1762="NO",IF(C1762="SÍ","FERIADO","FIN DE SEMANA"),"LABORABLE")&amp;IF(F1762="SÍ"," + CIERRE","")</x:f>
        <x:v>FIN DE SEMANA</x:v>
      </x:c>
      <x:c r="I1762" t="str">
        <x:f>TEXT(G1762,"yyyy-mm")</x:f>
        <x:v>2029-10</x:v>
      </x:c>
    </x:row>
    <x:row r="1763" ht="19" customHeight="1">
      <x:c r="A1763" s="2" t="n">
        <x:v>47419</x:v>
      </x:c>
      <x:c r="B1763" t="str">
        <x:f>CHOOSE(WEEKDAY(A1763,2),"Lunes","Martes","Miércoles","Jueves","Viernes","Sábado","Domingo")</x:f>
        <x:v>Domingo</x:v>
      </x:c>
      <x:c r="C1763" t="str">
        <x:f>IF(COUNTIF(FERIADOS!$A$2:$A$250,A1763)&gt;0,"SÍ","NO")</x:f>
        <x:v>NO</x:v>
      </x:c>
      <x:c r="D1763" t="str">
        <x:f>IF(AND(WEEKDAY(A1763,2)&lt;=5,C1763="NO"),"SÍ","NO")</x:f>
        <x:v>NO</x:v>
      </x:c>
      <x:c r="E1763" s="2" t="n">
        <x:f>WORKDAY.INTL(A1763-1,1,1,FERIADOS!$A$2:$A$250)</x:f>
        <x:v>47420</x:v>
      </x:c>
      <x:c r="F1763" t="str">
        <x:f>IF(E1763&gt;=WORKDAY.INTL(EOMONTH(E1763,0)+1,-2,1,FERIADOS!$A$2:$A$250),"SÍ","NO")</x:f>
        <x:v>NO</x:v>
      </x:c>
      <x:c r="G1763" s="10" t="n">
        <x:f>IF(F1763="SÍ",EOMONTH(E1763,0)+1,DATE(YEAR(E1763),MONTH(E1763),1))</x:f>
        <x:v>47392</x:v>
      </x:c>
      <x:c r="H1763" t="str">
        <x:f>IF(D1763="NO",IF(C1763="SÍ","FERIADO","FIN DE SEMANA"),"LABORABLE")&amp;IF(F1763="SÍ"," + CIERRE","")</x:f>
        <x:v>FIN DE SEMANA</x:v>
      </x:c>
      <x:c r="I1763" t="str">
        <x:f>TEXT(G1763,"yyyy-mm")</x:f>
        <x:v>2029-10</x:v>
      </x:c>
    </x:row>
    <x:row r="1764" ht="19" customHeight="1">
      <x:c r="A1764" s="2" t="n">
        <x:v>47420</x:v>
      </x:c>
      <x:c r="B1764" t="str">
        <x:f>CHOOSE(WEEKDAY(A1764,2),"Lunes","Martes","Miércoles","Jueves","Viernes","Sábado","Domingo")</x:f>
        <x:v>Lunes</x:v>
      </x:c>
      <x:c r="C1764" t="str">
        <x:f>IF(COUNTIF(FERIADOS!$A$2:$A$250,A1764)&gt;0,"SÍ","NO")</x:f>
        <x:v>NO</x:v>
      </x:c>
      <x:c r="D1764" t="str">
        <x:f>IF(AND(WEEKDAY(A1764,2)&lt;=5,C1764="NO"),"SÍ","NO")</x:f>
        <x:v>SÍ</x:v>
      </x:c>
      <x:c r="E1764" s="2" t="n">
        <x:f>WORKDAY.INTL(A1764-1,1,1,FERIADOS!$A$2:$A$250)</x:f>
        <x:v>47420</x:v>
      </x:c>
      <x:c r="F1764" t="str">
        <x:f>IF(E1764&gt;=WORKDAY.INTL(EOMONTH(E1764,0)+1,-2,1,FERIADOS!$A$2:$A$250),"SÍ","NO")</x:f>
        <x:v>NO</x:v>
      </x:c>
      <x:c r="G1764" s="10" t="n">
        <x:f>IF(F1764="SÍ",EOMONTH(E1764,0)+1,DATE(YEAR(E1764),MONTH(E1764),1))</x:f>
        <x:v>47392</x:v>
      </x:c>
      <x:c r="H1764" t="str">
        <x:f>IF(D1764="NO",IF(C1764="SÍ","FERIADO","FIN DE SEMANA"),"LABORABLE")&amp;IF(F1764="SÍ"," + CIERRE","")</x:f>
        <x:v>LABORABLE</x:v>
      </x:c>
      <x:c r="I1764" t="str">
        <x:f>TEXT(G1764,"yyyy-mm")</x:f>
        <x:v>2029-10</x:v>
      </x:c>
    </x:row>
    <x:row r="1765" ht="19" customHeight="1">
      <x:c r="A1765" s="2" t="n">
        <x:v>47421</x:v>
      </x:c>
      <x:c r="B1765" t="str">
        <x:f>CHOOSE(WEEKDAY(A1765,2),"Lunes","Martes","Miércoles","Jueves","Viernes","Sábado","Domingo")</x:f>
        <x:v>Martes</x:v>
      </x:c>
      <x:c r="C1765" t="str">
        <x:f>IF(COUNTIF(FERIADOS!$A$2:$A$250,A1765)&gt;0,"SÍ","NO")</x:f>
        <x:v>NO</x:v>
      </x:c>
      <x:c r="D1765" t="str">
        <x:f>IF(AND(WEEKDAY(A1765,2)&lt;=5,C1765="NO"),"SÍ","NO")</x:f>
        <x:v>SÍ</x:v>
      </x:c>
      <x:c r="E1765" s="2" t="n">
        <x:f>WORKDAY.INTL(A1765-1,1,1,FERIADOS!$A$2:$A$250)</x:f>
        <x:v>47421</x:v>
      </x:c>
      <x:c r="F1765" t="str">
        <x:f>IF(E1765&gt;=WORKDAY.INTL(EOMONTH(E1765,0)+1,-2,1,FERIADOS!$A$2:$A$250),"SÍ","NO")</x:f>
        <x:v>SÍ</x:v>
      </x:c>
      <x:c r="G1765" s="10" t="n">
        <x:f>IF(F1765="SÍ",EOMONTH(E1765,0)+1,DATE(YEAR(E1765),MONTH(E1765),1))</x:f>
        <x:v>47423</x:v>
      </x:c>
      <x:c r="H1765" t="str">
        <x:f>IF(D1765="NO",IF(C1765="SÍ","FERIADO","FIN DE SEMANA"),"LABORABLE")&amp;IF(F1765="SÍ"," + CIERRE","")</x:f>
        <x:v>LABORABLE + CIERRE</x:v>
      </x:c>
      <x:c r="I1765" t="str">
        <x:f>TEXT(G1765,"yyyy-mm")</x:f>
        <x:v>2029-11</x:v>
      </x:c>
    </x:row>
    <x:row r="1766" ht="19" customHeight="1">
      <x:c r="A1766" s="2" t="n">
        <x:v>47422</x:v>
      </x:c>
      <x:c r="B1766" t="str">
        <x:f>CHOOSE(WEEKDAY(A1766,2),"Lunes","Martes","Miércoles","Jueves","Viernes","Sábado","Domingo")</x:f>
        <x:v>Miércoles</x:v>
      </x:c>
      <x:c r="C1766" t="str">
        <x:f>IF(COUNTIF(FERIADOS!$A$2:$A$250,A1766)&gt;0,"SÍ","NO")</x:f>
        <x:v>NO</x:v>
      </x:c>
      <x:c r="D1766" t="str">
        <x:f>IF(AND(WEEKDAY(A1766,2)&lt;=5,C1766="NO"),"SÍ","NO")</x:f>
        <x:v>SÍ</x:v>
      </x:c>
      <x:c r="E1766" s="2" t="n">
        <x:f>WORKDAY.INTL(A1766-1,1,1,FERIADOS!$A$2:$A$250)</x:f>
        <x:v>47422</x:v>
      </x:c>
      <x:c r="F1766" t="str">
        <x:f>IF(E1766&gt;=WORKDAY.INTL(EOMONTH(E1766,0)+1,-2,1,FERIADOS!$A$2:$A$250),"SÍ","NO")</x:f>
        <x:v>SÍ</x:v>
      </x:c>
      <x:c r="G1766" s="10" t="n">
        <x:f>IF(F1766="SÍ",EOMONTH(E1766,0)+1,DATE(YEAR(E1766),MONTH(E1766),1))</x:f>
        <x:v>47423</x:v>
      </x:c>
      <x:c r="H1766" t="str">
        <x:f>IF(D1766="NO",IF(C1766="SÍ","FERIADO","FIN DE SEMANA"),"LABORABLE")&amp;IF(F1766="SÍ"," + CIERRE","")</x:f>
        <x:v>LABORABLE + CIERRE</x:v>
      </x:c>
      <x:c r="I1766" t="str">
        <x:f>TEXT(G1766,"yyyy-mm")</x:f>
        <x:v>2029-11</x:v>
      </x:c>
    </x:row>
    <x:row r="1767" ht="19" customHeight="1">
      <x:c r="A1767" s="2" t="n">
        <x:v>47423</x:v>
      </x:c>
      <x:c r="B1767" t="str">
        <x:f>CHOOSE(WEEKDAY(A1767,2),"Lunes","Martes","Miércoles","Jueves","Viernes","Sábado","Domingo")</x:f>
        <x:v>Jueves</x:v>
      </x:c>
      <x:c r="C1767" t="str">
        <x:f>IF(COUNTIF(FERIADOS!$A$2:$A$250,A1767)&gt;0,"SÍ","NO")</x:f>
        <x:v>SÍ</x:v>
      </x:c>
      <x:c r="D1767" t="str">
        <x:f>IF(AND(WEEKDAY(A1767,2)&lt;=5,C1767="NO"),"SÍ","NO")</x:f>
        <x:v>NO</x:v>
      </x:c>
      <x:c r="E1767" s="2" t="n">
        <x:f>WORKDAY.INTL(A1767-1,1,1,FERIADOS!$A$2:$A$250)</x:f>
        <x:v>47427</x:v>
      </x:c>
      <x:c r="F1767" t="str">
        <x:f>IF(E1767&gt;=WORKDAY.INTL(EOMONTH(E1767,0)+1,-2,1,FERIADOS!$A$2:$A$250),"SÍ","NO")</x:f>
        <x:v>NO</x:v>
      </x:c>
      <x:c r="G1767" s="10" t="n">
        <x:f>IF(F1767="SÍ",EOMONTH(E1767,0)+1,DATE(YEAR(E1767),MONTH(E1767),1))</x:f>
        <x:v>47423</x:v>
      </x:c>
      <x:c r="H1767" t="str">
        <x:f>IF(D1767="NO",IF(C1767="SÍ","FERIADO","FIN DE SEMANA"),"LABORABLE")&amp;IF(F1767="SÍ"," + CIERRE","")</x:f>
        <x:v>FERIADO</x:v>
      </x:c>
      <x:c r="I1767" t="str">
        <x:f>TEXT(G1767,"yyyy-mm")</x:f>
        <x:v>2029-11</x:v>
      </x:c>
    </x:row>
    <x:row r="1768" ht="19" customHeight="1">
      <x:c r="A1768" s="2" t="n">
        <x:v>47424</x:v>
      </x:c>
      <x:c r="B1768" t="str">
        <x:f>CHOOSE(WEEKDAY(A1768,2),"Lunes","Martes","Miércoles","Jueves","Viernes","Sábado","Domingo")</x:f>
        <x:v>Viernes</x:v>
      </x:c>
      <x:c r="C1768" t="str">
        <x:f>IF(COUNTIF(FERIADOS!$A$2:$A$250,A1768)&gt;0,"SÍ","NO")</x:f>
        <x:v>SÍ</x:v>
      </x:c>
      <x:c r="D1768" t="str">
        <x:f>IF(AND(WEEKDAY(A1768,2)&lt;=5,C1768="NO"),"SÍ","NO")</x:f>
        <x:v>NO</x:v>
      </x:c>
      <x:c r="E1768" s="2" t="n">
        <x:f>WORKDAY.INTL(A1768-1,1,1,FERIADOS!$A$2:$A$250)</x:f>
        <x:v>47427</x:v>
      </x:c>
      <x:c r="F1768" t="str">
        <x:f>IF(E1768&gt;=WORKDAY.INTL(EOMONTH(E1768,0)+1,-2,1,FERIADOS!$A$2:$A$250),"SÍ","NO")</x:f>
        <x:v>NO</x:v>
      </x:c>
      <x:c r="G1768" s="10" t="n">
        <x:f>IF(F1768="SÍ",EOMONTH(E1768,0)+1,DATE(YEAR(E1768),MONTH(E1768),1))</x:f>
        <x:v>47423</x:v>
      </x:c>
      <x:c r="H1768" t="str">
        <x:f>IF(D1768="NO",IF(C1768="SÍ","FERIADO","FIN DE SEMANA"),"LABORABLE")&amp;IF(F1768="SÍ"," + CIERRE","")</x:f>
        <x:v>FERIADO</x:v>
      </x:c>
      <x:c r="I1768" t="str">
        <x:f>TEXT(G1768,"yyyy-mm")</x:f>
        <x:v>2029-11</x:v>
      </x:c>
    </x:row>
    <x:row r="1769" ht="19" customHeight="1">
      <x:c r="A1769" s="2" t="n">
        <x:v>47425</x:v>
      </x:c>
      <x:c r="B1769" t="str">
        <x:f>CHOOSE(WEEKDAY(A1769,2),"Lunes","Martes","Miércoles","Jueves","Viernes","Sábado","Domingo")</x:f>
        <x:v>Sábado</x:v>
      </x:c>
      <x:c r="C1769" t="str">
        <x:f>IF(COUNTIF(FERIADOS!$A$2:$A$250,A1769)&gt;0,"SÍ","NO")</x:f>
        <x:v>NO</x:v>
      </x:c>
      <x:c r="D1769" t="str">
        <x:f>IF(AND(WEEKDAY(A1769,2)&lt;=5,C1769="NO"),"SÍ","NO")</x:f>
        <x:v>NO</x:v>
      </x:c>
      <x:c r="E1769" s="2" t="n">
        <x:f>WORKDAY.INTL(A1769-1,1,1,FERIADOS!$A$2:$A$250)</x:f>
        <x:v>47427</x:v>
      </x:c>
      <x:c r="F1769" t="str">
        <x:f>IF(E1769&gt;=WORKDAY.INTL(EOMONTH(E1769,0)+1,-2,1,FERIADOS!$A$2:$A$250),"SÍ","NO")</x:f>
        <x:v>NO</x:v>
      </x:c>
      <x:c r="G1769" s="10" t="n">
        <x:f>IF(F1769="SÍ",EOMONTH(E1769,0)+1,DATE(YEAR(E1769),MONTH(E1769),1))</x:f>
        <x:v>47423</x:v>
      </x:c>
      <x:c r="H1769" t="str">
        <x:f>IF(D1769="NO",IF(C1769="SÍ","FERIADO","FIN DE SEMANA"),"LABORABLE")&amp;IF(F1769="SÍ"," + CIERRE","")</x:f>
        <x:v>FIN DE SEMANA</x:v>
      </x:c>
      <x:c r="I1769" t="str">
        <x:f>TEXT(G1769,"yyyy-mm")</x:f>
        <x:v>2029-11</x:v>
      </x:c>
    </x:row>
    <x:row r="1770" ht="19" customHeight="1">
      <x:c r="A1770" s="2" t="n">
        <x:v>47426</x:v>
      </x:c>
      <x:c r="B1770" t="str">
        <x:f>CHOOSE(WEEKDAY(A1770,2),"Lunes","Martes","Miércoles","Jueves","Viernes","Sábado","Domingo")</x:f>
        <x:v>Domingo</x:v>
      </x:c>
      <x:c r="C1770" t="str">
        <x:f>IF(COUNTIF(FERIADOS!$A$2:$A$250,A1770)&gt;0,"SÍ","NO")</x:f>
        <x:v>NO</x:v>
      </x:c>
      <x:c r="D1770" t="str">
        <x:f>IF(AND(WEEKDAY(A1770,2)&lt;=5,C1770="NO"),"SÍ","NO")</x:f>
        <x:v>NO</x:v>
      </x:c>
      <x:c r="E1770" s="2" t="n">
        <x:f>WORKDAY.INTL(A1770-1,1,1,FERIADOS!$A$2:$A$250)</x:f>
        <x:v>47427</x:v>
      </x:c>
      <x:c r="F1770" t="str">
        <x:f>IF(E1770&gt;=WORKDAY.INTL(EOMONTH(E1770,0)+1,-2,1,FERIADOS!$A$2:$A$250),"SÍ","NO")</x:f>
        <x:v>NO</x:v>
      </x:c>
      <x:c r="G1770" s="10" t="n">
        <x:f>IF(F1770="SÍ",EOMONTH(E1770,0)+1,DATE(YEAR(E1770),MONTH(E1770),1))</x:f>
        <x:v>47423</x:v>
      </x:c>
      <x:c r="H1770" t="str">
        <x:f>IF(D1770="NO",IF(C1770="SÍ","FERIADO","FIN DE SEMANA"),"LABORABLE")&amp;IF(F1770="SÍ"," + CIERRE","")</x:f>
        <x:v>FIN DE SEMANA</x:v>
      </x:c>
      <x:c r="I1770" t="str">
        <x:f>TEXT(G1770,"yyyy-mm")</x:f>
        <x:v>2029-11</x:v>
      </x:c>
    </x:row>
    <x:row r="1771" ht="19" customHeight="1">
      <x:c r="A1771" s="2" t="n">
        <x:v>47427</x:v>
      </x:c>
      <x:c r="B1771" t="str">
        <x:f>CHOOSE(WEEKDAY(A1771,2),"Lunes","Martes","Miércoles","Jueves","Viernes","Sábado","Domingo")</x:f>
        <x:v>Lunes</x:v>
      </x:c>
      <x:c r="C1771" t="str">
        <x:f>IF(COUNTIF(FERIADOS!$A$2:$A$250,A1771)&gt;0,"SÍ","NO")</x:f>
        <x:v>NO</x:v>
      </x:c>
      <x:c r="D1771" t="str">
        <x:f>IF(AND(WEEKDAY(A1771,2)&lt;=5,C1771="NO"),"SÍ","NO")</x:f>
        <x:v>SÍ</x:v>
      </x:c>
      <x:c r="E1771" s="2" t="n">
        <x:f>WORKDAY.INTL(A1771-1,1,1,FERIADOS!$A$2:$A$250)</x:f>
        <x:v>47427</x:v>
      </x:c>
      <x:c r="F1771" t="str">
        <x:f>IF(E1771&gt;=WORKDAY.INTL(EOMONTH(E1771,0)+1,-2,1,FERIADOS!$A$2:$A$250),"SÍ","NO")</x:f>
        <x:v>NO</x:v>
      </x:c>
      <x:c r="G1771" s="10" t="n">
        <x:f>IF(F1771="SÍ",EOMONTH(E1771,0)+1,DATE(YEAR(E1771),MONTH(E1771),1))</x:f>
        <x:v>47423</x:v>
      </x:c>
      <x:c r="H1771" t="str">
        <x:f>IF(D1771="NO",IF(C1771="SÍ","FERIADO","FIN DE SEMANA"),"LABORABLE")&amp;IF(F1771="SÍ"," + CIERRE","")</x:f>
        <x:v>LABORABLE</x:v>
      </x:c>
      <x:c r="I1771" t="str">
        <x:f>TEXT(G1771,"yyyy-mm")</x:f>
        <x:v>2029-11</x:v>
      </x:c>
    </x:row>
    <x:row r="1772" ht="19" customHeight="1">
      <x:c r="A1772" s="2" t="n">
        <x:v>47428</x:v>
      </x:c>
      <x:c r="B1772" t="str">
        <x:f>CHOOSE(WEEKDAY(A1772,2),"Lunes","Martes","Miércoles","Jueves","Viernes","Sábado","Domingo")</x:f>
        <x:v>Martes</x:v>
      </x:c>
      <x:c r="C1772" t="str">
        <x:f>IF(COUNTIF(FERIADOS!$A$2:$A$250,A1772)&gt;0,"SÍ","NO")</x:f>
        <x:v>NO</x:v>
      </x:c>
      <x:c r="D1772" t="str">
        <x:f>IF(AND(WEEKDAY(A1772,2)&lt;=5,C1772="NO"),"SÍ","NO")</x:f>
        <x:v>SÍ</x:v>
      </x:c>
      <x:c r="E1772" s="2" t="n">
        <x:f>WORKDAY.INTL(A1772-1,1,1,FERIADOS!$A$2:$A$250)</x:f>
        <x:v>47428</x:v>
      </x:c>
      <x:c r="F1772" t="str">
        <x:f>IF(E1772&gt;=WORKDAY.INTL(EOMONTH(E1772,0)+1,-2,1,FERIADOS!$A$2:$A$250),"SÍ","NO")</x:f>
        <x:v>NO</x:v>
      </x:c>
      <x:c r="G1772" s="10" t="n">
        <x:f>IF(F1772="SÍ",EOMONTH(E1772,0)+1,DATE(YEAR(E1772),MONTH(E1772),1))</x:f>
        <x:v>47423</x:v>
      </x:c>
      <x:c r="H1772" t="str">
        <x:f>IF(D1772="NO",IF(C1772="SÍ","FERIADO","FIN DE SEMANA"),"LABORABLE")&amp;IF(F1772="SÍ"," + CIERRE","")</x:f>
        <x:v>LABORABLE</x:v>
      </x:c>
      <x:c r="I1772" t="str">
        <x:f>TEXT(G1772,"yyyy-mm")</x:f>
        <x:v>2029-11</x:v>
      </x:c>
    </x:row>
    <x:row r="1773" ht="19" customHeight="1">
      <x:c r="A1773" s="2" t="n">
        <x:v>47429</x:v>
      </x:c>
      <x:c r="B1773" t="str">
        <x:f>CHOOSE(WEEKDAY(A1773,2),"Lunes","Martes","Miércoles","Jueves","Viernes","Sábado","Domingo")</x:f>
        <x:v>Miércoles</x:v>
      </x:c>
      <x:c r="C1773" t="str">
        <x:f>IF(COUNTIF(FERIADOS!$A$2:$A$250,A1773)&gt;0,"SÍ","NO")</x:f>
        <x:v>NO</x:v>
      </x:c>
      <x:c r="D1773" t="str">
        <x:f>IF(AND(WEEKDAY(A1773,2)&lt;=5,C1773="NO"),"SÍ","NO")</x:f>
        <x:v>SÍ</x:v>
      </x:c>
      <x:c r="E1773" s="2" t="n">
        <x:f>WORKDAY.INTL(A1773-1,1,1,FERIADOS!$A$2:$A$250)</x:f>
        <x:v>47429</x:v>
      </x:c>
      <x:c r="F1773" t="str">
        <x:f>IF(E1773&gt;=WORKDAY.INTL(EOMONTH(E1773,0)+1,-2,1,FERIADOS!$A$2:$A$250),"SÍ","NO")</x:f>
        <x:v>NO</x:v>
      </x:c>
      <x:c r="G1773" s="10" t="n">
        <x:f>IF(F1773="SÍ",EOMONTH(E1773,0)+1,DATE(YEAR(E1773),MONTH(E1773),1))</x:f>
        <x:v>47423</x:v>
      </x:c>
      <x:c r="H1773" t="str">
        <x:f>IF(D1773="NO",IF(C1773="SÍ","FERIADO","FIN DE SEMANA"),"LABORABLE")&amp;IF(F1773="SÍ"," + CIERRE","")</x:f>
        <x:v>LABORABLE</x:v>
      </x:c>
      <x:c r="I1773" t="str">
        <x:f>TEXT(G1773,"yyyy-mm")</x:f>
        <x:v>2029-11</x:v>
      </x:c>
    </x:row>
    <x:row r="1774" ht="19" customHeight="1">
      <x:c r="A1774" s="2" t="n">
        <x:v>47430</x:v>
      </x:c>
      <x:c r="B1774" t="str">
        <x:f>CHOOSE(WEEKDAY(A1774,2),"Lunes","Martes","Miércoles","Jueves","Viernes","Sábado","Domingo")</x:f>
        <x:v>Jueves</x:v>
      </x:c>
      <x:c r="C1774" t="str">
        <x:f>IF(COUNTIF(FERIADOS!$A$2:$A$250,A1774)&gt;0,"SÍ","NO")</x:f>
        <x:v>NO</x:v>
      </x:c>
      <x:c r="D1774" t="str">
        <x:f>IF(AND(WEEKDAY(A1774,2)&lt;=5,C1774="NO"),"SÍ","NO")</x:f>
        <x:v>SÍ</x:v>
      </x:c>
      <x:c r="E1774" s="2" t="n">
        <x:f>WORKDAY.INTL(A1774-1,1,1,FERIADOS!$A$2:$A$250)</x:f>
        <x:v>47430</x:v>
      </x:c>
      <x:c r="F1774" t="str">
        <x:f>IF(E1774&gt;=WORKDAY.INTL(EOMONTH(E1774,0)+1,-2,1,FERIADOS!$A$2:$A$250),"SÍ","NO")</x:f>
        <x:v>NO</x:v>
      </x:c>
      <x:c r="G1774" s="10" t="n">
        <x:f>IF(F1774="SÍ",EOMONTH(E1774,0)+1,DATE(YEAR(E1774),MONTH(E1774),1))</x:f>
        <x:v>47423</x:v>
      </x:c>
      <x:c r="H1774" t="str">
        <x:f>IF(D1774="NO",IF(C1774="SÍ","FERIADO","FIN DE SEMANA"),"LABORABLE")&amp;IF(F1774="SÍ"," + CIERRE","")</x:f>
        <x:v>LABORABLE</x:v>
      </x:c>
      <x:c r="I1774" t="str">
        <x:f>TEXT(G1774,"yyyy-mm")</x:f>
        <x:v>2029-11</x:v>
      </x:c>
    </x:row>
    <x:row r="1775" ht="19" customHeight="1">
      <x:c r="A1775" s="2" t="n">
        <x:v>47431</x:v>
      </x:c>
      <x:c r="B1775" t="str">
        <x:f>CHOOSE(WEEKDAY(A1775,2),"Lunes","Martes","Miércoles","Jueves","Viernes","Sábado","Domingo")</x:f>
        <x:v>Viernes</x:v>
      </x:c>
      <x:c r="C1775" t="str">
        <x:f>IF(COUNTIF(FERIADOS!$A$2:$A$250,A1775)&gt;0,"SÍ","NO")</x:f>
        <x:v>NO</x:v>
      </x:c>
      <x:c r="D1775" t="str">
        <x:f>IF(AND(WEEKDAY(A1775,2)&lt;=5,C1775="NO"),"SÍ","NO")</x:f>
        <x:v>SÍ</x:v>
      </x:c>
      <x:c r="E1775" s="2" t="n">
        <x:f>WORKDAY.INTL(A1775-1,1,1,FERIADOS!$A$2:$A$250)</x:f>
        <x:v>47431</x:v>
      </x:c>
      <x:c r="F1775" t="str">
        <x:f>IF(E1775&gt;=WORKDAY.INTL(EOMONTH(E1775,0)+1,-2,1,FERIADOS!$A$2:$A$250),"SÍ","NO")</x:f>
        <x:v>NO</x:v>
      </x:c>
      <x:c r="G1775" s="10" t="n">
        <x:f>IF(F1775="SÍ",EOMONTH(E1775,0)+1,DATE(YEAR(E1775),MONTH(E1775),1))</x:f>
        <x:v>47423</x:v>
      </x:c>
      <x:c r="H1775" t="str">
        <x:f>IF(D1775="NO",IF(C1775="SÍ","FERIADO","FIN DE SEMANA"),"LABORABLE")&amp;IF(F1775="SÍ"," + CIERRE","")</x:f>
        <x:v>LABORABLE</x:v>
      </x:c>
      <x:c r="I1775" t="str">
        <x:f>TEXT(G1775,"yyyy-mm")</x:f>
        <x:v>2029-11</x:v>
      </x:c>
    </x:row>
    <x:row r="1776" ht="19" customHeight="1">
      <x:c r="A1776" s="2" t="n">
        <x:v>47432</x:v>
      </x:c>
      <x:c r="B1776" t="str">
        <x:f>CHOOSE(WEEKDAY(A1776,2),"Lunes","Martes","Miércoles","Jueves","Viernes","Sábado","Domingo")</x:f>
        <x:v>Sábado</x:v>
      </x:c>
      <x:c r="C1776" t="str">
        <x:f>IF(COUNTIF(FERIADOS!$A$2:$A$250,A1776)&gt;0,"SÍ","NO")</x:f>
        <x:v>NO</x:v>
      </x:c>
      <x:c r="D1776" t="str">
        <x:f>IF(AND(WEEKDAY(A1776,2)&lt;=5,C1776="NO"),"SÍ","NO")</x:f>
        <x:v>NO</x:v>
      </x:c>
      <x:c r="E1776" s="2" t="n">
        <x:f>WORKDAY.INTL(A1776-1,1,1,FERIADOS!$A$2:$A$250)</x:f>
        <x:v>47434</x:v>
      </x:c>
      <x:c r="F1776" t="str">
        <x:f>IF(E1776&gt;=WORKDAY.INTL(EOMONTH(E1776,0)+1,-2,1,FERIADOS!$A$2:$A$250),"SÍ","NO")</x:f>
        <x:v>NO</x:v>
      </x:c>
      <x:c r="G1776" s="10" t="n">
        <x:f>IF(F1776="SÍ",EOMONTH(E1776,0)+1,DATE(YEAR(E1776),MONTH(E1776),1))</x:f>
        <x:v>47423</x:v>
      </x:c>
      <x:c r="H1776" t="str">
        <x:f>IF(D1776="NO",IF(C1776="SÍ","FERIADO","FIN DE SEMANA"),"LABORABLE")&amp;IF(F1776="SÍ"," + CIERRE","")</x:f>
        <x:v>FIN DE SEMANA</x:v>
      </x:c>
      <x:c r="I1776" t="str">
        <x:f>TEXT(G1776,"yyyy-mm")</x:f>
        <x:v>2029-11</x:v>
      </x:c>
    </x:row>
    <x:row r="1777" ht="19" customHeight="1">
      <x:c r="A1777" s="2" t="n">
        <x:v>47433</x:v>
      </x:c>
      <x:c r="B1777" t="str">
        <x:f>CHOOSE(WEEKDAY(A1777,2),"Lunes","Martes","Miércoles","Jueves","Viernes","Sábado","Domingo")</x:f>
        <x:v>Domingo</x:v>
      </x:c>
      <x:c r="C1777" t="str">
        <x:f>IF(COUNTIF(FERIADOS!$A$2:$A$250,A1777)&gt;0,"SÍ","NO")</x:f>
        <x:v>NO</x:v>
      </x:c>
      <x:c r="D1777" t="str">
        <x:f>IF(AND(WEEKDAY(A1777,2)&lt;=5,C1777="NO"),"SÍ","NO")</x:f>
        <x:v>NO</x:v>
      </x:c>
      <x:c r="E1777" s="2" t="n">
        <x:f>WORKDAY.INTL(A1777-1,1,1,FERIADOS!$A$2:$A$250)</x:f>
        <x:v>47434</x:v>
      </x:c>
      <x:c r="F1777" t="str">
        <x:f>IF(E1777&gt;=WORKDAY.INTL(EOMONTH(E1777,0)+1,-2,1,FERIADOS!$A$2:$A$250),"SÍ","NO")</x:f>
        <x:v>NO</x:v>
      </x:c>
      <x:c r="G1777" s="10" t="n">
        <x:f>IF(F1777="SÍ",EOMONTH(E1777,0)+1,DATE(YEAR(E1777),MONTH(E1777),1))</x:f>
        <x:v>47423</x:v>
      </x:c>
      <x:c r="H1777" t="str">
        <x:f>IF(D1777="NO",IF(C1777="SÍ","FERIADO","FIN DE SEMANA"),"LABORABLE")&amp;IF(F1777="SÍ"," + CIERRE","")</x:f>
        <x:v>FIN DE SEMANA</x:v>
      </x:c>
      <x:c r="I1777" t="str">
        <x:f>TEXT(G1777,"yyyy-mm")</x:f>
        <x:v>2029-11</x:v>
      </x:c>
    </x:row>
    <x:row r="1778" ht="19" customHeight="1">
      <x:c r="A1778" s="2" t="n">
        <x:v>47434</x:v>
      </x:c>
      <x:c r="B1778" t="str">
        <x:f>CHOOSE(WEEKDAY(A1778,2),"Lunes","Martes","Miércoles","Jueves","Viernes","Sábado","Domingo")</x:f>
        <x:v>Lunes</x:v>
      </x:c>
      <x:c r="C1778" t="str">
        <x:f>IF(COUNTIF(FERIADOS!$A$2:$A$250,A1778)&gt;0,"SÍ","NO")</x:f>
        <x:v>NO</x:v>
      </x:c>
      <x:c r="D1778" t="str">
        <x:f>IF(AND(WEEKDAY(A1778,2)&lt;=5,C1778="NO"),"SÍ","NO")</x:f>
        <x:v>SÍ</x:v>
      </x:c>
      <x:c r="E1778" s="2" t="n">
        <x:f>WORKDAY.INTL(A1778-1,1,1,FERIADOS!$A$2:$A$250)</x:f>
        <x:v>47434</x:v>
      </x:c>
      <x:c r="F1778" t="str">
        <x:f>IF(E1778&gt;=WORKDAY.INTL(EOMONTH(E1778,0)+1,-2,1,FERIADOS!$A$2:$A$250),"SÍ","NO")</x:f>
        <x:v>NO</x:v>
      </x:c>
      <x:c r="G1778" s="10" t="n">
        <x:f>IF(F1778="SÍ",EOMONTH(E1778,0)+1,DATE(YEAR(E1778),MONTH(E1778),1))</x:f>
        <x:v>47423</x:v>
      </x:c>
      <x:c r="H1778" t="str">
        <x:f>IF(D1778="NO",IF(C1778="SÍ","FERIADO","FIN DE SEMANA"),"LABORABLE")&amp;IF(F1778="SÍ"," + CIERRE","")</x:f>
        <x:v>LABORABLE</x:v>
      </x:c>
      <x:c r="I1778" t="str">
        <x:f>TEXT(G1778,"yyyy-mm")</x:f>
        <x:v>2029-11</x:v>
      </x:c>
    </x:row>
    <x:row r="1779" ht="19" customHeight="1">
      <x:c r="A1779" s="2" t="n">
        <x:v>47435</x:v>
      </x:c>
      <x:c r="B1779" t="str">
        <x:f>CHOOSE(WEEKDAY(A1779,2),"Lunes","Martes","Miércoles","Jueves","Viernes","Sábado","Domingo")</x:f>
        <x:v>Martes</x:v>
      </x:c>
      <x:c r="C1779" t="str">
        <x:f>IF(COUNTIF(FERIADOS!$A$2:$A$250,A1779)&gt;0,"SÍ","NO")</x:f>
        <x:v>NO</x:v>
      </x:c>
      <x:c r="D1779" t="str">
        <x:f>IF(AND(WEEKDAY(A1779,2)&lt;=5,C1779="NO"),"SÍ","NO")</x:f>
        <x:v>SÍ</x:v>
      </x:c>
      <x:c r="E1779" s="2" t="n">
        <x:f>WORKDAY.INTL(A1779-1,1,1,FERIADOS!$A$2:$A$250)</x:f>
        <x:v>47435</x:v>
      </x:c>
      <x:c r="F1779" t="str">
        <x:f>IF(E1779&gt;=WORKDAY.INTL(EOMONTH(E1779,0)+1,-2,1,FERIADOS!$A$2:$A$250),"SÍ","NO")</x:f>
        <x:v>NO</x:v>
      </x:c>
      <x:c r="G1779" s="10" t="n">
        <x:f>IF(F1779="SÍ",EOMONTH(E1779,0)+1,DATE(YEAR(E1779),MONTH(E1779),1))</x:f>
        <x:v>47423</x:v>
      </x:c>
      <x:c r="H1779" t="str">
        <x:f>IF(D1779="NO",IF(C1779="SÍ","FERIADO","FIN DE SEMANA"),"LABORABLE")&amp;IF(F1779="SÍ"," + CIERRE","")</x:f>
        <x:v>LABORABLE</x:v>
      </x:c>
      <x:c r="I1779" t="str">
        <x:f>TEXT(G1779,"yyyy-mm")</x:f>
        <x:v>2029-11</x:v>
      </x:c>
    </x:row>
    <x:row r="1780" ht="19" customHeight="1">
      <x:c r="A1780" s="2" t="n">
        <x:v>47436</x:v>
      </x:c>
      <x:c r="B1780" t="str">
        <x:f>CHOOSE(WEEKDAY(A1780,2),"Lunes","Martes","Miércoles","Jueves","Viernes","Sábado","Domingo")</x:f>
        <x:v>Miércoles</x:v>
      </x:c>
      <x:c r="C1780" t="str">
        <x:f>IF(COUNTIF(FERIADOS!$A$2:$A$250,A1780)&gt;0,"SÍ","NO")</x:f>
        <x:v>NO</x:v>
      </x:c>
      <x:c r="D1780" t="str">
        <x:f>IF(AND(WEEKDAY(A1780,2)&lt;=5,C1780="NO"),"SÍ","NO")</x:f>
        <x:v>SÍ</x:v>
      </x:c>
      <x:c r="E1780" s="2" t="n">
        <x:f>WORKDAY.INTL(A1780-1,1,1,FERIADOS!$A$2:$A$250)</x:f>
        <x:v>47436</x:v>
      </x:c>
      <x:c r="F1780" t="str">
        <x:f>IF(E1780&gt;=WORKDAY.INTL(EOMONTH(E1780,0)+1,-2,1,FERIADOS!$A$2:$A$250),"SÍ","NO")</x:f>
        <x:v>NO</x:v>
      </x:c>
      <x:c r="G1780" s="10" t="n">
        <x:f>IF(F1780="SÍ",EOMONTH(E1780,0)+1,DATE(YEAR(E1780),MONTH(E1780),1))</x:f>
        <x:v>47423</x:v>
      </x:c>
      <x:c r="H1780" t="str">
        <x:f>IF(D1780="NO",IF(C1780="SÍ","FERIADO","FIN DE SEMANA"),"LABORABLE")&amp;IF(F1780="SÍ"," + CIERRE","")</x:f>
        <x:v>LABORABLE</x:v>
      </x:c>
      <x:c r="I1780" t="str">
        <x:f>TEXT(G1780,"yyyy-mm")</x:f>
        <x:v>2029-11</x:v>
      </x:c>
    </x:row>
    <x:row r="1781" ht="19" customHeight="1">
      <x:c r="A1781" s="2" t="n">
        <x:v>47437</x:v>
      </x:c>
      <x:c r="B1781" t="str">
        <x:f>CHOOSE(WEEKDAY(A1781,2),"Lunes","Martes","Miércoles","Jueves","Viernes","Sábado","Domingo")</x:f>
        <x:v>Jueves</x:v>
      </x:c>
      <x:c r="C1781" t="str">
        <x:f>IF(COUNTIF(FERIADOS!$A$2:$A$250,A1781)&gt;0,"SÍ","NO")</x:f>
        <x:v>NO</x:v>
      </x:c>
      <x:c r="D1781" t="str">
        <x:f>IF(AND(WEEKDAY(A1781,2)&lt;=5,C1781="NO"),"SÍ","NO")</x:f>
        <x:v>SÍ</x:v>
      </x:c>
      <x:c r="E1781" s="2" t="n">
        <x:f>WORKDAY.INTL(A1781-1,1,1,FERIADOS!$A$2:$A$250)</x:f>
        <x:v>47437</x:v>
      </x:c>
      <x:c r="F1781" t="str">
        <x:f>IF(E1781&gt;=WORKDAY.INTL(EOMONTH(E1781,0)+1,-2,1,FERIADOS!$A$2:$A$250),"SÍ","NO")</x:f>
        <x:v>NO</x:v>
      </x:c>
      <x:c r="G1781" s="10" t="n">
        <x:f>IF(F1781="SÍ",EOMONTH(E1781,0)+1,DATE(YEAR(E1781),MONTH(E1781),1))</x:f>
        <x:v>47423</x:v>
      </x:c>
      <x:c r="H1781" t="str">
        <x:f>IF(D1781="NO",IF(C1781="SÍ","FERIADO","FIN DE SEMANA"),"LABORABLE")&amp;IF(F1781="SÍ"," + CIERRE","")</x:f>
        <x:v>LABORABLE</x:v>
      </x:c>
      <x:c r="I1781" t="str">
        <x:f>TEXT(G1781,"yyyy-mm")</x:f>
        <x:v>2029-11</x:v>
      </x:c>
    </x:row>
    <x:row r="1782" ht="19" customHeight="1">
      <x:c r="A1782" s="2" t="n">
        <x:v>47438</x:v>
      </x:c>
      <x:c r="B1782" t="str">
        <x:f>CHOOSE(WEEKDAY(A1782,2),"Lunes","Martes","Miércoles","Jueves","Viernes","Sábado","Domingo")</x:f>
        <x:v>Viernes</x:v>
      </x:c>
      <x:c r="C1782" t="str">
        <x:f>IF(COUNTIF(FERIADOS!$A$2:$A$250,A1782)&gt;0,"SÍ","NO")</x:f>
        <x:v>NO</x:v>
      </x:c>
      <x:c r="D1782" t="str">
        <x:f>IF(AND(WEEKDAY(A1782,2)&lt;=5,C1782="NO"),"SÍ","NO")</x:f>
        <x:v>SÍ</x:v>
      </x:c>
      <x:c r="E1782" s="2" t="n">
        <x:f>WORKDAY.INTL(A1782-1,1,1,FERIADOS!$A$2:$A$250)</x:f>
        <x:v>47438</x:v>
      </x:c>
      <x:c r="F1782" t="str">
        <x:f>IF(E1782&gt;=WORKDAY.INTL(EOMONTH(E1782,0)+1,-2,1,FERIADOS!$A$2:$A$250),"SÍ","NO")</x:f>
        <x:v>NO</x:v>
      </x:c>
      <x:c r="G1782" s="10" t="n">
        <x:f>IF(F1782="SÍ",EOMONTH(E1782,0)+1,DATE(YEAR(E1782),MONTH(E1782),1))</x:f>
        <x:v>47423</x:v>
      </x:c>
      <x:c r="H1782" t="str">
        <x:f>IF(D1782="NO",IF(C1782="SÍ","FERIADO","FIN DE SEMANA"),"LABORABLE")&amp;IF(F1782="SÍ"," + CIERRE","")</x:f>
        <x:v>LABORABLE</x:v>
      </x:c>
      <x:c r="I1782" t="str">
        <x:f>TEXT(G1782,"yyyy-mm")</x:f>
        <x:v>2029-11</x:v>
      </x:c>
    </x:row>
    <x:row r="1783" ht="19" customHeight="1">
      <x:c r="A1783" s="2" t="n">
        <x:v>47439</x:v>
      </x:c>
      <x:c r="B1783" t="str">
        <x:f>CHOOSE(WEEKDAY(A1783,2),"Lunes","Martes","Miércoles","Jueves","Viernes","Sábado","Domingo")</x:f>
        <x:v>Sábado</x:v>
      </x:c>
      <x:c r="C1783" t="str">
        <x:f>IF(COUNTIF(FERIADOS!$A$2:$A$250,A1783)&gt;0,"SÍ","NO")</x:f>
        <x:v>NO</x:v>
      </x:c>
      <x:c r="D1783" t="str">
        <x:f>IF(AND(WEEKDAY(A1783,2)&lt;=5,C1783="NO"),"SÍ","NO")</x:f>
        <x:v>NO</x:v>
      </x:c>
      <x:c r="E1783" s="2" t="n">
        <x:f>WORKDAY.INTL(A1783-1,1,1,FERIADOS!$A$2:$A$250)</x:f>
        <x:v>47441</x:v>
      </x:c>
      <x:c r="F1783" t="str">
        <x:f>IF(E1783&gt;=WORKDAY.INTL(EOMONTH(E1783,0)+1,-2,1,FERIADOS!$A$2:$A$250),"SÍ","NO")</x:f>
        <x:v>NO</x:v>
      </x:c>
      <x:c r="G1783" s="10" t="n">
        <x:f>IF(F1783="SÍ",EOMONTH(E1783,0)+1,DATE(YEAR(E1783),MONTH(E1783),1))</x:f>
        <x:v>47423</x:v>
      </x:c>
      <x:c r="H1783" t="str">
        <x:f>IF(D1783="NO",IF(C1783="SÍ","FERIADO","FIN DE SEMANA"),"LABORABLE")&amp;IF(F1783="SÍ"," + CIERRE","")</x:f>
        <x:v>FIN DE SEMANA</x:v>
      </x:c>
      <x:c r="I1783" t="str">
        <x:f>TEXT(G1783,"yyyy-mm")</x:f>
        <x:v>2029-11</x:v>
      </x:c>
    </x:row>
    <x:row r="1784" ht="19" customHeight="1">
      <x:c r="A1784" s="2" t="n">
        <x:v>47440</x:v>
      </x:c>
      <x:c r="B1784" t="str">
        <x:f>CHOOSE(WEEKDAY(A1784,2),"Lunes","Martes","Miércoles","Jueves","Viernes","Sábado","Domingo")</x:f>
        <x:v>Domingo</x:v>
      </x:c>
      <x:c r="C1784" t="str">
        <x:f>IF(COUNTIF(FERIADOS!$A$2:$A$250,A1784)&gt;0,"SÍ","NO")</x:f>
        <x:v>NO</x:v>
      </x:c>
      <x:c r="D1784" t="str">
        <x:f>IF(AND(WEEKDAY(A1784,2)&lt;=5,C1784="NO"),"SÍ","NO")</x:f>
        <x:v>NO</x:v>
      </x:c>
      <x:c r="E1784" s="2" t="n">
        <x:f>WORKDAY.INTL(A1784-1,1,1,FERIADOS!$A$2:$A$250)</x:f>
        <x:v>47441</x:v>
      </x:c>
      <x:c r="F1784" t="str">
        <x:f>IF(E1784&gt;=WORKDAY.INTL(EOMONTH(E1784,0)+1,-2,1,FERIADOS!$A$2:$A$250),"SÍ","NO")</x:f>
        <x:v>NO</x:v>
      </x:c>
      <x:c r="G1784" s="10" t="n">
        <x:f>IF(F1784="SÍ",EOMONTH(E1784,0)+1,DATE(YEAR(E1784),MONTH(E1784),1))</x:f>
        <x:v>47423</x:v>
      </x:c>
      <x:c r="H1784" t="str">
        <x:f>IF(D1784="NO",IF(C1784="SÍ","FERIADO","FIN DE SEMANA"),"LABORABLE")&amp;IF(F1784="SÍ"," + CIERRE","")</x:f>
        <x:v>FIN DE SEMANA</x:v>
      </x:c>
      <x:c r="I1784" t="str">
        <x:f>TEXT(G1784,"yyyy-mm")</x:f>
        <x:v>2029-11</x:v>
      </x:c>
    </x:row>
    <x:row r="1785" ht="19" customHeight="1">
      <x:c r="A1785" s="2" t="n">
        <x:v>47441</x:v>
      </x:c>
      <x:c r="B1785" t="str">
        <x:f>CHOOSE(WEEKDAY(A1785,2),"Lunes","Martes","Miércoles","Jueves","Viernes","Sábado","Domingo")</x:f>
        <x:v>Lunes</x:v>
      </x:c>
      <x:c r="C1785" t="str">
        <x:f>IF(COUNTIF(FERIADOS!$A$2:$A$250,A1785)&gt;0,"SÍ","NO")</x:f>
        <x:v>NO</x:v>
      </x:c>
      <x:c r="D1785" t="str">
        <x:f>IF(AND(WEEKDAY(A1785,2)&lt;=5,C1785="NO"),"SÍ","NO")</x:f>
        <x:v>SÍ</x:v>
      </x:c>
      <x:c r="E1785" s="2" t="n">
        <x:f>WORKDAY.INTL(A1785-1,1,1,FERIADOS!$A$2:$A$250)</x:f>
        <x:v>47441</x:v>
      </x:c>
      <x:c r="F1785" t="str">
        <x:f>IF(E1785&gt;=WORKDAY.INTL(EOMONTH(E1785,0)+1,-2,1,FERIADOS!$A$2:$A$250),"SÍ","NO")</x:f>
        <x:v>NO</x:v>
      </x:c>
      <x:c r="G1785" s="10" t="n">
        <x:f>IF(F1785="SÍ",EOMONTH(E1785,0)+1,DATE(YEAR(E1785),MONTH(E1785),1))</x:f>
        <x:v>47423</x:v>
      </x:c>
      <x:c r="H1785" t="str">
        <x:f>IF(D1785="NO",IF(C1785="SÍ","FERIADO","FIN DE SEMANA"),"LABORABLE")&amp;IF(F1785="SÍ"," + CIERRE","")</x:f>
        <x:v>LABORABLE</x:v>
      </x:c>
      <x:c r="I1785" t="str">
        <x:f>TEXT(G1785,"yyyy-mm")</x:f>
        <x:v>2029-11</x:v>
      </x:c>
    </x:row>
    <x:row r="1786" ht="19" customHeight="1">
      <x:c r="A1786" s="2" t="n">
        <x:v>47442</x:v>
      </x:c>
      <x:c r="B1786" t="str">
        <x:f>CHOOSE(WEEKDAY(A1786,2),"Lunes","Martes","Miércoles","Jueves","Viernes","Sábado","Domingo")</x:f>
        <x:v>Martes</x:v>
      </x:c>
      <x:c r="C1786" t="str">
        <x:f>IF(COUNTIF(FERIADOS!$A$2:$A$250,A1786)&gt;0,"SÍ","NO")</x:f>
        <x:v>NO</x:v>
      </x:c>
      <x:c r="D1786" t="str">
        <x:f>IF(AND(WEEKDAY(A1786,2)&lt;=5,C1786="NO"),"SÍ","NO")</x:f>
        <x:v>SÍ</x:v>
      </x:c>
      <x:c r="E1786" s="2" t="n">
        <x:f>WORKDAY.INTL(A1786-1,1,1,FERIADOS!$A$2:$A$250)</x:f>
        <x:v>47442</x:v>
      </x:c>
      <x:c r="F1786" t="str">
        <x:f>IF(E1786&gt;=WORKDAY.INTL(EOMONTH(E1786,0)+1,-2,1,FERIADOS!$A$2:$A$250),"SÍ","NO")</x:f>
        <x:v>NO</x:v>
      </x:c>
      <x:c r="G1786" s="10" t="n">
        <x:f>IF(F1786="SÍ",EOMONTH(E1786,0)+1,DATE(YEAR(E1786),MONTH(E1786),1))</x:f>
        <x:v>47423</x:v>
      </x:c>
      <x:c r="H1786" t="str">
        <x:f>IF(D1786="NO",IF(C1786="SÍ","FERIADO","FIN DE SEMANA"),"LABORABLE")&amp;IF(F1786="SÍ"," + CIERRE","")</x:f>
        <x:v>LABORABLE</x:v>
      </x:c>
      <x:c r="I1786" t="str">
        <x:f>TEXT(G1786,"yyyy-mm")</x:f>
        <x:v>2029-11</x:v>
      </x:c>
    </x:row>
    <x:row r="1787" ht="19" customHeight="1">
      <x:c r="A1787" s="2" t="n">
        <x:v>47443</x:v>
      </x:c>
      <x:c r="B1787" t="str">
        <x:f>CHOOSE(WEEKDAY(A1787,2),"Lunes","Martes","Miércoles","Jueves","Viernes","Sábado","Domingo")</x:f>
        <x:v>Miércoles</x:v>
      </x:c>
      <x:c r="C1787" t="str">
        <x:f>IF(COUNTIF(FERIADOS!$A$2:$A$250,A1787)&gt;0,"SÍ","NO")</x:f>
        <x:v>NO</x:v>
      </x:c>
      <x:c r="D1787" t="str">
        <x:f>IF(AND(WEEKDAY(A1787,2)&lt;=5,C1787="NO"),"SÍ","NO")</x:f>
        <x:v>SÍ</x:v>
      </x:c>
      <x:c r="E1787" s="2" t="n">
        <x:f>WORKDAY.INTL(A1787-1,1,1,FERIADOS!$A$2:$A$250)</x:f>
        <x:v>47443</x:v>
      </x:c>
      <x:c r="F1787" t="str">
        <x:f>IF(E1787&gt;=WORKDAY.INTL(EOMONTH(E1787,0)+1,-2,1,FERIADOS!$A$2:$A$250),"SÍ","NO")</x:f>
        <x:v>NO</x:v>
      </x:c>
      <x:c r="G1787" s="10" t="n">
        <x:f>IF(F1787="SÍ",EOMONTH(E1787,0)+1,DATE(YEAR(E1787),MONTH(E1787),1))</x:f>
        <x:v>47423</x:v>
      </x:c>
      <x:c r="H1787" t="str">
        <x:f>IF(D1787="NO",IF(C1787="SÍ","FERIADO","FIN DE SEMANA"),"LABORABLE")&amp;IF(F1787="SÍ"," + CIERRE","")</x:f>
        <x:v>LABORABLE</x:v>
      </x:c>
      <x:c r="I1787" t="str">
        <x:f>TEXT(G1787,"yyyy-mm")</x:f>
        <x:v>2029-11</x:v>
      </x:c>
    </x:row>
    <x:row r="1788" ht="19" customHeight="1">
      <x:c r="A1788" s="2" t="n">
        <x:v>47444</x:v>
      </x:c>
      <x:c r="B1788" t="str">
        <x:f>CHOOSE(WEEKDAY(A1788,2),"Lunes","Martes","Miércoles","Jueves","Viernes","Sábado","Domingo")</x:f>
        <x:v>Jueves</x:v>
      </x:c>
      <x:c r="C1788" t="str">
        <x:f>IF(COUNTIF(FERIADOS!$A$2:$A$250,A1788)&gt;0,"SÍ","NO")</x:f>
        <x:v>NO</x:v>
      </x:c>
      <x:c r="D1788" t="str">
        <x:f>IF(AND(WEEKDAY(A1788,2)&lt;=5,C1788="NO"),"SÍ","NO")</x:f>
        <x:v>SÍ</x:v>
      </x:c>
      <x:c r="E1788" s="2" t="n">
        <x:f>WORKDAY.INTL(A1788-1,1,1,FERIADOS!$A$2:$A$250)</x:f>
        <x:v>47444</x:v>
      </x:c>
      <x:c r="F1788" t="str">
        <x:f>IF(E1788&gt;=WORKDAY.INTL(EOMONTH(E1788,0)+1,-2,1,FERIADOS!$A$2:$A$250),"SÍ","NO")</x:f>
        <x:v>NO</x:v>
      </x:c>
      <x:c r="G1788" s="10" t="n">
        <x:f>IF(F1788="SÍ",EOMONTH(E1788,0)+1,DATE(YEAR(E1788),MONTH(E1788),1))</x:f>
        <x:v>47423</x:v>
      </x:c>
      <x:c r="H1788" t="str">
        <x:f>IF(D1788="NO",IF(C1788="SÍ","FERIADO","FIN DE SEMANA"),"LABORABLE")&amp;IF(F1788="SÍ"," + CIERRE","")</x:f>
        <x:v>LABORABLE</x:v>
      </x:c>
      <x:c r="I1788" t="str">
        <x:f>TEXT(G1788,"yyyy-mm")</x:f>
        <x:v>2029-11</x:v>
      </x:c>
    </x:row>
    <x:row r="1789" ht="19" customHeight="1">
      <x:c r="A1789" s="2" t="n">
        <x:v>47445</x:v>
      </x:c>
      <x:c r="B1789" t="str">
        <x:f>CHOOSE(WEEKDAY(A1789,2),"Lunes","Martes","Miércoles","Jueves","Viernes","Sábado","Domingo")</x:f>
        <x:v>Viernes</x:v>
      </x:c>
      <x:c r="C1789" t="str">
        <x:f>IF(COUNTIF(FERIADOS!$A$2:$A$250,A1789)&gt;0,"SÍ","NO")</x:f>
        <x:v>NO</x:v>
      </x:c>
      <x:c r="D1789" t="str">
        <x:f>IF(AND(WEEKDAY(A1789,2)&lt;=5,C1789="NO"),"SÍ","NO")</x:f>
        <x:v>SÍ</x:v>
      </x:c>
      <x:c r="E1789" s="2" t="n">
        <x:f>WORKDAY.INTL(A1789-1,1,1,FERIADOS!$A$2:$A$250)</x:f>
        <x:v>47445</x:v>
      </x:c>
      <x:c r="F1789" t="str">
        <x:f>IF(E1789&gt;=WORKDAY.INTL(EOMONTH(E1789,0)+1,-2,1,FERIADOS!$A$2:$A$250),"SÍ","NO")</x:f>
        <x:v>NO</x:v>
      </x:c>
      <x:c r="G1789" s="10" t="n">
        <x:f>IF(F1789="SÍ",EOMONTH(E1789,0)+1,DATE(YEAR(E1789),MONTH(E1789),1))</x:f>
        <x:v>47423</x:v>
      </x:c>
      <x:c r="H1789" t="str">
        <x:f>IF(D1789="NO",IF(C1789="SÍ","FERIADO","FIN DE SEMANA"),"LABORABLE")&amp;IF(F1789="SÍ"," + CIERRE","")</x:f>
        <x:v>LABORABLE</x:v>
      </x:c>
      <x:c r="I1789" t="str">
        <x:f>TEXT(G1789,"yyyy-mm")</x:f>
        <x:v>2029-11</x:v>
      </x:c>
    </x:row>
    <x:row r="1790" ht="19" customHeight="1">
      <x:c r="A1790" s="2" t="n">
        <x:v>47446</x:v>
      </x:c>
      <x:c r="B1790" t="str">
        <x:f>CHOOSE(WEEKDAY(A1790,2),"Lunes","Martes","Miércoles","Jueves","Viernes","Sábado","Domingo")</x:f>
        <x:v>Sábado</x:v>
      </x:c>
      <x:c r="C1790" t="str">
        <x:f>IF(COUNTIF(FERIADOS!$A$2:$A$250,A1790)&gt;0,"SÍ","NO")</x:f>
        <x:v>NO</x:v>
      </x:c>
      <x:c r="D1790" t="str">
        <x:f>IF(AND(WEEKDAY(A1790,2)&lt;=5,C1790="NO"),"SÍ","NO")</x:f>
        <x:v>NO</x:v>
      </x:c>
      <x:c r="E1790" s="2" t="n">
        <x:f>WORKDAY.INTL(A1790-1,1,1,FERIADOS!$A$2:$A$250)</x:f>
        <x:v>47448</x:v>
      </x:c>
      <x:c r="F1790" t="str">
        <x:f>IF(E1790&gt;=WORKDAY.INTL(EOMONTH(E1790,0)+1,-2,1,FERIADOS!$A$2:$A$250),"SÍ","NO")</x:f>
        <x:v>NO</x:v>
      </x:c>
      <x:c r="G1790" s="10" t="n">
        <x:f>IF(F1790="SÍ",EOMONTH(E1790,0)+1,DATE(YEAR(E1790),MONTH(E1790),1))</x:f>
        <x:v>47423</x:v>
      </x:c>
      <x:c r="H1790" t="str">
        <x:f>IF(D1790="NO",IF(C1790="SÍ","FERIADO","FIN DE SEMANA"),"LABORABLE")&amp;IF(F1790="SÍ"," + CIERRE","")</x:f>
        <x:v>FIN DE SEMANA</x:v>
      </x:c>
      <x:c r="I1790" t="str">
        <x:f>TEXT(G1790,"yyyy-mm")</x:f>
        <x:v>2029-11</x:v>
      </x:c>
    </x:row>
    <x:row r="1791" ht="19" customHeight="1">
      <x:c r="A1791" s="2" t="n">
        <x:v>47447</x:v>
      </x:c>
      <x:c r="B1791" t="str">
        <x:f>CHOOSE(WEEKDAY(A1791,2),"Lunes","Martes","Miércoles","Jueves","Viernes","Sábado","Domingo")</x:f>
        <x:v>Domingo</x:v>
      </x:c>
      <x:c r="C1791" t="str">
        <x:f>IF(COUNTIF(FERIADOS!$A$2:$A$250,A1791)&gt;0,"SÍ","NO")</x:f>
        <x:v>NO</x:v>
      </x:c>
      <x:c r="D1791" t="str">
        <x:f>IF(AND(WEEKDAY(A1791,2)&lt;=5,C1791="NO"),"SÍ","NO")</x:f>
        <x:v>NO</x:v>
      </x:c>
      <x:c r="E1791" s="2" t="n">
        <x:f>WORKDAY.INTL(A1791-1,1,1,FERIADOS!$A$2:$A$250)</x:f>
        <x:v>47448</x:v>
      </x:c>
      <x:c r="F1791" t="str">
        <x:f>IF(E1791&gt;=WORKDAY.INTL(EOMONTH(E1791,0)+1,-2,1,FERIADOS!$A$2:$A$250),"SÍ","NO")</x:f>
        <x:v>NO</x:v>
      </x:c>
      <x:c r="G1791" s="10" t="n">
        <x:f>IF(F1791="SÍ",EOMONTH(E1791,0)+1,DATE(YEAR(E1791),MONTH(E1791),1))</x:f>
        <x:v>47423</x:v>
      </x:c>
      <x:c r="H1791" t="str">
        <x:f>IF(D1791="NO",IF(C1791="SÍ","FERIADO","FIN DE SEMANA"),"LABORABLE")&amp;IF(F1791="SÍ"," + CIERRE","")</x:f>
        <x:v>FIN DE SEMANA</x:v>
      </x:c>
      <x:c r="I1791" t="str">
        <x:f>TEXT(G1791,"yyyy-mm")</x:f>
        <x:v>2029-11</x:v>
      </x:c>
    </x:row>
    <x:row r="1792" ht="19" customHeight="1">
      <x:c r="A1792" s="2" t="n">
        <x:v>47448</x:v>
      </x:c>
      <x:c r="B1792" t="str">
        <x:f>CHOOSE(WEEKDAY(A1792,2),"Lunes","Martes","Miércoles","Jueves","Viernes","Sábado","Domingo")</x:f>
        <x:v>Lunes</x:v>
      </x:c>
      <x:c r="C1792" t="str">
        <x:f>IF(COUNTIF(FERIADOS!$A$2:$A$250,A1792)&gt;0,"SÍ","NO")</x:f>
        <x:v>NO</x:v>
      </x:c>
      <x:c r="D1792" t="str">
        <x:f>IF(AND(WEEKDAY(A1792,2)&lt;=5,C1792="NO"),"SÍ","NO")</x:f>
        <x:v>SÍ</x:v>
      </x:c>
      <x:c r="E1792" s="2" t="n">
        <x:f>WORKDAY.INTL(A1792-1,1,1,FERIADOS!$A$2:$A$250)</x:f>
        <x:v>47448</x:v>
      </x:c>
      <x:c r="F1792" t="str">
        <x:f>IF(E1792&gt;=WORKDAY.INTL(EOMONTH(E1792,0)+1,-2,1,FERIADOS!$A$2:$A$250),"SÍ","NO")</x:f>
        <x:v>NO</x:v>
      </x:c>
      <x:c r="G1792" s="10" t="n">
        <x:f>IF(F1792="SÍ",EOMONTH(E1792,0)+1,DATE(YEAR(E1792),MONTH(E1792),1))</x:f>
        <x:v>47423</x:v>
      </x:c>
      <x:c r="H1792" t="str">
        <x:f>IF(D1792="NO",IF(C1792="SÍ","FERIADO","FIN DE SEMANA"),"LABORABLE")&amp;IF(F1792="SÍ"," + CIERRE","")</x:f>
        <x:v>LABORABLE</x:v>
      </x:c>
      <x:c r="I1792" t="str">
        <x:f>TEXT(G1792,"yyyy-mm")</x:f>
        <x:v>2029-11</x:v>
      </x:c>
    </x:row>
    <x:row r="1793" ht="19" customHeight="1">
      <x:c r="A1793" s="2" t="n">
        <x:v>47449</x:v>
      </x:c>
      <x:c r="B1793" t="str">
        <x:f>CHOOSE(WEEKDAY(A1793,2),"Lunes","Martes","Miércoles","Jueves","Viernes","Sábado","Domingo")</x:f>
        <x:v>Martes</x:v>
      </x:c>
      <x:c r="C1793" t="str">
        <x:f>IF(COUNTIF(FERIADOS!$A$2:$A$250,A1793)&gt;0,"SÍ","NO")</x:f>
        <x:v>NO</x:v>
      </x:c>
      <x:c r="D1793" t="str">
        <x:f>IF(AND(WEEKDAY(A1793,2)&lt;=5,C1793="NO"),"SÍ","NO")</x:f>
        <x:v>SÍ</x:v>
      </x:c>
      <x:c r="E1793" s="2" t="n">
        <x:f>WORKDAY.INTL(A1793-1,1,1,FERIADOS!$A$2:$A$250)</x:f>
        <x:v>47449</x:v>
      </x:c>
      <x:c r="F1793" t="str">
        <x:f>IF(E1793&gt;=WORKDAY.INTL(EOMONTH(E1793,0)+1,-2,1,FERIADOS!$A$2:$A$250),"SÍ","NO")</x:f>
        <x:v>NO</x:v>
      </x:c>
      <x:c r="G1793" s="10" t="n">
        <x:f>IF(F1793="SÍ",EOMONTH(E1793,0)+1,DATE(YEAR(E1793),MONTH(E1793),1))</x:f>
        <x:v>47423</x:v>
      </x:c>
      <x:c r="H1793" t="str">
        <x:f>IF(D1793="NO",IF(C1793="SÍ","FERIADO","FIN DE SEMANA"),"LABORABLE")&amp;IF(F1793="SÍ"," + CIERRE","")</x:f>
        <x:v>LABORABLE</x:v>
      </x:c>
      <x:c r="I1793" t="str">
        <x:f>TEXT(G1793,"yyyy-mm")</x:f>
        <x:v>2029-11</x:v>
      </x:c>
    </x:row>
    <x:row r="1794" ht="19" customHeight="1">
      <x:c r="A1794" s="2" t="n">
        <x:v>47450</x:v>
      </x:c>
      <x:c r="B1794" t="str">
        <x:f>CHOOSE(WEEKDAY(A1794,2),"Lunes","Martes","Miércoles","Jueves","Viernes","Sábado","Domingo")</x:f>
        <x:v>Miércoles</x:v>
      </x:c>
      <x:c r="C1794" t="str">
        <x:f>IF(COUNTIF(FERIADOS!$A$2:$A$250,A1794)&gt;0,"SÍ","NO")</x:f>
        <x:v>NO</x:v>
      </x:c>
      <x:c r="D1794" t="str">
        <x:f>IF(AND(WEEKDAY(A1794,2)&lt;=5,C1794="NO"),"SÍ","NO")</x:f>
        <x:v>SÍ</x:v>
      </x:c>
      <x:c r="E1794" s="2" t="n">
        <x:f>WORKDAY.INTL(A1794-1,1,1,FERIADOS!$A$2:$A$250)</x:f>
        <x:v>47450</x:v>
      </x:c>
      <x:c r="F1794" t="str">
        <x:f>IF(E1794&gt;=WORKDAY.INTL(EOMONTH(E1794,0)+1,-2,1,FERIADOS!$A$2:$A$250),"SÍ","NO")</x:f>
        <x:v>NO</x:v>
      </x:c>
      <x:c r="G1794" s="10" t="n">
        <x:f>IF(F1794="SÍ",EOMONTH(E1794,0)+1,DATE(YEAR(E1794),MONTH(E1794),1))</x:f>
        <x:v>47423</x:v>
      </x:c>
      <x:c r="H1794" t="str">
        <x:f>IF(D1794="NO",IF(C1794="SÍ","FERIADO","FIN DE SEMANA"),"LABORABLE")&amp;IF(F1794="SÍ"," + CIERRE","")</x:f>
        <x:v>LABORABLE</x:v>
      </x:c>
      <x:c r="I1794" t="str">
        <x:f>TEXT(G1794,"yyyy-mm")</x:f>
        <x:v>2029-11</x:v>
      </x:c>
    </x:row>
    <x:row r="1795" ht="19" customHeight="1">
      <x:c r="A1795" s="2" t="n">
        <x:v>47451</x:v>
      </x:c>
      <x:c r="B1795" t="str">
        <x:f>CHOOSE(WEEKDAY(A1795,2),"Lunes","Martes","Miércoles","Jueves","Viernes","Sábado","Domingo")</x:f>
        <x:v>Jueves</x:v>
      </x:c>
      <x:c r="C1795" t="str">
        <x:f>IF(COUNTIF(FERIADOS!$A$2:$A$250,A1795)&gt;0,"SÍ","NO")</x:f>
        <x:v>NO</x:v>
      </x:c>
      <x:c r="D1795" t="str">
        <x:f>IF(AND(WEEKDAY(A1795,2)&lt;=5,C1795="NO"),"SÍ","NO")</x:f>
        <x:v>SÍ</x:v>
      </x:c>
      <x:c r="E1795" s="2" t="n">
        <x:f>WORKDAY.INTL(A1795-1,1,1,FERIADOS!$A$2:$A$250)</x:f>
        <x:v>47451</x:v>
      </x:c>
      <x:c r="F1795" t="str">
        <x:f>IF(E1795&gt;=WORKDAY.INTL(EOMONTH(E1795,0)+1,-2,1,FERIADOS!$A$2:$A$250),"SÍ","NO")</x:f>
        <x:v>SÍ</x:v>
      </x:c>
      <x:c r="G1795" s="10" t="n">
        <x:f>IF(F1795="SÍ",EOMONTH(E1795,0)+1,DATE(YEAR(E1795),MONTH(E1795),1))</x:f>
        <x:v>47453</x:v>
      </x:c>
      <x:c r="H1795" t="str">
        <x:f>IF(D1795="NO",IF(C1795="SÍ","FERIADO","FIN DE SEMANA"),"LABORABLE")&amp;IF(F1795="SÍ"," + CIERRE","")</x:f>
        <x:v>LABORABLE + CIERRE</x:v>
      </x:c>
      <x:c r="I1795" t="str">
        <x:f>TEXT(G1795,"yyyy-mm")</x:f>
        <x:v>2029-12</x:v>
      </x:c>
    </x:row>
    <x:row r="1796" ht="19" customHeight="1">
      <x:c r="A1796" s="2" t="n">
        <x:v>47452</x:v>
      </x:c>
      <x:c r="B1796" t="str">
        <x:f>CHOOSE(WEEKDAY(A1796,2),"Lunes","Martes","Miércoles","Jueves","Viernes","Sábado","Domingo")</x:f>
        <x:v>Viernes</x:v>
      </x:c>
      <x:c r="C1796" t="str">
        <x:f>IF(COUNTIF(FERIADOS!$A$2:$A$250,A1796)&gt;0,"SÍ","NO")</x:f>
        <x:v>NO</x:v>
      </x:c>
      <x:c r="D1796" t="str">
        <x:f>IF(AND(WEEKDAY(A1796,2)&lt;=5,C1796="NO"),"SÍ","NO")</x:f>
        <x:v>SÍ</x:v>
      </x:c>
      <x:c r="E1796" s="2" t="n">
        <x:f>WORKDAY.INTL(A1796-1,1,1,FERIADOS!$A$2:$A$250)</x:f>
        <x:v>47452</x:v>
      </x:c>
      <x:c r="F1796" t="str">
        <x:f>IF(E1796&gt;=WORKDAY.INTL(EOMONTH(E1796,0)+1,-2,1,FERIADOS!$A$2:$A$250),"SÍ","NO")</x:f>
        <x:v>SÍ</x:v>
      </x:c>
      <x:c r="G1796" s="10" t="n">
        <x:f>IF(F1796="SÍ",EOMONTH(E1796,0)+1,DATE(YEAR(E1796),MONTH(E1796),1))</x:f>
        <x:v>47453</x:v>
      </x:c>
      <x:c r="H1796" t="str">
        <x:f>IF(D1796="NO",IF(C1796="SÍ","FERIADO","FIN DE SEMANA"),"LABORABLE")&amp;IF(F1796="SÍ"," + CIERRE","")</x:f>
        <x:v>LABORABLE + CIERRE</x:v>
      </x:c>
      <x:c r="I1796" t="str">
        <x:f>TEXT(G1796,"yyyy-mm")</x:f>
        <x:v>2029-12</x:v>
      </x:c>
    </x:row>
    <x:row r="1797" ht="19" customHeight="1">
      <x:c r="A1797" s="2" t="n">
        <x:v>47453</x:v>
      </x:c>
      <x:c r="B1797" t="str">
        <x:f>CHOOSE(WEEKDAY(A1797,2),"Lunes","Martes","Miércoles","Jueves","Viernes","Sábado","Domingo")</x:f>
        <x:v>Sábado</x:v>
      </x:c>
      <x:c r="C1797" t="str">
        <x:f>IF(COUNTIF(FERIADOS!$A$2:$A$250,A1797)&gt;0,"SÍ","NO")</x:f>
        <x:v>NO</x:v>
      </x:c>
      <x:c r="D1797" t="str">
        <x:f>IF(AND(WEEKDAY(A1797,2)&lt;=5,C1797="NO"),"SÍ","NO")</x:f>
        <x:v>NO</x:v>
      </x:c>
      <x:c r="E1797" s="2" t="n">
        <x:f>WORKDAY.INTL(A1797-1,1,1,FERIADOS!$A$2:$A$250)</x:f>
        <x:v>47455</x:v>
      </x:c>
      <x:c r="F1797" t="str">
        <x:f>IF(E1797&gt;=WORKDAY.INTL(EOMONTH(E1797,0)+1,-2,1,FERIADOS!$A$2:$A$250),"SÍ","NO")</x:f>
        <x:v>NO</x:v>
      </x:c>
      <x:c r="G1797" s="10" t="n">
        <x:f>IF(F1797="SÍ",EOMONTH(E1797,0)+1,DATE(YEAR(E1797),MONTH(E1797),1))</x:f>
        <x:v>47453</x:v>
      </x:c>
      <x:c r="H1797" t="str">
        <x:f>IF(D1797="NO",IF(C1797="SÍ","FERIADO","FIN DE SEMANA"),"LABORABLE")&amp;IF(F1797="SÍ"," + CIERRE","")</x:f>
        <x:v>FIN DE SEMANA</x:v>
      </x:c>
      <x:c r="I1797" t="str">
        <x:f>TEXT(G1797,"yyyy-mm")</x:f>
        <x:v>2029-12</x:v>
      </x:c>
    </x:row>
    <x:row r="1798" ht="19" customHeight="1">
      <x:c r="A1798" s="2" t="n">
        <x:v>47454</x:v>
      </x:c>
      <x:c r="B1798" t="str">
        <x:f>CHOOSE(WEEKDAY(A1798,2),"Lunes","Martes","Miércoles","Jueves","Viernes","Sábado","Domingo")</x:f>
        <x:v>Domingo</x:v>
      </x:c>
      <x:c r="C1798" t="str">
        <x:f>IF(COUNTIF(FERIADOS!$A$2:$A$250,A1798)&gt;0,"SÍ","NO")</x:f>
        <x:v>NO</x:v>
      </x:c>
      <x:c r="D1798" t="str">
        <x:f>IF(AND(WEEKDAY(A1798,2)&lt;=5,C1798="NO"),"SÍ","NO")</x:f>
        <x:v>NO</x:v>
      </x:c>
      <x:c r="E1798" s="2" t="n">
        <x:f>WORKDAY.INTL(A1798-1,1,1,FERIADOS!$A$2:$A$250)</x:f>
        <x:v>47455</x:v>
      </x:c>
      <x:c r="F1798" t="str">
        <x:f>IF(E1798&gt;=WORKDAY.INTL(EOMONTH(E1798,0)+1,-2,1,FERIADOS!$A$2:$A$250),"SÍ","NO")</x:f>
        <x:v>NO</x:v>
      </x:c>
      <x:c r="G1798" s="10" t="n">
        <x:f>IF(F1798="SÍ",EOMONTH(E1798,0)+1,DATE(YEAR(E1798),MONTH(E1798),1))</x:f>
        <x:v>47453</x:v>
      </x:c>
      <x:c r="H1798" t="str">
        <x:f>IF(D1798="NO",IF(C1798="SÍ","FERIADO","FIN DE SEMANA"),"LABORABLE")&amp;IF(F1798="SÍ"," + CIERRE","")</x:f>
        <x:v>FIN DE SEMANA</x:v>
      </x:c>
      <x:c r="I1798" t="str">
        <x:f>TEXT(G1798,"yyyy-mm")</x:f>
        <x:v>2029-12</x:v>
      </x:c>
    </x:row>
    <x:row r="1799" ht="19" customHeight="1">
      <x:c r="A1799" s="2" t="n">
        <x:v>47455</x:v>
      </x:c>
      <x:c r="B1799" t="str">
        <x:f>CHOOSE(WEEKDAY(A1799,2),"Lunes","Martes","Miércoles","Jueves","Viernes","Sábado","Domingo")</x:f>
        <x:v>Lunes</x:v>
      </x:c>
      <x:c r="C1799" t="str">
        <x:f>IF(COUNTIF(FERIADOS!$A$2:$A$250,A1799)&gt;0,"SÍ","NO")</x:f>
        <x:v>NO</x:v>
      </x:c>
      <x:c r="D1799" t="str">
        <x:f>IF(AND(WEEKDAY(A1799,2)&lt;=5,C1799="NO"),"SÍ","NO")</x:f>
        <x:v>SÍ</x:v>
      </x:c>
      <x:c r="E1799" s="2" t="n">
        <x:f>WORKDAY.INTL(A1799-1,1,1,FERIADOS!$A$2:$A$250)</x:f>
        <x:v>47455</x:v>
      </x:c>
      <x:c r="F1799" t="str">
        <x:f>IF(E1799&gt;=WORKDAY.INTL(EOMONTH(E1799,0)+1,-2,1,FERIADOS!$A$2:$A$250),"SÍ","NO")</x:f>
        <x:v>NO</x:v>
      </x:c>
      <x:c r="G1799" s="10" t="n">
        <x:f>IF(F1799="SÍ",EOMONTH(E1799,0)+1,DATE(YEAR(E1799),MONTH(E1799),1))</x:f>
        <x:v>47453</x:v>
      </x:c>
      <x:c r="H1799" t="str">
        <x:f>IF(D1799="NO",IF(C1799="SÍ","FERIADO","FIN DE SEMANA"),"LABORABLE")&amp;IF(F1799="SÍ"," + CIERRE","")</x:f>
        <x:v>LABORABLE</x:v>
      </x:c>
      <x:c r="I1799" t="str">
        <x:f>TEXT(G1799,"yyyy-mm")</x:f>
        <x:v>2029-12</x:v>
      </x:c>
    </x:row>
    <x:row r="1800" ht="19" customHeight="1">
      <x:c r="A1800" s="2" t="n">
        <x:v>47456</x:v>
      </x:c>
      <x:c r="B1800" t="str">
        <x:f>CHOOSE(WEEKDAY(A1800,2),"Lunes","Martes","Miércoles","Jueves","Viernes","Sábado","Domingo")</x:f>
        <x:v>Martes</x:v>
      </x:c>
      <x:c r="C1800" t="str">
        <x:f>IF(COUNTIF(FERIADOS!$A$2:$A$250,A1800)&gt;0,"SÍ","NO")</x:f>
        <x:v>NO</x:v>
      </x:c>
      <x:c r="D1800" t="str">
        <x:f>IF(AND(WEEKDAY(A1800,2)&lt;=5,C1800="NO"),"SÍ","NO")</x:f>
        <x:v>SÍ</x:v>
      </x:c>
      <x:c r="E1800" s="2" t="n">
        <x:f>WORKDAY.INTL(A1800-1,1,1,FERIADOS!$A$2:$A$250)</x:f>
        <x:v>47456</x:v>
      </x:c>
      <x:c r="F1800" t="str">
        <x:f>IF(E1800&gt;=WORKDAY.INTL(EOMONTH(E1800,0)+1,-2,1,FERIADOS!$A$2:$A$250),"SÍ","NO")</x:f>
        <x:v>NO</x:v>
      </x:c>
      <x:c r="G1800" s="10" t="n">
        <x:f>IF(F1800="SÍ",EOMONTH(E1800,0)+1,DATE(YEAR(E1800),MONTH(E1800),1))</x:f>
        <x:v>47453</x:v>
      </x:c>
      <x:c r="H1800" t="str">
        <x:f>IF(D1800="NO",IF(C1800="SÍ","FERIADO","FIN DE SEMANA"),"LABORABLE")&amp;IF(F1800="SÍ"," + CIERRE","")</x:f>
        <x:v>LABORABLE</x:v>
      </x:c>
      <x:c r="I1800" t="str">
        <x:f>TEXT(G1800,"yyyy-mm")</x:f>
        <x:v>2029-12</x:v>
      </x:c>
    </x:row>
    <x:row r="1801" ht="19" customHeight="1">
      <x:c r="A1801" s="2" t="n">
        <x:v>47457</x:v>
      </x:c>
      <x:c r="B1801" t="str">
        <x:f>CHOOSE(WEEKDAY(A1801,2),"Lunes","Martes","Miércoles","Jueves","Viernes","Sábado","Domingo")</x:f>
        <x:v>Miércoles</x:v>
      </x:c>
      <x:c r="C1801" t="str">
        <x:f>IF(COUNTIF(FERIADOS!$A$2:$A$250,A1801)&gt;0,"SÍ","NO")</x:f>
        <x:v>NO</x:v>
      </x:c>
      <x:c r="D1801" t="str">
        <x:f>IF(AND(WEEKDAY(A1801,2)&lt;=5,C1801="NO"),"SÍ","NO")</x:f>
        <x:v>SÍ</x:v>
      </x:c>
      <x:c r="E1801" s="2" t="n">
        <x:f>WORKDAY.INTL(A1801-1,1,1,FERIADOS!$A$2:$A$250)</x:f>
        <x:v>47457</x:v>
      </x:c>
      <x:c r="F1801" t="str">
        <x:f>IF(E1801&gt;=WORKDAY.INTL(EOMONTH(E1801,0)+1,-2,1,FERIADOS!$A$2:$A$250),"SÍ","NO")</x:f>
        <x:v>NO</x:v>
      </x:c>
      <x:c r="G1801" s="10" t="n">
        <x:f>IF(F1801="SÍ",EOMONTH(E1801,0)+1,DATE(YEAR(E1801),MONTH(E1801),1))</x:f>
        <x:v>47453</x:v>
      </x:c>
      <x:c r="H1801" t="str">
        <x:f>IF(D1801="NO",IF(C1801="SÍ","FERIADO","FIN DE SEMANA"),"LABORABLE")&amp;IF(F1801="SÍ"," + CIERRE","")</x:f>
        <x:v>LABORABLE</x:v>
      </x:c>
      <x:c r="I1801" t="str">
        <x:f>TEXT(G1801,"yyyy-mm")</x:f>
        <x:v>2029-12</x:v>
      </x:c>
    </x:row>
    <x:row r="1802" ht="19" customHeight="1">
      <x:c r="A1802" s="2" t="n">
        <x:v>47458</x:v>
      </x:c>
      <x:c r="B1802" t="str">
        <x:f>CHOOSE(WEEKDAY(A1802,2),"Lunes","Martes","Miércoles","Jueves","Viernes","Sábado","Domingo")</x:f>
        <x:v>Jueves</x:v>
      </x:c>
      <x:c r="C1802" t="str">
        <x:f>IF(COUNTIF(FERIADOS!$A$2:$A$250,A1802)&gt;0,"SÍ","NO")</x:f>
        <x:v>NO</x:v>
      </x:c>
      <x:c r="D1802" t="str">
        <x:f>IF(AND(WEEKDAY(A1802,2)&lt;=5,C1802="NO"),"SÍ","NO")</x:f>
        <x:v>SÍ</x:v>
      </x:c>
      <x:c r="E1802" s="2" t="n">
        <x:f>WORKDAY.INTL(A1802-1,1,1,FERIADOS!$A$2:$A$250)</x:f>
        <x:v>47458</x:v>
      </x:c>
      <x:c r="F1802" t="str">
        <x:f>IF(E1802&gt;=WORKDAY.INTL(EOMONTH(E1802,0)+1,-2,1,FERIADOS!$A$2:$A$250),"SÍ","NO")</x:f>
        <x:v>NO</x:v>
      </x:c>
      <x:c r="G1802" s="10" t="n">
        <x:f>IF(F1802="SÍ",EOMONTH(E1802,0)+1,DATE(YEAR(E1802),MONTH(E1802),1))</x:f>
        <x:v>47453</x:v>
      </x:c>
      <x:c r="H1802" t="str">
        <x:f>IF(D1802="NO",IF(C1802="SÍ","FERIADO","FIN DE SEMANA"),"LABORABLE")&amp;IF(F1802="SÍ"," + CIERRE","")</x:f>
        <x:v>LABORABLE</x:v>
      </x:c>
      <x:c r="I1802" t="str">
        <x:f>TEXT(G1802,"yyyy-mm")</x:f>
        <x:v>2029-12</x:v>
      </x:c>
    </x:row>
    <x:row r="1803" ht="19" customHeight="1">
      <x:c r="A1803" s="2" t="n">
        <x:v>47459</x:v>
      </x:c>
      <x:c r="B1803" t="str">
        <x:f>CHOOSE(WEEKDAY(A1803,2),"Lunes","Martes","Miércoles","Jueves","Viernes","Sábado","Domingo")</x:f>
        <x:v>Viernes</x:v>
      </x:c>
      <x:c r="C1803" t="str">
        <x:f>IF(COUNTIF(FERIADOS!$A$2:$A$250,A1803)&gt;0,"SÍ","NO")</x:f>
        <x:v>NO</x:v>
      </x:c>
      <x:c r="D1803" t="str">
        <x:f>IF(AND(WEEKDAY(A1803,2)&lt;=5,C1803="NO"),"SÍ","NO")</x:f>
        <x:v>SÍ</x:v>
      </x:c>
      <x:c r="E1803" s="2" t="n">
        <x:f>WORKDAY.INTL(A1803-1,1,1,FERIADOS!$A$2:$A$250)</x:f>
        <x:v>47459</x:v>
      </x:c>
      <x:c r="F1803" t="str">
        <x:f>IF(E1803&gt;=WORKDAY.INTL(EOMONTH(E1803,0)+1,-2,1,FERIADOS!$A$2:$A$250),"SÍ","NO")</x:f>
        <x:v>NO</x:v>
      </x:c>
      <x:c r="G1803" s="10" t="n">
        <x:f>IF(F1803="SÍ",EOMONTH(E1803,0)+1,DATE(YEAR(E1803),MONTH(E1803),1))</x:f>
        <x:v>47453</x:v>
      </x:c>
      <x:c r="H1803" t="str">
        <x:f>IF(D1803="NO",IF(C1803="SÍ","FERIADO","FIN DE SEMANA"),"LABORABLE")&amp;IF(F1803="SÍ"," + CIERRE","")</x:f>
        <x:v>LABORABLE</x:v>
      </x:c>
      <x:c r="I1803" t="str">
        <x:f>TEXT(G1803,"yyyy-mm")</x:f>
        <x:v>2029-12</x:v>
      </x:c>
    </x:row>
    <x:row r="1804" ht="19" customHeight="1">
      <x:c r="A1804" s="2" t="n">
        <x:v>47460</x:v>
      </x:c>
      <x:c r="B1804" t="str">
        <x:f>CHOOSE(WEEKDAY(A1804,2),"Lunes","Martes","Miércoles","Jueves","Viernes","Sábado","Domingo")</x:f>
        <x:v>Sábado</x:v>
      </x:c>
      <x:c r="C1804" t="str">
        <x:f>IF(COUNTIF(FERIADOS!$A$2:$A$250,A1804)&gt;0,"SÍ","NO")</x:f>
        <x:v>NO</x:v>
      </x:c>
      <x:c r="D1804" t="str">
        <x:f>IF(AND(WEEKDAY(A1804,2)&lt;=5,C1804="NO"),"SÍ","NO")</x:f>
        <x:v>NO</x:v>
      </x:c>
      <x:c r="E1804" s="2" t="n">
        <x:f>WORKDAY.INTL(A1804-1,1,1,FERIADOS!$A$2:$A$250)</x:f>
        <x:v>47462</x:v>
      </x:c>
      <x:c r="F1804" t="str">
        <x:f>IF(E1804&gt;=WORKDAY.INTL(EOMONTH(E1804,0)+1,-2,1,FERIADOS!$A$2:$A$250),"SÍ","NO")</x:f>
        <x:v>NO</x:v>
      </x:c>
      <x:c r="G1804" s="10" t="n">
        <x:f>IF(F1804="SÍ",EOMONTH(E1804,0)+1,DATE(YEAR(E1804),MONTH(E1804),1))</x:f>
        <x:v>47453</x:v>
      </x:c>
      <x:c r="H1804" t="str">
        <x:f>IF(D1804="NO",IF(C1804="SÍ","FERIADO","FIN DE SEMANA"),"LABORABLE")&amp;IF(F1804="SÍ"," + CIERRE","")</x:f>
        <x:v>FIN DE SEMANA</x:v>
      </x:c>
      <x:c r="I1804" t="str">
        <x:f>TEXT(G1804,"yyyy-mm")</x:f>
        <x:v>2029-12</x:v>
      </x:c>
    </x:row>
    <x:row r="1805" ht="19" customHeight="1">
      <x:c r="A1805" s="2" t="n">
        <x:v>47461</x:v>
      </x:c>
      <x:c r="B1805" t="str">
        <x:f>CHOOSE(WEEKDAY(A1805,2),"Lunes","Martes","Miércoles","Jueves","Viernes","Sábado","Domingo")</x:f>
        <x:v>Domingo</x:v>
      </x:c>
      <x:c r="C1805" t="str">
        <x:f>IF(COUNTIF(FERIADOS!$A$2:$A$250,A1805)&gt;0,"SÍ","NO")</x:f>
        <x:v>NO</x:v>
      </x:c>
      <x:c r="D1805" t="str">
        <x:f>IF(AND(WEEKDAY(A1805,2)&lt;=5,C1805="NO"),"SÍ","NO")</x:f>
        <x:v>NO</x:v>
      </x:c>
      <x:c r="E1805" s="2" t="n">
        <x:f>WORKDAY.INTL(A1805-1,1,1,FERIADOS!$A$2:$A$250)</x:f>
        <x:v>47462</x:v>
      </x:c>
      <x:c r="F1805" t="str">
        <x:f>IF(E1805&gt;=WORKDAY.INTL(EOMONTH(E1805,0)+1,-2,1,FERIADOS!$A$2:$A$250),"SÍ","NO")</x:f>
        <x:v>NO</x:v>
      </x:c>
      <x:c r="G1805" s="10" t="n">
        <x:f>IF(F1805="SÍ",EOMONTH(E1805,0)+1,DATE(YEAR(E1805),MONTH(E1805),1))</x:f>
        <x:v>47453</x:v>
      </x:c>
      <x:c r="H1805" t="str">
        <x:f>IF(D1805="NO",IF(C1805="SÍ","FERIADO","FIN DE SEMANA"),"LABORABLE")&amp;IF(F1805="SÍ"," + CIERRE","")</x:f>
        <x:v>FIN DE SEMANA</x:v>
      </x:c>
      <x:c r="I1805" t="str">
        <x:f>TEXT(G1805,"yyyy-mm")</x:f>
        <x:v>2029-12</x:v>
      </x:c>
    </x:row>
    <x:row r="1806" ht="19" customHeight="1">
      <x:c r="A1806" s="2" t="n">
        <x:v>47462</x:v>
      </x:c>
      <x:c r="B1806" t="str">
        <x:f>CHOOSE(WEEKDAY(A1806,2),"Lunes","Martes","Miércoles","Jueves","Viernes","Sábado","Domingo")</x:f>
        <x:v>Lunes</x:v>
      </x:c>
      <x:c r="C1806" t="str">
        <x:f>IF(COUNTIF(FERIADOS!$A$2:$A$250,A1806)&gt;0,"SÍ","NO")</x:f>
        <x:v>NO</x:v>
      </x:c>
      <x:c r="D1806" t="str">
        <x:f>IF(AND(WEEKDAY(A1806,2)&lt;=5,C1806="NO"),"SÍ","NO")</x:f>
        <x:v>SÍ</x:v>
      </x:c>
      <x:c r="E1806" s="2" t="n">
        <x:f>WORKDAY.INTL(A1806-1,1,1,FERIADOS!$A$2:$A$250)</x:f>
        <x:v>47462</x:v>
      </x:c>
      <x:c r="F1806" t="str">
        <x:f>IF(E1806&gt;=WORKDAY.INTL(EOMONTH(E1806,0)+1,-2,1,FERIADOS!$A$2:$A$250),"SÍ","NO")</x:f>
        <x:v>NO</x:v>
      </x:c>
      <x:c r="G1806" s="10" t="n">
        <x:f>IF(F1806="SÍ",EOMONTH(E1806,0)+1,DATE(YEAR(E1806),MONTH(E1806),1))</x:f>
        <x:v>47453</x:v>
      </x:c>
      <x:c r="H1806" t="str">
        <x:f>IF(D1806="NO",IF(C1806="SÍ","FERIADO","FIN DE SEMANA"),"LABORABLE")&amp;IF(F1806="SÍ"," + CIERRE","")</x:f>
        <x:v>LABORABLE</x:v>
      </x:c>
      <x:c r="I1806" t="str">
        <x:f>TEXT(G1806,"yyyy-mm")</x:f>
        <x:v>2029-12</x:v>
      </x:c>
    </x:row>
    <x:row r="1807" ht="19" customHeight="1">
      <x:c r="A1807" s="2" t="n">
        <x:v>47463</x:v>
      </x:c>
      <x:c r="B1807" t="str">
        <x:f>CHOOSE(WEEKDAY(A1807,2),"Lunes","Martes","Miércoles","Jueves","Viernes","Sábado","Domingo")</x:f>
        <x:v>Martes</x:v>
      </x:c>
      <x:c r="C1807" t="str">
        <x:f>IF(COUNTIF(FERIADOS!$A$2:$A$250,A1807)&gt;0,"SÍ","NO")</x:f>
        <x:v>NO</x:v>
      </x:c>
      <x:c r="D1807" t="str">
        <x:f>IF(AND(WEEKDAY(A1807,2)&lt;=5,C1807="NO"),"SÍ","NO")</x:f>
        <x:v>SÍ</x:v>
      </x:c>
      <x:c r="E1807" s="2" t="n">
        <x:f>WORKDAY.INTL(A1807-1,1,1,FERIADOS!$A$2:$A$250)</x:f>
        <x:v>47463</x:v>
      </x:c>
      <x:c r="F1807" t="str">
        <x:f>IF(E1807&gt;=WORKDAY.INTL(EOMONTH(E1807,0)+1,-2,1,FERIADOS!$A$2:$A$250),"SÍ","NO")</x:f>
        <x:v>NO</x:v>
      </x:c>
      <x:c r="G1807" s="10" t="n">
        <x:f>IF(F1807="SÍ",EOMONTH(E1807,0)+1,DATE(YEAR(E1807),MONTH(E1807),1))</x:f>
        <x:v>47453</x:v>
      </x:c>
      <x:c r="H1807" t="str">
        <x:f>IF(D1807="NO",IF(C1807="SÍ","FERIADO","FIN DE SEMANA"),"LABORABLE")&amp;IF(F1807="SÍ"," + CIERRE","")</x:f>
        <x:v>LABORABLE</x:v>
      </x:c>
      <x:c r="I1807" t="str">
        <x:f>TEXT(G1807,"yyyy-mm")</x:f>
        <x:v>2029-12</x:v>
      </x:c>
    </x:row>
    <x:row r="1808" ht="19" customHeight="1">
      <x:c r="A1808" s="2" t="n">
        <x:v>47464</x:v>
      </x:c>
      <x:c r="B1808" t="str">
        <x:f>CHOOSE(WEEKDAY(A1808,2),"Lunes","Martes","Miércoles","Jueves","Viernes","Sábado","Domingo")</x:f>
        <x:v>Miércoles</x:v>
      </x:c>
      <x:c r="C1808" t="str">
        <x:f>IF(COUNTIF(FERIADOS!$A$2:$A$250,A1808)&gt;0,"SÍ","NO")</x:f>
        <x:v>NO</x:v>
      </x:c>
      <x:c r="D1808" t="str">
        <x:f>IF(AND(WEEKDAY(A1808,2)&lt;=5,C1808="NO"),"SÍ","NO")</x:f>
        <x:v>SÍ</x:v>
      </x:c>
      <x:c r="E1808" s="2" t="n">
        <x:f>WORKDAY.INTL(A1808-1,1,1,FERIADOS!$A$2:$A$250)</x:f>
        <x:v>47464</x:v>
      </x:c>
      <x:c r="F1808" t="str">
        <x:f>IF(E1808&gt;=WORKDAY.INTL(EOMONTH(E1808,0)+1,-2,1,FERIADOS!$A$2:$A$250),"SÍ","NO")</x:f>
        <x:v>NO</x:v>
      </x:c>
      <x:c r="G1808" s="10" t="n">
        <x:f>IF(F1808="SÍ",EOMONTH(E1808,0)+1,DATE(YEAR(E1808),MONTH(E1808),1))</x:f>
        <x:v>47453</x:v>
      </x:c>
      <x:c r="H1808" t="str">
        <x:f>IF(D1808="NO",IF(C1808="SÍ","FERIADO","FIN DE SEMANA"),"LABORABLE")&amp;IF(F1808="SÍ"," + CIERRE","")</x:f>
        <x:v>LABORABLE</x:v>
      </x:c>
      <x:c r="I1808" t="str">
        <x:f>TEXT(G1808,"yyyy-mm")</x:f>
        <x:v>2029-12</x:v>
      </x:c>
    </x:row>
    <x:row r="1809" ht="19" customHeight="1">
      <x:c r="A1809" s="2" t="n">
        <x:v>47465</x:v>
      </x:c>
      <x:c r="B1809" t="str">
        <x:f>CHOOSE(WEEKDAY(A1809,2),"Lunes","Martes","Miércoles","Jueves","Viernes","Sábado","Domingo")</x:f>
        <x:v>Jueves</x:v>
      </x:c>
      <x:c r="C1809" t="str">
        <x:f>IF(COUNTIF(FERIADOS!$A$2:$A$250,A1809)&gt;0,"SÍ","NO")</x:f>
        <x:v>NO</x:v>
      </x:c>
      <x:c r="D1809" t="str">
        <x:f>IF(AND(WEEKDAY(A1809,2)&lt;=5,C1809="NO"),"SÍ","NO")</x:f>
        <x:v>SÍ</x:v>
      </x:c>
      <x:c r="E1809" s="2" t="n">
        <x:f>WORKDAY.INTL(A1809-1,1,1,FERIADOS!$A$2:$A$250)</x:f>
        <x:v>47465</x:v>
      </x:c>
      <x:c r="F1809" t="str">
        <x:f>IF(E1809&gt;=WORKDAY.INTL(EOMONTH(E1809,0)+1,-2,1,FERIADOS!$A$2:$A$250),"SÍ","NO")</x:f>
        <x:v>NO</x:v>
      </x:c>
      <x:c r="G1809" s="10" t="n">
        <x:f>IF(F1809="SÍ",EOMONTH(E1809,0)+1,DATE(YEAR(E1809),MONTH(E1809),1))</x:f>
        <x:v>47453</x:v>
      </x:c>
      <x:c r="H1809" t="str">
        <x:f>IF(D1809="NO",IF(C1809="SÍ","FERIADO","FIN DE SEMANA"),"LABORABLE")&amp;IF(F1809="SÍ"," + CIERRE","")</x:f>
        <x:v>LABORABLE</x:v>
      </x:c>
      <x:c r="I1809" t="str">
        <x:f>TEXT(G1809,"yyyy-mm")</x:f>
        <x:v>2029-12</x:v>
      </x:c>
    </x:row>
    <x:row r="1810" ht="19" customHeight="1">
      <x:c r="A1810" s="2" t="n">
        <x:v>47466</x:v>
      </x:c>
      <x:c r="B1810" t="str">
        <x:f>CHOOSE(WEEKDAY(A1810,2),"Lunes","Martes","Miércoles","Jueves","Viernes","Sábado","Domingo")</x:f>
        <x:v>Viernes</x:v>
      </x:c>
      <x:c r="C1810" t="str">
        <x:f>IF(COUNTIF(FERIADOS!$A$2:$A$250,A1810)&gt;0,"SÍ","NO")</x:f>
        <x:v>NO</x:v>
      </x:c>
      <x:c r="D1810" t="str">
        <x:f>IF(AND(WEEKDAY(A1810,2)&lt;=5,C1810="NO"),"SÍ","NO")</x:f>
        <x:v>SÍ</x:v>
      </x:c>
      <x:c r="E1810" s="2" t="n">
        <x:f>WORKDAY.INTL(A1810-1,1,1,FERIADOS!$A$2:$A$250)</x:f>
        <x:v>47466</x:v>
      </x:c>
      <x:c r="F1810" t="str">
        <x:f>IF(E1810&gt;=WORKDAY.INTL(EOMONTH(E1810,0)+1,-2,1,FERIADOS!$A$2:$A$250),"SÍ","NO")</x:f>
        <x:v>NO</x:v>
      </x:c>
      <x:c r="G1810" s="10" t="n">
        <x:f>IF(F1810="SÍ",EOMONTH(E1810,0)+1,DATE(YEAR(E1810),MONTH(E1810),1))</x:f>
        <x:v>47453</x:v>
      </x:c>
      <x:c r="H1810" t="str">
        <x:f>IF(D1810="NO",IF(C1810="SÍ","FERIADO","FIN DE SEMANA"),"LABORABLE")&amp;IF(F1810="SÍ"," + CIERRE","")</x:f>
        <x:v>LABORABLE</x:v>
      </x:c>
      <x:c r="I1810" t="str">
        <x:f>TEXT(G1810,"yyyy-mm")</x:f>
        <x:v>2029-12</x:v>
      </x:c>
    </x:row>
    <x:row r="1811" ht="19" customHeight="1">
      <x:c r="A1811" s="2" t="n">
        <x:v>47467</x:v>
      </x:c>
      <x:c r="B1811" t="str">
        <x:f>CHOOSE(WEEKDAY(A1811,2),"Lunes","Martes","Miércoles","Jueves","Viernes","Sábado","Domingo")</x:f>
        <x:v>Sábado</x:v>
      </x:c>
      <x:c r="C1811" t="str">
        <x:f>IF(COUNTIF(FERIADOS!$A$2:$A$250,A1811)&gt;0,"SÍ","NO")</x:f>
        <x:v>NO</x:v>
      </x:c>
      <x:c r="D1811" t="str">
        <x:f>IF(AND(WEEKDAY(A1811,2)&lt;=5,C1811="NO"),"SÍ","NO")</x:f>
        <x:v>NO</x:v>
      </x:c>
      <x:c r="E1811" s="2" t="n">
        <x:f>WORKDAY.INTL(A1811-1,1,1,FERIADOS!$A$2:$A$250)</x:f>
        <x:v>47469</x:v>
      </x:c>
      <x:c r="F1811" t="str">
        <x:f>IF(E1811&gt;=WORKDAY.INTL(EOMONTH(E1811,0)+1,-2,1,FERIADOS!$A$2:$A$250),"SÍ","NO")</x:f>
        <x:v>NO</x:v>
      </x:c>
      <x:c r="G1811" s="10" t="n">
        <x:f>IF(F1811="SÍ",EOMONTH(E1811,0)+1,DATE(YEAR(E1811),MONTH(E1811),1))</x:f>
        <x:v>47453</x:v>
      </x:c>
      <x:c r="H1811" t="str">
        <x:f>IF(D1811="NO",IF(C1811="SÍ","FERIADO","FIN DE SEMANA"),"LABORABLE")&amp;IF(F1811="SÍ"," + CIERRE","")</x:f>
        <x:v>FIN DE SEMANA</x:v>
      </x:c>
      <x:c r="I1811" t="str">
        <x:f>TEXT(G1811,"yyyy-mm")</x:f>
        <x:v>2029-12</x:v>
      </x:c>
    </x:row>
    <x:row r="1812" ht="19" customHeight="1">
      <x:c r="A1812" s="2" t="n">
        <x:v>47468</x:v>
      </x:c>
      <x:c r="B1812" t="str">
        <x:f>CHOOSE(WEEKDAY(A1812,2),"Lunes","Martes","Miércoles","Jueves","Viernes","Sábado","Domingo")</x:f>
        <x:v>Domingo</x:v>
      </x:c>
      <x:c r="C1812" t="str">
        <x:f>IF(COUNTIF(FERIADOS!$A$2:$A$250,A1812)&gt;0,"SÍ","NO")</x:f>
        <x:v>NO</x:v>
      </x:c>
      <x:c r="D1812" t="str">
        <x:f>IF(AND(WEEKDAY(A1812,2)&lt;=5,C1812="NO"),"SÍ","NO")</x:f>
        <x:v>NO</x:v>
      </x:c>
      <x:c r="E1812" s="2" t="n">
        <x:f>WORKDAY.INTL(A1812-1,1,1,FERIADOS!$A$2:$A$250)</x:f>
        <x:v>47469</x:v>
      </x:c>
      <x:c r="F1812" t="str">
        <x:f>IF(E1812&gt;=WORKDAY.INTL(EOMONTH(E1812,0)+1,-2,1,FERIADOS!$A$2:$A$250),"SÍ","NO")</x:f>
        <x:v>NO</x:v>
      </x:c>
      <x:c r="G1812" s="10" t="n">
        <x:f>IF(F1812="SÍ",EOMONTH(E1812,0)+1,DATE(YEAR(E1812),MONTH(E1812),1))</x:f>
        <x:v>47453</x:v>
      </x:c>
      <x:c r="H1812" t="str">
        <x:f>IF(D1812="NO",IF(C1812="SÍ","FERIADO","FIN DE SEMANA"),"LABORABLE")&amp;IF(F1812="SÍ"," + CIERRE","")</x:f>
        <x:v>FIN DE SEMANA</x:v>
      </x:c>
      <x:c r="I1812" t="str">
        <x:f>TEXT(G1812,"yyyy-mm")</x:f>
        <x:v>2029-12</x:v>
      </x:c>
    </x:row>
    <x:row r="1813" ht="19" customHeight="1">
      <x:c r="A1813" s="2" t="n">
        <x:v>47469</x:v>
      </x:c>
      <x:c r="B1813" t="str">
        <x:f>CHOOSE(WEEKDAY(A1813,2),"Lunes","Martes","Miércoles","Jueves","Viernes","Sábado","Domingo")</x:f>
        <x:v>Lunes</x:v>
      </x:c>
      <x:c r="C1813" t="str">
        <x:f>IF(COUNTIF(FERIADOS!$A$2:$A$250,A1813)&gt;0,"SÍ","NO")</x:f>
        <x:v>NO</x:v>
      </x:c>
      <x:c r="D1813" t="str">
        <x:f>IF(AND(WEEKDAY(A1813,2)&lt;=5,C1813="NO"),"SÍ","NO")</x:f>
        <x:v>SÍ</x:v>
      </x:c>
      <x:c r="E1813" s="2" t="n">
        <x:f>WORKDAY.INTL(A1813-1,1,1,FERIADOS!$A$2:$A$250)</x:f>
        <x:v>47469</x:v>
      </x:c>
      <x:c r="F1813" t="str">
        <x:f>IF(E1813&gt;=WORKDAY.INTL(EOMONTH(E1813,0)+1,-2,1,FERIADOS!$A$2:$A$250),"SÍ","NO")</x:f>
        <x:v>NO</x:v>
      </x:c>
      <x:c r="G1813" s="10" t="n">
        <x:f>IF(F1813="SÍ",EOMONTH(E1813,0)+1,DATE(YEAR(E1813),MONTH(E1813),1))</x:f>
        <x:v>47453</x:v>
      </x:c>
      <x:c r="H1813" t="str">
        <x:f>IF(D1813="NO",IF(C1813="SÍ","FERIADO","FIN DE SEMANA"),"LABORABLE")&amp;IF(F1813="SÍ"," + CIERRE","")</x:f>
        <x:v>LABORABLE</x:v>
      </x:c>
      <x:c r="I1813" t="str">
        <x:f>TEXT(G1813,"yyyy-mm")</x:f>
        <x:v>2029-12</x:v>
      </x:c>
    </x:row>
    <x:row r="1814" ht="19" customHeight="1">
      <x:c r="A1814" s="2" t="n">
        <x:v>47470</x:v>
      </x:c>
      <x:c r="B1814" t="str">
        <x:f>CHOOSE(WEEKDAY(A1814,2),"Lunes","Martes","Miércoles","Jueves","Viernes","Sábado","Domingo")</x:f>
        <x:v>Martes</x:v>
      </x:c>
      <x:c r="C1814" t="str">
        <x:f>IF(COUNTIF(FERIADOS!$A$2:$A$250,A1814)&gt;0,"SÍ","NO")</x:f>
        <x:v>NO</x:v>
      </x:c>
      <x:c r="D1814" t="str">
        <x:f>IF(AND(WEEKDAY(A1814,2)&lt;=5,C1814="NO"),"SÍ","NO")</x:f>
        <x:v>SÍ</x:v>
      </x:c>
      <x:c r="E1814" s="2" t="n">
        <x:f>WORKDAY.INTL(A1814-1,1,1,FERIADOS!$A$2:$A$250)</x:f>
        <x:v>47470</x:v>
      </x:c>
      <x:c r="F1814" t="str">
        <x:f>IF(E1814&gt;=WORKDAY.INTL(EOMONTH(E1814,0)+1,-2,1,FERIADOS!$A$2:$A$250),"SÍ","NO")</x:f>
        <x:v>NO</x:v>
      </x:c>
      <x:c r="G1814" s="10" t="n">
        <x:f>IF(F1814="SÍ",EOMONTH(E1814,0)+1,DATE(YEAR(E1814),MONTH(E1814),1))</x:f>
        <x:v>47453</x:v>
      </x:c>
      <x:c r="H1814" t="str">
        <x:f>IF(D1814="NO",IF(C1814="SÍ","FERIADO","FIN DE SEMANA"),"LABORABLE")&amp;IF(F1814="SÍ"," + CIERRE","")</x:f>
        <x:v>LABORABLE</x:v>
      </x:c>
      <x:c r="I1814" t="str">
        <x:f>TEXT(G1814,"yyyy-mm")</x:f>
        <x:v>2029-12</x:v>
      </x:c>
    </x:row>
    <x:row r="1815" ht="19" customHeight="1">
      <x:c r="A1815" s="2" t="n">
        <x:v>47471</x:v>
      </x:c>
      <x:c r="B1815" t="str">
        <x:f>CHOOSE(WEEKDAY(A1815,2),"Lunes","Martes","Miércoles","Jueves","Viernes","Sábado","Domingo")</x:f>
        <x:v>Miércoles</x:v>
      </x:c>
      <x:c r="C1815" t="str">
        <x:f>IF(COUNTIF(FERIADOS!$A$2:$A$250,A1815)&gt;0,"SÍ","NO")</x:f>
        <x:v>NO</x:v>
      </x:c>
      <x:c r="D1815" t="str">
        <x:f>IF(AND(WEEKDAY(A1815,2)&lt;=5,C1815="NO"),"SÍ","NO")</x:f>
        <x:v>SÍ</x:v>
      </x:c>
      <x:c r="E1815" s="2" t="n">
        <x:f>WORKDAY.INTL(A1815-1,1,1,FERIADOS!$A$2:$A$250)</x:f>
        <x:v>47471</x:v>
      </x:c>
      <x:c r="F1815" t="str">
        <x:f>IF(E1815&gt;=WORKDAY.INTL(EOMONTH(E1815,0)+1,-2,1,FERIADOS!$A$2:$A$250),"SÍ","NO")</x:f>
        <x:v>NO</x:v>
      </x:c>
      <x:c r="G1815" s="10" t="n">
        <x:f>IF(F1815="SÍ",EOMONTH(E1815,0)+1,DATE(YEAR(E1815),MONTH(E1815),1))</x:f>
        <x:v>47453</x:v>
      </x:c>
      <x:c r="H1815" t="str">
        <x:f>IF(D1815="NO",IF(C1815="SÍ","FERIADO","FIN DE SEMANA"),"LABORABLE")&amp;IF(F1815="SÍ"," + CIERRE","")</x:f>
        <x:v>LABORABLE</x:v>
      </x:c>
      <x:c r="I1815" t="str">
        <x:f>TEXT(G1815,"yyyy-mm")</x:f>
        <x:v>2029-12</x:v>
      </x:c>
    </x:row>
    <x:row r="1816" ht="19" customHeight="1">
      <x:c r="A1816" s="2" t="n">
        <x:v>47472</x:v>
      </x:c>
      <x:c r="B1816" t="str">
        <x:f>CHOOSE(WEEKDAY(A1816,2),"Lunes","Martes","Miércoles","Jueves","Viernes","Sábado","Domingo")</x:f>
        <x:v>Jueves</x:v>
      </x:c>
      <x:c r="C1816" t="str">
        <x:f>IF(COUNTIF(FERIADOS!$A$2:$A$250,A1816)&gt;0,"SÍ","NO")</x:f>
        <x:v>NO</x:v>
      </x:c>
      <x:c r="D1816" t="str">
        <x:f>IF(AND(WEEKDAY(A1816,2)&lt;=5,C1816="NO"),"SÍ","NO")</x:f>
        <x:v>SÍ</x:v>
      </x:c>
      <x:c r="E1816" s="2" t="n">
        <x:f>WORKDAY.INTL(A1816-1,1,1,FERIADOS!$A$2:$A$250)</x:f>
        <x:v>47472</x:v>
      </x:c>
      <x:c r="F1816" t="str">
        <x:f>IF(E1816&gt;=WORKDAY.INTL(EOMONTH(E1816,0)+1,-2,1,FERIADOS!$A$2:$A$250),"SÍ","NO")</x:f>
        <x:v>NO</x:v>
      </x:c>
      <x:c r="G1816" s="10" t="n">
        <x:f>IF(F1816="SÍ",EOMONTH(E1816,0)+1,DATE(YEAR(E1816),MONTH(E1816),1))</x:f>
        <x:v>47453</x:v>
      </x:c>
      <x:c r="H1816" t="str">
        <x:f>IF(D1816="NO",IF(C1816="SÍ","FERIADO","FIN DE SEMANA"),"LABORABLE")&amp;IF(F1816="SÍ"," + CIERRE","")</x:f>
        <x:v>LABORABLE</x:v>
      </x:c>
      <x:c r="I1816" t="str">
        <x:f>TEXT(G1816,"yyyy-mm")</x:f>
        <x:v>2029-12</x:v>
      </x:c>
    </x:row>
    <x:row r="1817" ht="19" customHeight="1">
      <x:c r="A1817" s="2" t="n">
        <x:v>47473</x:v>
      </x:c>
      <x:c r="B1817" t="str">
        <x:f>CHOOSE(WEEKDAY(A1817,2),"Lunes","Martes","Miércoles","Jueves","Viernes","Sábado","Domingo")</x:f>
        <x:v>Viernes</x:v>
      </x:c>
      <x:c r="C1817" t="str">
        <x:f>IF(COUNTIF(FERIADOS!$A$2:$A$250,A1817)&gt;0,"SÍ","NO")</x:f>
        <x:v>NO</x:v>
      </x:c>
      <x:c r="D1817" t="str">
        <x:f>IF(AND(WEEKDAY(A1817,2)&lt;=5,C1817="NO"),"SÍ","NO")</x:f>
        <x:v>SÍ</x:v>
      </x:c>
      <x:c r="E1817" s="2" t="n">
        <x:f>WORKDAY.INTL(A1817-1,1,1,FERIADOS!$A$2:$A$250)</x:f>
        <x:v>47473</x:v>
      </x:c>
      <x:c r="F1817" t="str">
        <x:f>IF(E1817&gt;=WORKDAY.INTL(EOMONTH(E1817,0)+1,-2,1,FERIADOS!$A$2:$A$250),"SÍ","NO")</x:f>
        <x:v>NO</x:v>
      </x:c>
      <x:c r="G1817" s="10" t="n">
        <x:f>IF(F1817="SÍ",EOMONTH(E1817,0)+1,DATE(YEAR(E1817),MONTH(E1817),1))</x:f>
        <x:v>47453</x:v>
      </x:c>
      <x:c r="H1817" t="str">
        <x:f>IF(D1817="NO",IF(C1817="SÍ","FERIADO","FIN DE SEMANA"),"LABORABLE")&amp;IF(F1817="SÍ"," + CIERRE","")</x:f>
        <x:v>LABORABLE</x:v>
      </x:c>
      <x:c r="I1817" t="str">
        <x:f>TEXT(G1817,"yyyy-mm")</x:f>
        <x:v>2029-12</x:v>
      </x:c>
    </x:row>
    <x:row r="1818" ht="19" customHeight="1">
      <x:c r="A1818" s="2" t="n">
        <x:v>47474</x:v>
      </x:c>
      <x:c r="B1818" t="str">
        <x:f>CHOOSE(WEEKDAY(A1818,2),"Lunes","Martes","Miércoles","Jueves","Viernes","Sábado","Domingo")</x:f>
        <x:v>Sábado</x:v>
      </x:c>
      <x:c r="C1818" t="str">
        <x:f>IF(COUNTIF(FERIADOS!$A$2:$A$250,A1818)&gt;0,"SÍ","NO")</x:f>
        <x:v>NO</x:v>
      </x:c>
      <x:c r="D1818" t="str">
        <x:f>IF(AND(WEEKDAY(A1818,2)&lt;=5,C1818="NO"),"SÍ","NO")</x:f>
        <x:v>NO</x:v>
      </x:c>
      <x:c r="E1818" s="2" t="n">
        <x:f>WORKDAY.INTL(A1818-1,1,1,FERIADOS!$A$2:$A$250)</x:f>
        <x:v>47476</x:v>
      </x:c>
      <x:c r="F1818" t="str">
        <x:f>IF(E1818&gt;=WORKDAY.INTL(EOMONTH(E1818,0)+1,-2,1,FERIADOS!$A$2:$A$250),"SÍ","NO")</x:f>
        <x:v>NO</x:v>
      </x:c>
      <x:c r="G1818" s="10" t="n">
        <x:f>IF(F1818="SÍ",EOMONTH(E1818,0)+1,DATE(YEAR(E1818),MONTH(E1818),1))</x:f>
        <x:v>47453</x:v>
      </x:c>
      <x:c r="H1818" t="str">
        <x:f>IF(D1818="NO",IF(C1818="SÍ","FERIADO","FIN DE SEMANA"),"LABORABLE")&amp;IF(F1818="SÍ"," + CIERRE","")</x:f>
        <x:v>FIN DE SEMANA</x:v>
      </x:c>
      <x:c r="I1818" t="str">
        <x:f>TEXT(G1818,"yyyy-mm")</x:f>
        <x:v>2029-12</x:v>
      </x:c>
    </x:row>
    <x:row r="1819" ht="19" customHeight="1">
      <x:c r="A1819" s="2" t="n">
        <x:v>47475</x:v>
      </x:c>
      <x:c r="B1819" t="str">
        <x:f>CHOOSE(WEEKDAY(A1819,2),"Lunes","Martes","Miércoles","Jueves","Viernes","Sábado","Domingo")</x:f>
        <x:v>Domingo</x:v>
      </x:c>
      <x:c r="C1819" t="str">
        <x:f>IF(COUNTIF(FERIADOS!$A$2:$A$250,A1819)&gt;0,"SÍ","NO")</x:f>
        <x:v>NO</x:v>
      </x:c>
      <x:c r="D1819" t="str">
        <x:f>IF(AND(WEEKDAY(A1819,2)&lt;=5,C1819="NO"),"SÍ","NO")</x:f>
        <x:v>NO</x:v>
      </x:c>
      <x:c r="E1819" s="2" t="n">
        <x:f>WORKDAY.INTL(A1819-1,1,1,FERIADOS!$A$2:$A$250)</x:f>
        <x:v>47476</x:v>
      </x:c>
      <x:c r="F1819" t="str">
        <x:f>IF(E1819&gt;=WORKDAY.INTL(EOMONTH(E1819,0)+1,-2,1,FERIADOS!$A$2:$A$250),"SÍ","NO")</x:f>
        <x:v>NO</x:v>
      </x:c>
      <x:c r="G1819" s="10" t="n">
        <x:f>IF(F1819="SÍ",EOMONTH(E1819,0)+1,DATE(YEAR(E1819),MONTH(E1819),1))</x:f>
        <x:v>47453</x:v>
      </x:c>
      <x:c r="H1819" t="str">
        <x:f>IF(D1819="NO",IF(C1819="SÍ","FERIADO","FIN DE SEMANA"),"LABORABLE")&amp;IF(F1819="SÍ"," + CIERRE","")</x:f>
        <x:v>FIN DE SEMANA</x:v>
      </x:c>
      <x:c r="I1819" t="str">
        <x:f>TEXT(G1819,"yyyy-mm")</x:f>
        <x:v>2029-12</x:v>
      </x:c>
    </x:row>
    <x:row r="1820" ht="19" customHeight="1">
      <x:c r="A1820" s="2" t="n">
        <x:v>47476</x:v>
      </x:c>
      <x:c r="B1820" t="str">
        <x:f>CHOOSE(WEEKDAY(A1820,2),"Lunes","Martes","Miércoles","Jueves","Viernes","Sábado","Domingo")</x:f>
        <x:v>Lunes</x:v>
      </x:c>
      <x:c r="C1820" t="str">
        <x:f>IF(COUNTIF(FERIADOS!$A$2:$A$250,A1820)&gt;0,"SÍ","NO")</x:f>
        <x:v>NO</x:v>
      </x:c>
      <x:c r="D1820" t="str">
        <x:f>IF(AND(WEEKDAY(A1820,2)&lt;=5,C1820="NO"),"SÍ","NO")</x:f>
        <x:v>SÍ</x:v>
      </x:c>
      <x:c r="E1820" s="2" t="n">
        <x:f>WORKDAY.INTL(A1820-1,1,1,FERIADOS!$A$2:$A$250)</x:f>
        <x:v>47476</x:v>
      </x:c>
      <x:c r="F1820" t="str">
        <x:f>IF(E1820&gt;=WORKDAY.INTL(EOMONTH(E1820,0)+1,-2,1,FERIADOS!$A$2:$A$250),"SÍ","NO")</x:f>
        <x:v>NO</x:v>
      </x:c>
      <x:c r="G1820" s="10" t="n">
        <x:f>IF(F1820="SÍ",EOMONTH(E1820,0)+1,DATE(YEAR(E1820),MONTH(E1820),1))</x:f>
        <x:v>47453</x:v>
      </x:c>
      <x:c r="H1820" t="str">
        <x:f>IF(D1820="NO",IF(C1820="SÍ","FERIADO","FIN DE SEMANA"),"LABORABLE")&amp;IF(F1820="SÍ"," + CIERRE","")</x:f>
        <x:v>LABORABLE</x:v>
      </x:c>
      <x:c r="I1820" t="str">
        <x:f>TEXT(G1820,"yyyy-mm")</x:f>
        <x:v>2029-12</x:v>
      </x:c>
    </x:row>
    <x:row r="1821" ht="19" customHeight="1">
      <x:c r="A1821" s="2" t="n">
        <x:v>47477</x:v>
      </x:c>
      <x:c r="B1821" t="str">
        <x:f>CHOOSE(WEEKDAY(A1821,2),"Lunes","Martes","Miércoles","Jueves","Viernes","Sábado","Domingo")</x:f>
        <x:v>Martes</x:v>
      </x:c>
      <x:c r="C1821" t="str">
        <x:f>IF(COUNTIF(FERIADOS!$A$2:$A$250,A1821)&gt;0,"SÍ","NO")</x:f>
        <x:v>SÍ</x:v>
      </x:c>
      <x:c r="D1821" t="str">
        <x:f>IF(AND(WEEKDAY(A1821,2)&lt;=5,C1821="NO"),"SÍ","NO")</x:f>
        <x:v>NO</x:v>
      </x:c>
      <x:c r="E1821" s="2" t="n">
        <x:f>WORKDAY.INTL(A1821-1,1,1,FERIADOS!$A$2:$A$250)</x:f>
        <x:v>47478</x:v>
      </x:c>
      <x:c r="F1821" t="str">
        <x:f>IF(E1821&gt;=WORKDAY.INTL(EOMONTH(E1821,0)+1,-2,1,FERIADOS!$A$2:$A$250),"SÍ","NO")</x:f>
        <x:v>NO</x:v>
      </x:c>
      <x:c r="G1821" s="10" t="n">
        <x:f>IF(F1821="SÍ",EOMONTH(E1821,0)+1,DATE(YEAR(E1821),MONTH(E1821),1))</x:f>
        <x:v>47453</x:v>
      </x:c>
      <x:c r="H1821" t="str">
        <x:f>IF(D1821="NO",IF(C1821="SÍ","FERIADO","FIN DE SEMANA"),"LABORABLE")&amp;IF(F1821="SÍ"," + CIERRE","")</x:f>
        <x:v>FERIADO</x:v>
      </x:c>
      <x:c r="I1821" t="str">
        <x:f>TEXT(G1821,"yyyy-mm")</x:f>
        <x:v>2029-12</x:v>
      </x:c>
    </x:row>
    <x:row r="1822" ht="19" customHeight="1">
      <x:c r="A1822" s="2" t="n">
        <x:v>47478</x:v>
      </x:c>
      <x:c r="B1822" t="str">
        <x:f>CHOOSE(WEEKDAY(A1822,2),"Lunes","Martes","Miércoles","Jueves","Viernes","Sábado","Domingo")</x:f>
        <x:v>Miércoles</x:v>
      </x:c>
      <x:c r="C1822" t="str">
        <x:f>IF(COUNTIF(FERIADOS!$A$2:$A$250,A1822)&gt;0,"SÍ","NO")</x:f>
        <x:v>NO</x:v>
      </x:c>
      <x:c r="D1822" t="str">
        <x:f>IF(AND(WEEKDAY(A1822,2)&lt;=5,C1822="NO"),"SÍ","NO")</x:f>
        <x:v>SÍ</x:v>
      </x:c>
      <x:c r="E1822" s="2" t="n">
        <x:f>WORKDAY.INTL(A1822-1,1,1,FERIADOS!$A$2:$A$250)</x:f>
        <x:v>47478</x:v>
      </x:c>
      <x:c r="F1822" t="str">
        <x:f>IF(E1822&gt;=WORKDAY.INTL(EOMONTH(E1822,0)+1,-2,1,FERIADOS!$A$2:$A$250),"SÍ","NO")</x:f>
        <x:v>NO</x:v>
      </x:c>
      <x:c r="G1822" s="10" t="n">
        <x:f>IF(F1822="SÍ",EOMONTH(E1822,0)+1,DATE(YEAR(E1822),MONTH(E1822),1))</x:f>
        <x:v>47453</x:v>
      </x:c>
      <x:c r="H1822" t="str">
        <x:f>IF(D1822="NO",IF(C1822="SÍ","FERIADO","FIN DE SEMANA"),"LABORABLE")&amp;IF(F1822="SÍ"," + CIERRE","")</x:f>
        <x:v>LABORABLE</x:v>
      </x:c>
      <x:c r="I1822" t="str">
        <x:f>TEXT(G1822,"yyyy-mm")</x:f>
        <x:v>2029-12</x:v>
      </x:c>
    </x:row>
    <x:row r="1823" ht="19" customHeight="1">
      <x:c r="A1823" s="2" t="n">
        <x:v>47479</x:v>
      </x:c>
      <x:c r="B1823" t="str">
        <x:f>CHOOSE(WEEKDAY(A1823,2),"Lunes","Martes","Miércoles","Jueves","Viernes","Sábado","Domingo")</x:f>
        <x:v>Jueves</x:v>
      </x:c>
      <x:c r="C1823" t="str">
        <x:f>IF(COUNTIF(FERIADOS!$A$2:$A$250,A1823)&gt;0,"SÍ","NO")</x:f>
        <x:v>NO</x:v>
      </x:c>
      <x:c r="D1823" t="str">
        <x:f>IF(AND(WEEKDAY(A1823,2)&lt;=5,C1823="NO"),"SÍ","NO")</x:f>
        <x:v>SÍ</x:v>
      </x:c>
      <x:c r="E1823" s="2" t="n">
        <x:f>WORKDAY.INTL(A1823-1,1,1,FERIADOS!$A$2:$A$250)</x:f>
        <x:v>47479</x:v>
      </x:c>
      <x:c r="F1823" t="str">
        <x:f>IF(E1823&gt;=WORKDAY.INTL(EOMONTH(E1823,0)+1,-2,1,FERIADOS!$A$2:$A$250),"SÍ","NO")</x:f>
        <x:v>NO</x:v>
      </x:c>
      <x:c r="G1823" s="10" t="n">
        <x:f>IF(F1823="SÍ",EOMONTH(E1823,0)+1,DATE(YEAR(E1823),MONTH(E1823),1))</x:f>
        <x:v>47453</x:v>
      </x:c>
      <x:c r="H1823" t="str">
        <x:f>IF(D1823="NO",IF(C1823="SÍ","FERIADO","FIN DE SEMANA"),"LABORABLE")&amp;IF(F1823="SÍ"," + CIERRE","")</x:f>
        <x:v>LABORABLE</x:v>
      </x:c>
      <x:c r="I1823" t="str">
        <x:f>TEXT(G1823,"yyyy-mm")</x:f>
        <x:v>2029-12</x:v>
      </x:c>
    </x:row>
    <x:row r="1824" ht="19" customHeight="1">
      <x:c r="A1824" s="2" t="n">
        <x:v>47480</x:v>
      </x:c>
      <x:c r="B1824" t="str">
        <x:f>CHOOSE(WEEKDAY(A1824,2),"Lunes","Martes","Miércoles","Jueves","Viernes","Sábado","Domingo")</x:f>
        <x:v>Viernes</x:v>
      </x:c>
      <x:c r="C1824" t="str">
        <x:f>IF(COUNTIF(FERIADOS!$A$2:$A$250,A1824)&gt;0,"SÍ","NO")</x:f>
        <x:v>NO</x:v>
      </x:c>
      <x:c r="D1824" t="str">
        <x:f>IF(AND(WEEKDAY(A1824,2)&lt;=5,C1824="NO"),"SÍ","NO")</x:f>
        <x:v>SÍ</x:v>
      </x:c>
      <x:c r="E1824" s="2" t="n">
        <x:f>WORKDAY.INTL(A1824-1,1,1,FERIADOS!$A$2:$A$250)</x:f>
        <x:v>47480</x:v>
      </x:c>
      <x:c r="F1824" t="str">
        <x:f>IF(E1824&gt;=WORKDAY.INTL(EOMONTH(E1824,0)+1,-2,1,FERIADOS!$A$2:$A$250),"SÍ","NO")</x:f>
        <x:v>SÍ</x:v>
      </x:c>
      <x:c r="G1824" s="10" t="n">
        <x:f>IF(F1824="SÍ",EOMONTH(E1824,0)+1,DATE(YEAR(E1824),MONTH(E1824),1))</x:f>
        <x:v>47484</x:v>
      </x:c>
      <x:c r="H1824" t="str">
        <x:f>IF(D1824="NO",IF(C1824="SÍ","FERIADO","FIN DE SEMANA"),"LABORABLE")&amp;IF(F1824="SÍ"," + CIERRE","")</x:f>
        <x:v>LABORABLE + CIERRE</x:v>
      </x:c>
      <x:c r="I1824" t="str">
        <x:f>TEXT(G1824,"yyyy-mm")</x:f>
        <x:v>2030-01</x:v>
      </x:c>
    </x:row>
    <x:row r="1825" ht="19" customHeight="1">
      <x:c r="A1825" s="2" t="n">
        <x:v>47481</x:v>
      </x:c>
      <x:c r="B1825" t="str">
        <x:f>CHOOSE(WEEKDAY(A1825,2),"Lunes","Martes","Miércoles","Jueves","Viernes","Sábado","Domingo")</x:f>
        <x:v>Sábado</x:v>
      </x:c>
      <x:c r="C1825" t="str">
        <x:f>IF(COUNTIF(FERIADOS!$A$2:$A$250,A1825)&gt;0,"SÍ","NO")</x:f>
        <x:v>NO</x:v>
      </x:c>
      <x:c r="D1825" t="str">
        <x:f>IF(AND(WEEKDAY(A1825,2)&lt;=5,C1825="NO"),"SÍ","NO")</x:f>
        <x:v>NO</x:v>
      </x:c>
      <x:c r="E1825" s="2" t="n">
        <x:f>WORKDAY.INTL(A1825-1,1,1,FERIADOS!$A$2:$A$250)</x:f>
        <x:v>47483</x:v>
      </x:c>
      <x:c r="F1825" t="str">
        <x:f>IF(E1825&gt;=WORKDAY.INTL(EOMONTH(E1825,0)+1,-2,1,FERIADOS!$A$2:$A$250),"SÍ","NO")</x:f>
        <x:v>SÍ</x:v>
      </x:c>
      <x:c r="G1825" s="10" t="n">
        <x:f>IF(F1825="SÍ",EOMONTH(E1825,0)+1,DATE(YEAR(E1825),MONTH(E1825),1))</x:f>
        <x:v>47484</x:v>
      </x:c>
      <x:c r="H1825" t="str">
        <x:f>IF(D1825="NO",IF(C1825="SÍ","FERIADO","FIN DE SEMANA"),"LABORABLE")&amp;IF(F1825="SÍ"," + CIERRE","")</x:f>
        <x:v>FIN DE SEMANA + CIERRE</x:v>
      </x:c>
      <x:c r="I1825" t="str">
        <x:f>TEXT(G1825,"yyyy-mm")</x:f>
        <x:v>2030-01</x:v>
      </x:c>
    </x:row>
    <x:row r="1826" ht="19" customHeight="1">
      <x:c r="A1826" s="2" t="n">
        <x:v>47482</x:v>
      </x:c>
      <x:c r="B1826" t="str">
        <x:f>CHOOSE(WEEKDAY(A1826,2),"Lunes","Martes","Miércoles","Jueves","Viernes","Sábado","Domingo")</x:f>
        <x:v>Domingo</x:v>
      </x:c>
      <x:c r="C1826" t="str">
        <x:f>IF(COUNTIF(FERIADOS!$A$2:$A$250,A1826)&gt;0,"SÍ","NO")</x:f>
        <x:v>NO</x:v>
      </x:c>
      <x:c r="D1826" t="str">
        <x:f>IF(AND(WEEKDAY(A1826,2)&lt;=5,C1826="NO"),"SÍ","NO")</x:f>
        <x:v>NO</x:v>
      </x:c>
      <x:c r="E1826" s="2" t="n">
        <x:f>WORKDAY.INTL(A1826-1,1,1,FERIADOS!$A$2:$A$250)</x:f>
        <x:v>47483</x:v>
      </x:c>
      <x:c r="F1826" t="str">
        <x:f>IF(E1826&gt;=WORKDAY.INTL(EOMONTH(E1826,0)+1,-2,1,FERIADOS!$A$2:$A$250),"SÍ","NO")</x:f>
        <x:v>SÍ</x:v>
      </x:c>
      <x:c r="G1826" s="10" t="n">
        <x:f>IF(F1826="SÍ",EOMONTH(E1826,0)+1,DATE(YEAR(E1826),MONTH(E1826),1))</x:f>
        <x:v>47484</x:v>
      </x:c>
      <x:c r="H1826" t="str">
        <x:f>IF(D1826="NO",IF(C1826="SÍ","FERIADO","FIN DE SEMANA"),"LABORABLE")&amp;IF(F1826="SÍ"," + CIERRE","")</x:f>
        <x:v>FIN DE SEMANA + CIERRE</x:v>
      </x:c>
      <x:c r="I1826" t="str">
        <x:f>TEXT(G1826,"yyyy-mm")</x:f>
        <x:v>2030-01</x:v>
      </x:c>
    </x:row>
    <x:row r="1827" ht="19" customHeight="1">
      <x:c r="A1827" s="2" t="n">
        <x:v>47483</x:v>
      </x:c>
      <x:c r="B1827" t="str">
        <x:f>CHOOSE(WEEKDAY(A1827,2),"Lunes","Martes","Miércoles","Jueves","Viernes","Sábado","Domingo")</x:f>
        <x:v>Lunes</x:v>
      </x:c>
      <x:c r="C1827" t="str">
        <x:f>IF(COUNTIF(FERIADOS!$A$2:$A$250,A1827)&gt;0,"SÍ","NO")</x:f>
        <x:v>NO</x:v>
      </x:c>
      <x:c r="D1827" t="str">
        <x:f>IF(AND(WEEKDAY(A1827,2)&lt;=5,C1827="NO"),"SÍ","NO")</x:f>
        <x:v>SÍ</x:v>
      </x:c>
      <x:c r="E1827" s="2" t="n">
        <x:f>WORKDAY.INTL(A1827-1,1,1,FERIADOS!$A$2:$A$250)</x:f>
        <x:v>47483</x:v>
      </x:c>
      <x:c r="F1827" t="str">
        <x:f>IF(E1827&gt;=WORKDAY.INTL(EOMONTH(E1827,0)+1,-2,1,FERIADOS!$A$2:$A$250),"SÍ","NO")</x:f>
        <x:v>SÍ</x:v>
      </x:c>
      <x:c r="G1827" s="10" t="n">
        <x:f>IF(F1827="SÍ",EOMONTH(E1827,0)+1,DATE(YEAR(E1827),MONTH(E1827),1))</x:f>
        <x:v>47484</x:v>
      </x:c>
      <x:c r="H1827" t="str">
        <x:f>IF(D1827="NO",IF(C1827="SÍ","FERIADO","FIN DE SEMANA"),"LABORABLE")&amp;IF(F1827="SÍ"," + CIERRE","")</x:f>
        <x:v>LABORABLE + CIERRE</x:v>
      </x:c>
      <x:c r="I1827" t="str">
        <x:f>TEXT(G1827,"yyyy-mm")</x:f>
        <x:v>2030-01</x:v>
      </x:c>
    </x:row>
    <x:row r="1828">
      <x:c r="A1828" s="2" t="n">
        <x:v>47484</x:v>
      </x:c>
      <x:c r="B1828" t="str">
        <x:f>CHOOSE(WEEKDAY(A1828,2),"Lunes","Martes","Miércoles","Jueves","Viernes","Sábado","Domingo")</x:f>
        <x:v>Martes</x:v>
      </x:c>
      <x:c r="C1828" t="str">
        <x:f>IF(COUNTIF(FERIADOS!$A$2:$A$250,A1828)&gt;0,"SÍ","NO")</x:f>
        <x:v>SÍ</x:v>
      </x:c>
      <x:c r="D1828" t="str">
        <x:f>IF(AND(WEEKDAY(A1828,2)&lt;=5,C1828="NO"),"SÍ","NO")</x:f>
        <x:v>NO</x:v>
      </x:c>
      <x:c r="E1828" s="2" t="n">
        <x:f>WORKDAY.INTL(A1828-1,1,1,FERIADOS!$A$2:$A$250)</x:f>
        <x:v>47485</x:v>
      </x:c>
      <x:c r="F1828" t="str">
        <x:f>IF(E1828&gt;=WORKDAY.INTL(EOMONTH(E1828,0)+1,-2,1,FERIADOS!$A$2:$A$250),"SÍ","NO")</x:f>
        <x:v>NO</x:v>
      </x:c>
      <x:c r="G1828" s="2" t="n">
        <x:f>IF(F1828="SÍ",EOMONTH(E1828,0)+1,DATE(YEAR(E1828),MONTH(E1828),1))</x:f>
        <x:v>47484</x:v>
      </x:c>
      <x:c r="H1828" t="str">
        <x:f>IF(D1828="NO",IF(C1828="SÍ","FERIADO","FIN DE SEMANA"),"LABORABLE")&amp;IF(F1828="SÍ"," + CIERRE","")</x:f>
        <x:v>FERIADO</x:v>
      </x:c>
      <x:c r="I1828" t="str">
        <x:f>TEXT(G1828,"yyyy-mm")</x:f>
        <x:v>2030-01</x:v>
      </x:c>
    </x:row>
    <x:row r="1829">
      <x:c r="A1829" s="2" t="n">
        <x:v>47485</x:v>
      </x:c>
      <x:c r="B1829" t="str">
        <x:f>CHOOSE(WEEKDAY(A1829,2),"Lunes","Martes","Miércoles","Jueves","Viernes","Sábado","Domingo")</x:f>
        <x:v>Miércoles</x:v>
      </x:c>
      <x:c r="C1829" t="str">
        <x:f>IF(COUNTIF(FERIADOS!$A$2:$A$250,A1829)&gt;0,"SÍ","NO")</x:f>
        <x:v>NO</x:v>
      </x:c>
      <x:c r="D1829" t="str">
        <x:f>IF(AND(WEEKDAY(A1829,2)&lt;=5,C1829="NO"),"SÍ","NO")</x:f>
        <x:v>SÍ</x:v>
      </x:c>
      <x:c r="E1829" s="2" t="n">
        <x:f>WORKDAY.INTL(A1829-1,1,1,FERIADOS!$A$2:$A$250)</x:f>
        <x:v>47485</x:v>
      </x:c>
      <x:c r="F1829" t="str">
        <x:f>IF(E1829&gt;=WORKDAY.INTL(EOMONTH(E1829,0)+1,-2,1,FERIADOS!$A$2:$A$250),"SÍ","NO")</x:f>
        <x:v>NO</x:v>
      </x:c>
      <x:c r="G1829" s="2" t="n">
        <x:f>IF(F1829="SÍ",EOMONTH(E1829,0)+1,DATE(YEAR(E1829),MONTH(E1829),1))</x:f>
        <x:v>47484</x:v>
      </x:c>
      <x:c r="H1829" t="str">
        <x:f>IF(D1829="NO",IF(C1829="SÍ","FERIADO","FIN DE SEMANA"),"LABORABLE")&amp;IF(F1829="SÍ"," + CIERRE","")</x:f>
        <x:v>LABORABLE</x:v>
      </x:c>
      <x:c r="I1829" t="str">
        <x:f>TEXT(G1829,"yyyy-mm")</x:f>
        <x:v>2030-01</x:v>
      </x:c>
    </x:row>
    <x:row r="1830">
      <x:c r="A1830" s="2" t="n">
        <x:v>47486</x:v>
      </x:c>
      <x:c r="B1830" t="str">
        <x:f>CHOOSE(WEEKDAY(A1830,2),"Lunes","Martes","Miércoles","Jueves","Viernes","Sábado","Domingo")</x:f>
        <x:v>Jueves</x:v>
      </x:c>
      <x:c r="C1830" t="str">
        <x:f>IF(COUNTIF(FERIADOS!$A$2:$A$250,A1830)&gt;0,"SÍ","NO")</x:f>
        <x:v>NO</x:v>
      </x:c>
      <x:c r="D1830" t="str">
        <x:f>IF(AND(WEEKDAY(A1830,2)&lt;=5,C1830="NO"),"SÍ","NO")</x:f>
        <x:v>SÍ</x:v>
      </x:c>
      <x:c r="E1830" s="2" t="n">
        <x:f>WORKDAY.INTL(A1830-1,1,1,FERIADOS!$A$2:$A$250)</x:f>
        <x:v>47486</x:v>
      </x:c>
      <x:c r="F1830" t="str">
        <x:f>IF(E1830&gt;=WORKDAY.INTL(EOMONTH(E1830,0)+1,-2,1,FERIADOS!$A$2:$A$250),"SÍ","NO")</x:f>
        <x:v>NO</x:v>
      </x:c>
      <x:c r="G1830" s="2" t="n">
        <x:f>IF(F1830="SÍ",EOMONTH(E1830,0)+1,DATE(YEAR(E1830),MONTH(E1830),1))</x:f>
        <x:v>47484</x:v>
      </x:c>
      <x:c r="H1830" t="str">
        <x:f>IF(D1830="NO",IF(C1830="SÍ","FERIADO","FIN DE SEMANA"),"LABORABLE")&amp;IF(F1830="SÍ"," + CIERRE","")</x:f>
        <x:v>LABORABLE</x:v>
      </x:c>
      <x:c r="I1830" t="str">
        <x:f>TEXT(G1830,"yyyy-mm")</x:f>
        <x:v>2030-01</x:v>
      </x:c>
    </x:row>
    <x:row r="1831">
      <x:c r="A1831" s="2" t="n">
        <x:v>47487</x:v>
      </x:c>
      <x:c r="B1831" t="str">
        <x:f>CHOOSE(WEEKDAY(A1831,2),"Lunes","Martes","Miércoles","Jueves","Viernes","Sábado","Domingo")</x:f>
        <x:v>Viernes</x:v>
      </x:c>
      <x:c r="C1831" t="str">
        <x:f>IF(COUNTIF(FERIADOS!$A$2:$A$250,A1831)&gt;0,"SÍ","NO")</x:f>
        <x:v>NO</x:v>
      </x:c>
      <x:c r="D1831" t="str">
        <x:f>IF(AND(WEEKDAY(A1831,2)&lt;=5,C1831="NO"),"SÍ","NO")</x:f>
        <x:v>SÍ</x:v>
      </x:c>
      <x:c r="E1831" s="2" t="n">
        <x:f>WORKDAY.INTL(A1831-1,1,1,FERIADOS!$A$2:$A$250)</x:f>
        <x:v>47487</x:v>
      </x:c>
      <x:c r="F1831" t="str">
        <x:f>IF(E1831&gt;=WORKDAY.INTL(EOMONTH(E1831,0)+1,-2,1,FERIADOS!$A$2:$A$250),"SÍ","NO")</x:f>
        <x:v>NO</x:v>
      </x:c>
      <x:c r="G1831" s="2" t="n">
        <x:f>IF(F1831="SÍ",EOMONTH(E1831,0)+1,DATE(YEAR(E1831),MONTH(E1831),1))</x:f>
        <x:v>47484</x:v>
      </x:c>
      <x:c r="H1831" t="str">
        <x:f>IF(D1831="NO",IF(C1831="SÍ","FERIADO","FIN DE SEMANA"),"LABORABLE")&amp;IF(F1831="SÍ"," + CIERRE","")</x:f>
        <x:v>LABORABLE</x:v>
      </x:c>
      <x:c r="I1831" t="str">
        <x:f>TEXT(G1831,"yyyy-mm")</x:f>
        <x:v>2030-01</x:v>
      </x:c>
    </x:row>
    <x:row r="1832">
      <x:c r="A1832" s="2" t="n">
        <x:v>47488</x:v>
      </x:c>
      <x:c r="B1832" t="str">
        <x:f>CHOOSE(WEEKDAY(A1832,2),"Lunes","Martes","Miércoles","Jueves","Viernes","Sábado","Domingo")</x:f>
        <x:v>Sábado</x:v>
      </x:c>
      <x:c r="C1832" t="str">
        <x:f>IF(COUNTIF(FERIADOS!$A$2:$A$250,A1832)&gt;0,"SÍ","NO")</x:f>
        <x:v>NO</x:v>
      </x:c>
      <x:c r="D1832" t="str">
        <x:f>IF(AND(WEEKDAY(A1832,2)&lt;=5,C1832="NO"),"SÍ","NO")</x:f>
        <x:v>NO</x:v>
      </x:c>
      <x:c r="E1832" s="2" t="n">
        <x:f>WORKDAY.INTL(A1832-1,1,1,FERIADOS!$A$2:$A$250)</x:f>
        <x:v>47490</x:v>
      </x:c>
      <x:c r="F1832" t="str">
        <x:f>IF(E1832&gt;=WORKDAY.INTL(EOMONTH(E1832,0)+1,-2,1,FERIADOS!$A$2:$A$250),"SÍ","NO")</x:f>
        <x:v>NO</x:v>
      </x:c>
      <x:c r="G1832" s="2" t="n">
        <x:f>IF(F1832="SÍ",EOMONTH(E1832,0)+1,DATE(YEAR(E1832),MONTH(E1832),1))</x:f>
        <x:v>47484</x:v>
      </x:c>
      <x:c r="H1832" t="str">
        <x:f>IF(D1832="NO",IF(C1832="SÍ","FERIADO","FIN DE SEMANA"),"LABORABLE")&amp;IF(F1832="SÍ"," + CIERRE","")</x:f>
        <x:v>FIN DE SEMANA</x:v>
      </x:c>
      <x:c r="I1832" t="str">
        <x:f>TEXT(G1832,"yyyy-mm")</x:f>
        <x:v>2030-01</x:v>
      </x:c>
    </x:row>
    <x:row r="1833">
      <x:c r="A1833" s="2" t="n">
        <x:v>47489</x:v>
      </x:c>
      <x:c r="B1833" t="str">
        <x:f>CHOOSE(WEEKDAY(A1833,2),"Lunes","Martes","Miércoles","Jueves","Viernes","Sábado","Domingo")</x:f>
        <x:v>Domingo</x:v>
      </x:c>
      <x:c r="C1833" t="str">
        <x:f>IF(COUNTIF(FERIADOS!$A$2:$A$250,A1833)&gt;0,"SÍ","NO")</x:f>
        <x:v>NO</x:v>
      </x:c>
      <x:c r="D1833" t="str">
        <x:f>IF(AND(WEEKDAY(A1833,2)&lt;=5,C1833="NO"),"SÍ","NO")</x:f>
        <x:v>NO</x:v>
      </x:c>
      <x:c r="E1833" s="2" t="n">
        <x:f>WORKDAY.INTL(A1833-1,1,1,FERIADOS!$A$2:$A$250)</x:f>
        <x:v>47490</x:v>
      </x:c>
      <x:c r="F1833" t="str">
        <x:f>IF(E1833&gt;=WORKDAY.INTL(EOMONTH(E1833,0)+1,-2,1,FERIADOS!$A$2:$A$250),"SÍ","NO")</x:f>
        <x:v>NO</x:v>
      </x:c>
      <x:c r="G1833" s="2" t="n">
        <x:f>IF(F1833="SÍ",EOMONTH(E1833,0)+1,DATE(YEAR(E1833),MONTH(E1833),1))</x:f>
        <x:v>47484</x:v>
      </x:c>
      <x:c r="H1833" t="str">
        <x:f>IF(D1833="NO",IF(C1833="SÍ","FERIADO","FIN DE SEMANA"),"LABORABLE")&amp;IF(F1833="SÍ"," + CIERRE","")</x:f>
        <x:v>FIN DE SEMANA</x:v>
      </x:c>
      <x:c r="I1833" t="str">
        <x:f>TEXT(G1833,"yyyy-mm")</x:f>
        <x:v>2030-01</x:v>
      </x:c>
    </x:row>
    <x:row r="1834">
      <x:c r="A1834" s="2" t="n">
        <x:v>47490</x:v>
      </x:c>
      <x:c r="B1834" t="str">
        <x:f>CHOOSE(WEEKDAY(A1834,2),"Lunes","Martes","Miércoles","Jueves","Viernes","Sábado","Domingo")</x:f>
        <x:v>Lunes</x:v>
      </x:c>
      <x:c r="C1834" t="str">
        <x:f>IF(COUNTIF(FERIADOS!$A$2:$A$250,A1834)&gt;0,"SÍ","NO")</x:f>
        <x:v>NO</x:v>
      </x:c>
      <x:c r="D1834" t="str">
        <x:f>IF(AND(WEEKDAY(A1834,2)&lt;=5,C1834="NO"),"SÍ","NO")</x:f>
        <x:v>SÍ</x:v>
      </x:c>
      <x:c r="E1834" s="2" t="n">
        <x:f>WORKDAY.INTL(A1834-1,1,1,FERIADOS!$A$2:$A$250)</x:f>
        <x:v>47490</x:v>
      </x:c>
      <x:c r="F1834" t="str">
        <x:f>IF(E1834&gt;=WORKDAY.INTL(EOMONTH(E1834,0)+1,-2,1,FERIADOS!$A$2:$A$250),"SÍ","NO")</x:f>
        <x:v>NO</x:v>
      </x:c>
      <x:c r="G1834" s="2" t="n">
        <x:f>IF(F1834="SÍ",EOMONTH(E1834,0)+1,DATE(YEAR(E1834),MONTH(E1834),1))</x:f>
        <x:v>47484</x:v>
      </x:c>
      <x:c r="H1834" t="str">
        <x:f>IF(D1834="NO",IF(C1834="SÍ","FERIADO","FIN DE SEMANA"),"LABORABLE")&amp;IF(F1834="SÍ"," + CIERRE","")</x:f>
        <x:v>LABORABLE</x:v>
      </x:c>
      <x:c r="I1834" t="str">
        <x:f>TEXT(G1834,"yyyy-mm")</x:f>
        <x:v>2030-01</x:v>
      </x:c>
    </x:row>
    <x:row r="1835">
      <x:c r="A1835" s="2" t="n">
        <x:v>47491</x:v>
      </x:c>
      <x:c r="B1835" t="str">
        <x:f>CHOOSE(WEEKDAY(A1835,2),"Lunes","Martes","Miércoles","Jueves","Viernes","Sábado","Domingo")</x:f>
        <x:v>Martes</x:v>
      </x:c>
      <x:c r="C1835" t="str">
        <x:f>IF(COUNTIF(FERIADOS!$A$2:$A$250,A1835)&gt;0,"SÍ","NO")</x:f>
        <x:v>NO</x:v>
      </x:c>
      <x:c r="D1835" t="str">
        <x:f>IF(AND(WEEKDAY(A1835,2)&lt;=5,C1835="NO"),"SÍ","NO")</x:f>
        <x:v>SÍ</x:v>
      </x:c>
      <x:c r="E1835" s="2" t="n">
        <x:f>WORKDAY.INTL(A1835-1,1,1,FERIADOS!$A$2:$A$250)</x:f>
        <x:v>47491</x:v>
      </x:c>
      <x:c r="F1835" t="str">
        <x:f>IF(E1835&gt;=WORKDAY.INTL(EOMONTH(E1835,0)+1,-2,1,FERIADOS!$A$2:$A$250),"SÍ","NO")</x:f>
        <x:v>NO</x:v>
      </x:c>
      <x:c r="G1835" s="2" t="n">
        <x:f>IF(F1835="SÍ",EOMONTH(E1835,0)+1,DATE(YEAR(E1835),MONTH(E1835),1))</x:f>
        <x:v>47484</x:v>
      </x:c>
      <x:c r="H1835" t="str">
        <x:f>IF(D1835="NO",IF(C1835="SÍ","FERIADO","FIN DE SEMANA"),"LABORABLE")&amp;IF(F1835="SÍ"," + CIERRE","")</x:f>
        <x:v>LABORABLE</x:v>
      </x:c>
      <x:c r="I1835" t="str">
        <x:f>TEXT(G1835,"yyyy-mm")</x:f>
        <x:v>2030-01</x:v>
      </x:c>
    </x:row>
    <x:row r="1836">
      <x:c r="A1836" s="2" t="n">
        <x:v>47492</x:v>
      </x:c>
      <x:c r="B1836" t="str">
        <x:f>CHOOSE(WEEKDAY(A1836,2),"Lunes","Martes","Miércoles","Jueves","Viernes","Sábado","Domingo")</x:f>
        <x:v>Miércoles</x:v>
      </x:c>
      <x:c r="C1836" t="str">
        <x:f>IF(COUNTIF(FERIADOS!$A$2:$A$250,A1836)&gt;0,"SÍ","NO")</x:f>
        <x:v>NO</x:v>
      </x:c>
      <x:c r="D1836" t="str">
        <x:f>IF(AND(WEEKDAY(A1836,2)&lt;=5,C1836="NO"),"SÍ","NO")</x:f>
        <x:v>SÍ</x:v>
      </x:c>
      <x:c r="E1836" s="2" t="n">
        <x:f>WORKDAY.INTL(A1836-1,1,1,FERIADOS!$A$2:$A$250)</x:f>
        <x:v>47492</x:v>
      </x:c>
      <x:c r="F1836" t="str">
        <x:f>IF(E1836&gt;=WORKDAY.INTL(EOMONTH(E1836,0)+1,-2,1,FERIADOS!$A$2:$A$250),"SÍ","NO")</x:f>
        <x:v>NO</x:v>
      </x:c>
      <x:c r="G1836" s="2" t="n">
        <x:f>IF(F1836="SÍ",EOMONTH(E1836,0)+1,DATE(YEAR(E1836),MONTH(E1836),1))</x:f>
        <x:v>47484</x:v>
      </x:c>
      <x:c r="H1836" t="str">
        <x:f>IF(D1836="NO",IF(C1836="SÍ","FERIADO","FIN DE SEMANA"),"LABORABLE")&amp;IF(F1836="SÍ"," + CIERRE","")</x:f>
        <x:v>LABORABLE</x:v>
      </x:c>
      <x:c r="I1836" t="str">
        <x:f>TEXT(G1836,"yyyy-mm")</x:f>
        <x:v>2030-01</x:v>
      </x:c>
    </x:row>
    <x:row r="1837">
      <x:c r="A1837" s="2" t="n">
        <x:v>47493</x:v>
      </x:c>
      <x:c r="B1837" t="str">
        <x:f>CHOOSE(WEEKDAY(A1837,2),"Lunes","Martes","Miércoles","Jueves","Viernes","Sábado","Domingo")</x:f>
        <x:v>Jueves</x:v>
      </x:c>
      <x:c r="C1837" t="str">
        <x:f>IF(COUNTIF(FERIADOS!$A$2:$A$250,A1837)&gt;0,"SÍ","NO")</x:f>
        <x:v>NO</x:v>
      </x:c>
      <x:c r="D1837" t="str">
        <x:f>IF(AND(WEEKDAY(A1837,2)&lt;=5,C1837="NO"),"SÍ","NO")</x:f>
        <x:v>SÍ</x:v>
      </x:c>
      <x:c r="E1837" s="2" t="n">
        <x:f>WORKDAY.INTL(A1837-1,1,1,FERIADOS!$A$2:$A$250)</x:f>
        <x:v>47493</x:v>
      </x:c>
      <x:c r="F1837" t="str">
        <x:f>IF(E1837&gt;=WORKDAY.INTL(EOMONTH(E1837,0)+1,-2,1,FERIADOS!$A$2:$A$250),"SÍ","NO")</x:f>
        <x:v>NO</x:v>
      </x:c>
      <x:c r="G1837" s="2" t="n">
        <x:f>IF(F1837="SÍ",EOMONTH(E1837,0)+1,DATE(YEAR(E1837),MONTH(E1837),1))</x:f>
        <x:v>47484</x:v>
      </x:c>
      <x:c r="H1837" t="str">
        <x:f>IF(D1837="NO",IF(C1837="SÍ","FERIADO","FIN DE SEMANA"),"LABORABLE")&amp;IF(F1837="SÍ"," + CIERRE","")</x:f>
        <x:v>LABORABLE</x:v>
      </x:c>
      <x:c r="I1837" t="str">
        <x:f>TEXT(G1837,"yyyy-mm")</x:f>
        <x:v>2030-01</x:v>
      </x:c>
    </x:row>
    <x:row r="1838">
      <x:c r="A1838" s="2" t="n">
        <x:v>47494</x:v>
      </x:c>
      <x:c r="B1838" t="str">
        <x:f>CHOOSE(WEEKDAY(A1838,2),"Lunes","Martes","Miércoles","Jueves","Viernes","Sábado","Domingo")</x:f>
        <x:v>Viernes</x:v>
      </x:c>
      <x:c r="C1838" t="str">
        <x:f>IF(COUNTIF(FERIADOS!$A$2:$A$250,A1838)&gt;0,"SÍ","NO")</x:f>
        <x:v>NO</x:v>
      </x:c>
      <x:c r="D1838" t="str">
        <x:f>IF(AND(WEEKDAY(A1838,2)&lt;=5,C1838="NO"),"SÍ","NO")</x:f>
        <x:v>SÍ</x:v>
      </x:c>
      <x:c r="E1838" s="2" t="n">
        <x:f>WORKDAY.INTL(A1838-1,1,1,FERIADOS!$A$2:$A$250)</x:f>
        <x:v>47494</x:v>
      </x:c>
      <x:c r="F1838" t="str">
        <x:f>IF(E1838&gt;=WORKDAY.INTL(EOMONTH(E1838,0)+1,-2,1,FERIADOS!$A$2:$A$250),"SÍ","NO")</x:f>
        <x:v>NO</x:v>
      </x:c>
      <x:c r="G1838" s="2" t="n">
        <x:f>IF(F1838="SÍ",EOMONTH(E1838,0)+1,DATE(YEAR(E1838),MONTH(E1838),1))</x:f>
        <x:v>47484</x:v>
      </x:c>
      <x:c r="H1838" t="str">
        <x:f>IF(D1838="NO",IF(C1838="SÍ","FERIADO","FIN DE SEMANA"),"LABORABLE")&amp;IF(F1838="SÍ"," + CIERRE","")</x:f>
        <x:v>LABORABLE</x:v>
      </x:c>
      <x:c r="I1838" t="str">
        <x:f>TEXT(G1838,"yyyy-mm")</x:f>
        <x:v>2030-01</x:v>
      </x:c>
    </x:row>
    <x:row r="1839">
      <x:c r="A1839" s="2" t="n">
        <x:v>47495</x:v>
      </x:c>
      <x:c r="B1839" t="str">
        <x:f>CHOOSE(WEEKDAY(A1839,2),"Lunes","Martes","Miércoles","Jueves","Viernes","Sábado","Domingo")</x:f>
        <x:v>Sábado</x:v>
      </x:c>
      <x:c r="C1839" t="str">
        <x:f>IF(COUNTIF(FERIADOS!$A$2:$A$250,A1839)&gt;0,"SÍ","NO")</x:f>
        <x:v>NO</x:v>
      </x:c>
      <x:c r="D1839" t="str">
        <x:f>IF(AND(WEEKDAY(A1839,2)&lt;=5,C1839="NO"),"SÍ","NO")</x:f>
        <x:v>NO</x:v>
      </x:c>
      <x:c r="E1839" s="2" t="n">
        <x:f>WORKDAY.INTL(A1839-1,1,1,FERIADOS!$A$2:$A$250)</x:f>
        <x:v>47497</x:v>
      </x:c>
      <x:c r="F1839" t="str">
        <x:f>IF(E1839&gt;=WORKDAY.INTL(EOMONTH(E1839,0)+1,-2,1,FERIADOS!$A$2:$A$250),"SÍ","NO")</x:f>
        <x:v>NO</x:v>
      </x:c>
      <x:c r="G1839" s="2" t="n">
        <x:f>IF(F1839="SÍ",EOMONTH(E1839,0)+1,DATE(YEAR(E1839),MONTH(E1839),1))</x:f>
        <x:v>47484</x:v>
      </x:c>
      <x:c r="H1839" t="str">
        <x:f>IF(D1839="NO",IF(C1839="SÍ","FERIADO","FIN DE SEMANA"),"LABORABLE")&amp;IF(F1839="SÍ"," + CIERRE","")</x:f>
        <x:v>FIN DE SEMANA</x:v>
      </x:c>
      <x:c r="I1839" t="str">
        <x:f>TEXT(G1839,"yyyy-mm")</x:f>
        <x:v>2030-01</x:v>
      </x:c>
    </x:row>
    <x:row r="1840">
      <x:c r="A1840" s="2" t="n">
        <x:v>47496</x:v>
      </x:c>
      <x:c r="B1840" t="str">
        <x:f>CHOOSE(WEEKDAY(A1840,2),"Lunes","Martes","Miércoles","Jueves","Viernes","Sábado","Domingo")</x:f>
        <x:v>Domingo</x:v>
      </x:c>
      <x:c r="C1840" t="str">
        <x:f>IF(COUNTIF(FERIADOS!$A$2:$A$250,A1840)&gt;0,"SÍ","NO")</x:f>
        <x:v>NO</x:v>
      </x:c>
      <x:c r="D1840" t="str">
        <x:f>IF(AND(WEEKDAY(A1840,2)&lt;=5,C1840="NO"),"SÍ","NO")</x:f>
        <x:v>NO</x:v>
      </x:c>
      <x:c r="E1840" s="2" t="n">
        <x:f>WORKDAY.INTL(A1840-1,1,1,FERIADOS!$A$2:$A$250)</x:f>
        <x:v>47497</x:v>
      </x:c>
      <x:c r="F1840" t="str">
        <x:f>IF(E1840&gt;=WORKDAY.INTL(EOMONTH(E1840,0)+1,-2,1,FERIADOS!$A$2:$A$250),"SÍ","NO")</x:f>
        <x:v>NO</x:v>
      </x:c>
      <x:c r="G1840" s="2" t="n">
        <x:f>IF(F1840="SÍ",EOMONTH(E1840,0)+1,DATE(YEAR(E1840),MONTH(E1840),1))</x:f>
        <x:v>47484</x:v>
      </x:c>
      <x:c r="H1840" t="str">
        <x:f>IF(D1840="NO",IF(C1840="SÍ","FERIADO","FIN DE SEMANA"),"LABORABLE")&amp;IF(F1840="SÍ"," + CIERRE","")</x:f>
        <x:v>FIN DE SEMANA</x:v>
      </x:c>
      <x:c r="I1840" t="str">
        <x:f>TEXT(G1840,"yyyy-mm")</x:f>
        <x:v>2030-01</x:v>
      </x:c>
    </x:row>
    <x:row r="1841">
      <x:c r="A1841" s="2" t="n">
        <x:v>47497</x:v>
      </x:c>
      <x:c r="B1841" t="str">
        <x:f>CHOOSE(WEEKDAY(A1841,2),"Lunes","Martes","Miércoles","Jueves","Viernes","Sábado","Domingo")</x:f>
        <x:v>Lunes</x:v>
      </x:c>
      <x:c r="C1841" t="str">
        <x:f>IF(COUNTIF(FERIADOS!$A$2:$A$250,A1841)&gt;0,"SÍ","NO")</x:f>
        <x:v>NO</x:v>
      </x:c>
      <x:c r="D1841" t="str">
        <x:f>IF(AND(WEEKDAY(A1841,2)&lt;=5,C1841="NO"),"SÍ","NO")</x:f>
        <x:v>SÍ</x:v>
      </x:c>
      <x:c r="E1841" s="2" t="n">
        <x:f>WORKDAY.INTL(A1841-1,1,1,FERIADOS!$A$2:$A$250)</x:f>
        <x:v>47497</x:v>
      </x:c>
      <x:c r="F1841" t="str">
        <x:f>IF(E1841&gt;=WORKDAY.INTL(EOMONTH(E1841,0)+1,-2,1,FERIADOS!$A$2:$A$250),"SÍ","NO")</x:f>
        <x:v>NO</x:v>
      </x:c>
      <x:c r="G1841" s="2" t="n">
        <x:f>IF(F1841="SÍ",EOMONTH(E1841,0)+1,DATE(YEAR(E1841),MONTH(E1841),1))</x:f>
        <x:v>47484</x:v>
      </x:c>
      <x:c r="H1841" t="str">
        <x:f>IF(D1841="NO",IF(C1841="SÍ","FERIADO","FIN DE SEMANA"),"LABORABLE")&amp;IF(F1841="SÍ"," + CIERRE","")</x:f>
        <x:v>LABORABLE</x:v>
      </x:c>
      <x:c r="I1841" t="str">
        <x:f>TEXT(G1841,"yyyy-mm")</x:f>
        <x:v>2030-01</x:v>
      </x:c>
    </x:row>
    <x:row r="1842">
      <x:c r="A1842" s="2" t="n">
        <x:v>47498</x:v>
      </x:c>
      <x:c r="B1842" t="str">
        <x:f>CHOOSE(WEEKDAY(A1842,2),"Lunes","Martes","Miércoles","Jueves","Viernes","Sábado","Domingo")</x:f>
        <x:v>Martes</x:v>
      </x:c>
      <x:c r="C1842" t="str">
        <x:f>IF(COUNTIF(FERIADOS!$A$2:$A$250,A1842)&gt;0,"SÍ","NO")</x:f>
        <x:v>NO</x:v>
      </x:c>
      <x:c r="D1842" t="str">
        <x:f>IF(AND(WEEKDAY(A1842,2)&lt;=5,C1842="NO"),"SÍ","NO")</x:f>
        <x:v>SÍ</x:v>
      </x:c>
      <x:c r="E1842" s="2" t="n">
        <x:f>WORKDAY.INTL(A1842-1,1,1,FERIADOS!$A$2:$A$250)</x:f>
        <x:v>47498</x:v>
      </x:c>
      <x:c r="F1842" t="str">
        <x:f>IF(E1842&gt;=WORKDAY.INTL(EOMONTH(E1842,0)+1,-2,1,FERIADOS!$A$2:$A$250),"SÍ","NO")</x:f>
        <x:v>NO</x:v>
      </x:c>
      <x:c r="G1842" s="2" t="n">
        <x:f>IF(F1842="SÍ",EOMONTH(E1842,0)+1,DATE(YEAR(E1842),MONTH(E1842),1))</x:f>
        <x:v>47484</x:v>
      </x:c>
      <x:c r="H1842" t="str">
        <x:f>IF(D1842="NO",IF(C1842="SÍ","FERIADO","FIN DE SEMANA"),"LABORABLE")&amp;IF(F1842="SÍ"," + CIERRE","")</x:f>
        <x:v>LABORABLE</x:v>
      </x:c>
      <x:c r="I1842" t="str">
        <x:f>TEXT(G1842,"yyyy-mm")</x:f>
        <x:v>2030-01</x:v>
      </x:c>
    </x:row>
    <x:row r="1843">
      <x:c r="A1843" s="2" t="n">
        <x:v>47499</x:v>
      </x:c>
      <x:c r="B1843" t="str">
        <x:f>CHOOSE(WEEKDAY(A1843,2),"Lunes","Martes","Miércoles","Jueves","Viernes","Sábado","Domingo")</x:f>
        <x:v>Miércoles</x:v>
      </x:c>
      <x:c r="C1843" t="str">
        <x:f>IF(COUNTIF(FERIADOS!$A$2:$A$250,A1843)&gt;0,"SÍ","NO")</x:f>
        <x:v>NO</x:v>
      </x:c>
      <x:c r="D1843" t="str">
        <x:f>IF(AND(WEEKDAY(A1843,2)&lt;=5,C1843="NO"),"SÍ","NO")</x:f>
        <x:v>SÍ</x:v>
      </x:c>
      <x:c r="E1843" s="2" t="n">
        <x:f>WORKDAY.INTL(A1843-1,1,1,FERIADOS!$A$2:$A$250)</x:f>
        <x:v>47499</x:v>
      </x:c>
      <x:c r="F1843" t="str">
        <x:f>IF(E1843&gt;=WORKDAY.INTL(EOMONTH(E1843,0)+1,-2,1,FERIADOS!$A$2:$A$250),"SÍ","NO")</x:f>
        <x:v>NO</x:v>
      </x:c>
      <x:c r="G1843" s="2" t="n">
        <x:f>IF(F1843="SÍ",EOMONTH(E1843,0)+1,DATE(YEAR(E1843),MONTH(E1843),1))</x:f>
        <x:v>47484</x:v>
      </x:c>
      <x:c r="H1843" t="str">
        <x:f>IF(D1843="NO",IF(C1843="SÍ","FERIADO","FIN DE SEMANA"),"LABORABLE")&amp;IF(F1843="SÍ"," + CIERRE","")</x:f>
        <x:v>LABORABLE</x:v>
      </x:c>
      <x:c r="I1843" t="str">
        <x:f>TEXT(G1843,"yyyy-mm")</x:f>
        <x:v>2030-01</x:v>
      </x:c>
    </x:row>
    <x:row r="1844">
      <x:c r="A1844" s="2" t="n">
        <x:v>47500</x:v>
      </x:c>
      <x:c r="B1844" t="str">
        <x:f>CHOOSE(WEEKDAY(A1844,2),"Lunes","Martes","Miércoles","Jueves","Viernes","Sábado","Domingo")</x:f>
        <x:v>Jueves</x:v>
      </x:c>
      <x:c r="C1844" t="str">
        <x:f>IF(COUNTIF(FERIADOS!$A$2:$A$250,A1844)&gt;0,"SÍ","NO")</x:f>
        <x:v>NO</x:v>
      </x:c>
      <x:c r="D1844" t="str">
        <x:f>IF(AND(WEEKDAY(A1844,2)&lt;=5,C1844="NO"),"SÍ","NO")</x:f>
        <x:v>SÍ</x:v>
      </x:c>
      <x:c r="E1844" s="2" t="n">
        <x:f>WORKDAY.INTL(A1844-1,1,1,FERIADOS!$A$2:$A$250)</x:f>
        <x:v>47500</x:v>
      </x:c>
      <x:c r="F1844" t="str">
        <x:f>IF(E1844&gt;=WORKDAY.INTL(EOMONTH(E1844,0)+1,-2,1,FERIADOS!$A$2:$A$250),"SÍ","NO")</x:f>
        <x:v>NO</x:v>
      </x:c>
      <x:c r="G1844" s="2" t="n">
        <x:f>IF(F1844="SÍ",EOMONTH(E1844,0)+1,DATE(YEAR(E1844),MONTH(E1844),1))</x:f>
        <x:v>47484</x:v>
      </x:c>
      <x:c r="H1844" t="str">
        <x:f>IF(D1844="NO",IF(C1844="SÍ","FERIADO","FIN DE SEMANA"),"LABORABLE")&amp;IF(F1844="SÍ"," + CIERRE","")</x:f>
        <x:v>LABORABLE</x:v>
      </x:c>
      <x:c r="I1844" t="str">
        <x:f>TEXT(G1844,"yyyy-mm")</x:f>
        <x:v>2030-01</x:v>
      </x:c>
    </x:row>
    <x:row r="1845">
      <x:c r="A1845" s="2" t="n">
        <x:v>47501</x:v>
      </x:c>
      <x:c r="B1845" t="str">
        <x:f>CHOOSE(WEEKDAY(A1845,2),"Lunes","Martes","Miércoles","Jueves","Viernes","Sábado","Domingo")</x:f>
        <x:v>Viernes</x:v>
      </x:c>
      <x:c r="C1845" t="str">
        <x:f>IF(COUNTIF(FERIADOS!$A$2:$A$250,A1845)&gt;0,"SÍ","NO")</x:f>
        <x:v>NO</x:v>
      </x:c>
      <x:c r="D1845" t="str">
        <x:f>IF(AND(WEEKDAY(A1845,2)&lt;=5,C1845="NO"),"SÍ","NO")</x:f>
        <x:v>SÍ</x:v>
      </x:c>
      <x:c r="E1845" s="2" t="n">
        <x:f>WORKDAY.INTL(A1845-1,1,1,FERIADOS!$A$2:$A$250)</x:f>
        <x:v>47501</x:v>
      </x:c>
      <x:c r="F1845" t="str">
        <x:f>IF(E1845&gt;=WORKDAY.INTL(EOMONTH(E1845,0)+1,-2,1,FERIADOS!$A$2:$A$250),"SÍ","NO")</x:f>
        <x:v>NO</x:v>
      </x:c>
      <x:c r="G1845" s="2" t="n">
        <x:f>IF(F1845="SÍ",EOMONTH(E1845,0)+1,DATE(YEAR(E1845),MONTH(E1845),1))</x:f>
        <x:v>47484</x:v>
      </x:c>
      <x:c r="H1845" t="str">
        <x:f>IF(D1845="NO",IF(C1845="SÍ","FERIADO","FIN DE SEMANA"),"LABORABLE")&amp;IF(F1845="SÍ"," + CIERRE","")</x:f>
        <x:v>LABORABLE</x:v>
      </x:c>
      <x:c r="I1845" t="str">
        <x:f>TEXT(G1845,"yyyy-mm")</x:f>
        <x:v>2030-01</x:v>
      </x:c>
    </x:row>
    <x:row r="1846">
      <x:c r="A1846" s="2" t="n">
        <x:v>47502</x:v>
      </x:c>
      <x:c r="B1846" t="str">
        <x:f>CHOOSE(WEEKDAY(A1846,2),"Lunes","Martes","Miércoles","Jueves","Viernes","Sábado","Domingo")</x:f>
        <x:v>Sábado</x:v>
      </x:c>
      <x:c r="C1846" t="str">
        <x:f>IF(COUNTIF(FERIADOS!$A$2:$A$250,A1846)&gt;0,"SÍ","NO")</x:f>
        <x:v>NO</x:v>
      </x:c>
      <x:c r="D1846" t="str">
        <x:f>IF(AND(WEEKDAY(A1846,2)&lt;=5,C1846="NO"),"SÍ","NO")</x:f>
        <x:v>NO</x:v>
      </x:c>
      <x:c r="E1846" s="2" t="n">
        <x:f>WORKDAY.INTL(A1846-1,1,1,FERIADOS!$A$2:$A$250)</x:f>
        <x:v>47504</x:v>
      </x:c>
      <x:c r="F1846" t="str">
        <x:f>IF(E1846&gt;=WORKDAY.INTL(EOMONTH(E1846,0)+1,-2,1,FERIADOS!$A$2:$A$250),"SÍ","NO")</x:f>
        <x:v>NO</x:v>
      </x:c>
      <x:c r="G1846" s="2" t="n">
        <x:f>IF(F1846="SÍ",EOMONTH(E1846,0)+1,DATE(YEAR(E1846),MONTH(E1846),1))</x:f>
        <x:v>47484</x:v>
      </x:c>
      <x:c r="H1846" t="str">
        <x:f>IF(D1846="NO",IF(C1846="SÍ","FERIADO","FIN DE SEMANA"),"LABORABLE")&amp;IF(F1846="SÍ"," + CIERRE","")</x:f>
        <x:v>FIN DE SEMANA</x:v>
      </x:c>
      <x:c r="I1846" t="str">
        <x:f>TEXT(G1846,"yyyy-mm")</x:f>
        <x:v>2030-01</x:v>
      </x:c>
    </x:row>
    <x:row r="1847">
      <x:c r="A1847" s="2" t="n">
        <x:v>47503</x:v>
      </x:c>
      <x:c r="B1847" t="str">
        <x:f>CHOOSE(WEEKDAY(A1847,2),"Lunes","Martes","Miércoles","Jueves","Viernes","Sábado","Domingo")</x:f>
        <x:v>Domingo</x:v>
      </x:c>
      <x:c r="C1847" t="str">
        <x:f>IF(COUNTIF(FERIADOS!$A$2:$A$250,A1847)&gt;0,"SÍ","NO")</x:f>
        <x:v>NO</x:v>
      </x:c>
      <x:c r="D1847" t="str">
        <x:f>IF(AND(WEEKDAY(A1847,2)&lt;=5,C1847="NO"),"SÍ","NO")</x:f>
        <x:v>NO</x:v>
      </x:c>
      <x:c r="E1847" s="2" t="n">
        <x:f>WORKDAY.INTL(A1847-1,1,1,FERIADOS!$A$2:$A$250)</x:f>
        <x:v>47504</x:v>
      </x:c>
      <x:c r="F1847" t="str">
        <x:f>IF(E1847&gt;=WORKDAY.INTL(EOMONTH(E1847,0)+1,-2,1,FERIADOS!$A$2:$A$250),"SÍ","NO")</x:f>
        <x:v>NO</x:v>
      </x:c>
      <x:c r="G1847" s="2" t="n">
        <x:f>IF(F1847="SÍ",EOMONTH(E1847,0)+1,DATE(YEAR(E1847),MONTH(E1847),1))</x:f>
        <x:v>47484</x:v>
      </x:c>
      <x:c r="H1847" t="str">
        <x:f>IF(D1847="NO",IF(C1847="SÍ","FERIADO","FIN DE SEMANA"),"LABORABLE")&amp;IF(F1847="SÍ"," + CIERRE","")</x:f>
        <x:v>FIN DE SEMANA</x:v>
      </x:c>
      <x:c r="I1847" t="str">
        <x:f>TEXT(G1847,"yyyy-mm")</x:f>
        <x:v>2030-01</x:v>
      </x:c>
    </x:row>
    <x:row r="1848">
      <x:c r="A1848" s="2" t="n">
        <x:v>47504</x:v>
      </x:c>
      <x:c r="B1848" t="str">
        <x:f>CHOOSE(WEEKDAY(A1848,2),"Lunes","Martes","Miércoles","Jueves","Viernes","Sábado","Domingo")</x:f>
        <x:v>Lunes</x:v>
      </x:c>
      <x:c r="C1848" t="str">
        <x:f>IF(COUNTIF(FERIADOS!$A$2:$A$250,A1848)&gt;0,"SÍ","NO")</x:f>
        <x:v>NO</x:v>
      </x:c>
      <x:c r="D1848" t="str">
        <x:f>IF(AND(WEEKDAY(A1848,2)&lt;=5,C1848="NO"),"SÍ","NO")</x:f>
        <x:v>SÍ</x:v>
      </x:c>
      <x:c r="E1848" s="2" t="n">
        <x:f>WORKDAY.INTL(A1848-1,1,1,FERIADOS!$A$2:$A$250)</x:f>
        <x:v>47504</x:v>
      </x:c>
      <x:c r="F1848" t="str">
        <x:f>IF(E1848&gt;=WORKDAY.INTL(EOMONTH(E1848,0)+1,-2,1,FERIADOS!$A$2:$A$250),"SÍ","NO")</x:f>
        <x:v>NO</x:v>
      </x:c>
      <x:c r="G1848" s="2" t="n">
        <x:f>IF(F1848="SÍ",EOMONTH(E1848,0)+1,DATE(YEAR(E1848),MONTH(E1848),1))</x:f>
        <x:v>47484</x:v>
      </x:c>
      <x:c r="H1848" t="str">
        <x:f>IF(D1848="NO",IF(C1848="SÍ","FERIADO","FIN DE SEMANA"),"LABORABLE")&amp;IF(F1848="SÍ"," + CIERRE","")</x:f>
        <x:v>LABORABLE</x:v>
      </x:c>
      <x:c r="I1848" t="str">
        <x:f>TEXT(G1848,"yyyy-mm")</x:f>
        <x:v>2030-01</x:v>
      </x:c>
    </x:row>
    <x:row r="1849">
      <x:c r="A1849" s="2" t="n">
        <x:v>47505</x:v>
      </x:c>
      <x:c r="B1849" t="str">
        <x:f>CHOOSE(WEEKDAY(A1849,2),"Lunes","Martes","Miércoles","Jueves","Viernes","Sábado","Domingo")</x:f>
        <x:v>Martes</x:v>
      </x:c>
      <x:c r="C1849" t="str">
        <x:f>IF(COUNTIF(FERIADOS!$A$2:$A$250,A1849)&gt;0,"SÍ","NO")</x:f>
        <x:v>NO</x:v>
      </x:c>
      <x:c r="D1849" t="str">
        <x:f>IF(AND(WEEKDAY(A1849,2)&lt;=5,C1849="NO"),"SÍ","NO")</x:f>
        <x:v>SÍ</x:v>
      </x:c>
      <x:c r="E1849" s="2" t="n">
        <x:f>WORKDAY.INTL(A1849-1,1,1,FERIADOS!$A$2:$A$250)</x:f>
        <x:v>47505</x:v>
      </x:c>
      <x:c r="F1849" t="str">
        <x:f>IF(E1849&gt;=WORKDAY.INTL(EOMONTH(E1849,0)+1,-2,1,FERIADOS!$A$2:$A$250),"SÍ","NO")</x:f>
        <x:v>NO</x:v>
      </x:c>
      <x:c r="G1849" s="2" t="n">
        <x:f>IF(F1849="SÍ",EOMONTH(E1849,0)+1,DATE(YEAR(E1849),MONTH(E1849),1))</x:f>
        <x:v>47484</x:v>
      </x:c>
      <x:c r="H1849" t="str">
        <x:f>IF(D1849="NO",IF(C1849="SÍ","FERIADO","FIN DE SEMANA"),"LABORABLE")&amp;IF(F1849="SÍ"," + CIERRE","")</x:f>
        <x:v>LABORABLE</x:v>
      </x:c>
      <x:c r="I1849" t="str">
        <x:f>TEXT(G1849,"yyyy-mm")</x:f>
        <x:v>2030-01</x:v>
      </x:c>
    </x:row>
    <x:row r="1850">
      <x:c r="A1850" s="2" t="n">
        <x:v>47506</x:v>
      </x:c>
      <x:c r="B1850" t="str">
        <x:f>CHOOSE(WEEKDAY(A1850,2),"Lunes","Martes","Miércoles","Jueves","Viernes","Sábado","Domingo")</x:f>
        <x:v>Miércoles</x:v>
      </x:c>
      <x:c r="C1850" t="str">
        <x:f>IF(COUNTIF(FERIADOS!$A$2:$A$250,A1850)&gt;0,"SÍ","NO")</x:f>
        <x:v>NO</x:v>
      </x:c>
      <x:c r="D1850" t="str">
        <x:f>IF(AND(WEEKDAY(A1850,2)&lt;=5,C1850="NO"),"SÍ","NO")</x:f>
        <x:v>SÍ</x:v>
      </x:c>
      <x:c r="E1850" s="2" t="n">
        <x:f>WORKDAY.INTL(A1850-1,1,1,FERIADOS!$A$2:$A$250)</x:f>
        <x:v>47506</x:v>
      </x:c>
      <x:c r="F1850" t="str">
        <x:f>IF(E1850&gt;=WORKDAY.INTL(EOMONTH(E1850,0)+1,-2,1,FERIADOS!$A$2:$A$250),"SÍ","NO")</x:f>
        <x:v>NO</x:v>
      </x:c>
      <x:c r="G1850" s="2" t="n">
        <x:f>IF(F1850="SÍ",EOMONTH(E1850,0)+1,DATE(YEAR(E1850),MONTH(E1850),1))</x:f>
        <x:v>47484</x:v>
      </x:c>
      <x:c r="H1850" t="str">
        <x:f>IF(D1850="NO",IF(C1850="SÍ","FERIADO","FIN DE SEMANA"),"LABORABLE")&amp;IF(F1850="SÍ"," + CIERRE","")</x:f>
        <x:v>LABORABLE</x:v>
      </x:c>
      <x:c r="I1850" t="str">
        <x:f>TEXT(G1850,"yyyy-mm")</x:f>
        <x:v>2030-01</x:v>
      </x:c>
    </x:row>
    <x:row r="1851">
      <x:c r="A1851" s="2" t="n">
        <x:v>47507</x:v>
      </x:c>
      <x:c r="B1851" t="str">
        <x:f>CHOOSE(WEEKDAY(A1851,2),"Lunes","Martes","Miércoles","Jueves","Viernes","Sábado","Domingo")</x:f>
        <x:v>Jueves</x:v>
      </x:c>
      <x:c r="C1851" t="str">
        <x:f>IF(COUNTIF(FERIADOS!$A$2:$A$250,A1851)&gt;0,"SÍ","NO")</x:f>
        <x:v>NO</x:v>
      </x:c>
      <x:c r="D1851" t="str">
        <x:f>IF(AND(WEEKDAY(A1851,2)&lt;=5,C1851="NO"),"SÍ","NO")</x:f>
        <x:v>SÍ</x:v>
      </x:c>
      <x:c r="E1851" s="2" t="n">
        <x:f>WORKDAY.INTL(A1851-1,1,1,FERIADOS!$A$2:$A$250)</x:f>
        <x:v>47507</x:v>
      </x:c>
      <x:c r="F1851" t="str">
        <x:f>IF(E1851&gt;=WORKDAY.INTL(EOMONTH(E1851,0)+1,-2,1,FERIADOS!$A$2:$A$250),"SÍ","NO")</x:f>
        <x:v>NO</x:v>
      </x:c>
      <x:c r="G1851" s="2" t="n">
        <x:f>IF(F1851="SÍ",EOMONTH(E1851,0)+1,DATE(YEAR(E1851),MONTH(E1851),1))</x:f>
        <x:v>47484</x:v>
      </x:c>
      <x:c r="H1851" t="str">
        <x:f>IF(D1851="NO",IF(C1851="SÍ","FERIADO","FIN DE SEMANA"),"LABORABLE")&amp;IF(F1851="SÍ"," + CIERRE","")</x:f>
        <x:v>LABORABLE</x:v>
      </x:c>
      <x:c r="I1851" t="str">
        <x:f>TEXT(G1851,"yyyy-mm")</x:f>
        <x:v>2030-01</x:v>
      </x:c>
    </x:row>
    <x:row r="1852">
      <x:c r="A1852" s="2" t="n">
        <x:v>47508</x:v>
      </x:c>
      <x:c r="B1852" t="str">
        <x:f>CHOOSE(WEEKDAY(A1852,2),"Lunes","Martes","Miércoles","Jueves","Viernes","Sábado","Domingo")</x:f>
        <x:v>Viernes</x:v>
      </x:c>
      <x:c r="C1852" t="str">
        <x:f>IF(COUNTIF(FERIADOS!$A$2:$A$250,A1852)&gt;0,"SÍ","NO")</x:f>
        <x:v>NO</x:v>
      </x:c>
      <x:c r="D1852" t="str">
        <x:f>IF(AND(WEEKDAY(A1852,2)&lt;=5,C1852="NO"),"SÍ","NO")</x:f>
        <x:v>SÍ</x:v>
      </x:c>
      <x:c r="E1852" s="2" t="n">
        <x:f>WORKDAY.INTL(A1852-1,1,1,FERIADOS!$A$2:$A$250)</x:f>
        <x:v>47508</x:v>
      </x:c>
      <x:c r="F1852" t="str">
        <x:f>IF(E1852&gt;=WORKDAY.INTL(EOMONTH(E1852,0)+1,-2,1,FERIADOS!$A$2:$A$250),"SÍ","NO")</x:f>
        <x:v>NO</x:v>
      </x:c>
      <x:c r="G1852" s="2" t="n">
        <x:f>IF(F1852="SÍ",EOMONTH(E1852,0)+1,DATE(YEAR(E1852),MONTH(E1852),1))</x:f>
        <x:v>47484</x:v>
      </x:c>
      <x:c r="H1852" t="str">
        <x:f>IF(D1852="NO",IF(C1852="SÍ","FERIADO","FIN DE SEMANA"),"LABORABLE")&amp;IF(F1852="SÍ"," + CIERRE","")</x:f>
        <x:v>LABORABLE</x:v>
      </x:c>
      <x:c r="I1852" t="str">
        <x:f>TEXT(G1852,"yyyy-mm")</x:f>
        <x:v>2030-01</x:v>
      </x:c>
    </x:row>
    <x:row r="1853">
      <x:c r="A1853" s="2" t="n">
        <x:v>47509</x:v>
      </x:c>
      <x:c r="B1853" t="str">
        <x:f>CHOOSE(WEEKDAY(A1853,2),"Lunes","Martes","Miércoles","Jueves","Viernes","Sábado","Domingo")</x:f>
        <x:v>Sábado</x:v>
      </x:c>
      <x:c r="C1853" t="str">
        <x:f>IF(COUNTIF(FERIADOS!$A$2:$A$250,A1853)&gt;0,"SÍ","NO")</x:f>
        <x:v>NO</x:v>
      </x:c>
      <x:c r="D1853" t="str">
        <x:f>IF(AND(WEEKDAY(A1853,2)&lt;=5,C1853="NO"),"SÍ","NO")</x:f>
        <x:v>NO</x:v>
      </x:c>
      <x:c r="E1853" s="2" t="n">
        <x:f>WORKDAY.INTL(A1853-1,1,1,FERIADOS!$A$2:$A$250)</x:f>
        <x:v>47511</x:v>
      </x:c>
      <x:c r="F1853" t="str">
        <x:f>IF(E1853&gt;=WORKDAY.INTL(EOMONTH(E1853,0)+1,-2,1,FERIADOS!$A$2:$A$250),"SÍ","NO")</x:f>
        <x:v>NO</x:v>
      </x:c>
      <x:c r="G1853" s="2" t="n">
        <x:f>IF(F1853="SÍ",EOMONTH(E1853,0)+1,DATE(YEAR(E1853),MONTH(E1853),1))</x:f>
        <x:v>47484</x:v>
      </x:c>
      <x:c r="H1853" t="str">
        <x:f>IF(D1853="NO",IF(C1853="SÍ","FERIADO","FIN DE SEMANA"),"LABORABLE")&amp;IF(F1853="SÍ"," + CIERRE","")</x:f>
        <x:v>FIN DE SEMANA</x:v>
      </x:c>
      <x:c r="I1853" t="str">
        <x:f>TEXT(G1853,"yyyy-mm")</x:f>
        <x:v>2030-01</x:v>
      </x:c>
    </x:row>
    <x:row r="1854">
      <x:c r="A1854" s="2" t="n">
        <x:v>47510</x:v>
      </x:c>
      <x:c r="B1854" t="str">
        <x:f>CHOOSE(WEEKDAY(A1854,2),"Lunes","Martes","Miércoles","Jueves","Viernes","Sábado","Domingo")</x:f>
        <x:v>Domingo</x:v>
      </x:c>
      <x:c r="C1854" t="str">
        <x:f>IF(COUNTIF(FERIADOS!$A$2:$A$250,A1854)&gt;0,"SÍ","NO")</x:f>
        <x:v>NO</x:v>
      </x:c>
      <x:c r="D1854" t="str">
        <x:f>IF(AND(WEEKDAY(A1854,2)&lt;=5,C1854="NO"),"SÍ","NO")</x:f>
        <x:v>NO</x:v>
      </x:c>
      <x:c r="E1854" s="2" t="n">
        <x:f>WORKDAY.INTL(A1854-1,1,1,FERIADOS!$A$2:$A$250)</x:f>
        <x:v>47511</x:v>
      </x:c>
      <x:c r="F1854" t="str">
        <x:f>IF(E1854&gt;=WORKDAY.INTL(EOMONTH(E1854,0)+1,-2,1,FERIADOS!$A$2:$A$250),"SÍ","NO")</x:f>
        <x:v>NO</x:v>
      </x:c>
      <x:c r="G1854" s="2" t="n">
        <x:f>IF(F1854="SÍ",EOMONTH(E1854,0)+1,DATE(YEAR(E1854),MONTH(E1854),1))</x:f>
        <x:v>47484</x:v>
      </x:c>
      <x:c r="H1854" t="str">
        <x:f>IF(D1854="NO",IF(C1854="SÍ","FERIADO","FIN DE SEMANA"),"LABORABLE")&amp;IF(F1854="SÍ"," + CIERRE","")</x:f>
        <x:v>FIN DE SEMANA</x:v>
      </x:c>
      <x:c r="I1854" t="str">
        <x:f>TEXT(G1854,"yyyy-mm")</x:f>
        <x:v>2030-01</x:v>
      </x:c>
    </x:row>
    <x:row r="1855">
      <x:c r="A1855" s="2" t="n">
        <x:v>47511</x:v>
      </x:c>
      <x:c r="B1855" t="str">
        <x:f>CHOOSE(WEEKDAY(A1855,2),"Lunes","Martes","Miércoles","Jueves","Viernes","Sábado","Domingo")</x:f>
        <x:v>Lunes</x:v>
      </x:c>
      <x:c r="C1855" t="str">
        <x:f>IF(COUNTIF(FERIADOS!$A$2:$A$250,A1855)&gt;0,"SÍ","NO")</x:f>
        <x:v>NO</x:v>
      </x:c>
      <x:c r="D1855" t="str">
        <x:f>IF(AND(WEEKDAY(A1855,2)&lt;=5,C1855="NO"),"SÍ","NO")</x:f>
        <x:v>SÍ</x:v>
      </x:c>
      <x:c r="E1855" s="2" t="n">
        <x:f>WORKDAY.INTL(A1855-1,1,1,FERIADOS!$A$2:$A$250)</x:f>
        <x:v>47511</x:v>
      </x:c>
      <x:c r="F1855" t="str">
        <x:f>IF(E1855&gt;=WORKDAY.INTL(EOMONTH(E1855,0)+1,-2,1,FERIADOS!$A$2:$A$250),"SÍ","NO")</x:f>
        <x:v>NO</x:v>
      </x:c>
      <x:c r="G1855" s="2" t="n">
        <x:f>IF(F1855="SÍ",EOMONTH(E1855,0)+1,DATE(YEAR(E1855),MONTH(E1855),1))</x:f>
        <x:v>47484</x:v>
      </x:c>
      <x:c r="H1855" t="str">
        <x:f>IF(D1855="NO",IF(C1855="SÍ","FERIADO","FIN DE SEMANA"),"LABORABLE")&amp;IF(F1855="SÍ"," + CIERRE","")</x:f>
        <x:v>LABORABLE</x:v>
      </x:c>
      <x:c r="I1855" t="str">
        <x:f>TEXT(G1855,"yyyy-mm")</x:f>
        <x:v>2030-01</x:v>
      </x:c>
    </x:row>
    <x:row r="1856">
      <x:c r="A1856" s="2" t="n">
        <x:v>47512</x:v>
      </x:c>
      <x:c r="B1856" t="str">
        <x:f>CHOOSE(WEEKDAY(A1856,2),"Lunes","Martes","Miércoles","Jueves","Viernes","Sábado","Domingo")</x:f>
        <x:v>Martes</x:v>
      </x:c>
      <x:c r="C1856" t="str">
        <x:f>IF(COUNTIF(FERIADOS!$A$2:$A$250,A1856)&gt;0,"SÍ","NO")</x:f>
        <x:v>NO</x:v>
      </x:c>
      <x:c r="D1856" t="str">
        <x:f>IF(AND(WEEKDAY(A1856,2)&lt;=5,C1856="NO"),"SÍ","NO")</x:f>
        <x:v>SÍ</x:v>
      </x:c>
      <x:c r="E1856" s="2" t="n">
        <x:f>WORKDAY.INTL(A1856-1,1,1,FERIADOS!$A$2:$A$250)</x:f>
        <x:v>47512</x:v>
      </x:c>
      <x:c r="F1856" t="str">
        <x:f>IF(E1856&gt;=WORKDAY.INTL(EOMONTH(E1856,0)+1,-2,1,FERIADOS!$A$2:$A$250),"SÍ","NO")</x:f>
        <x:v>NO</x:v>
      </x:c>
      <x:c r="G1856" s="2" t="n">
        <x:f>IF(F1856="SÍ",EOMONTH(E1856,0)+1,DATE(YEAR(E1856),MONTH(E1856),1))</x:f>
        <x:v>47484</x:v>
      </x:c>
      <x:c r="H1856" t="str">
        <x:f>IF(D1856="NO",IF(C1856="SÍ","FERIADO","FIN DE SEMANA"),"LABORABLE")&amp;IF(F1856="SÍ"," + CIERRE","")</x:f>
        <x:v>LABORABLE</x:v>
      </x:c>
      <x:c r="I1856" t="str">
        <x:f>TEXT(G1856,"yyyy-mm")</x:f>
        <x:v>2030-01</x:v>
      </x:c>
    </x:row>
    <x:row r="1857">
      <x:c r="A1857" s="2" t="n">
        <x:v>47513</x:v>
      </x:c>
      <x:c r="B1857" t="str">
        <x:f>CHOOSE(WEEKDAY(A1857,2),"Lunes","Martes","Miércoles","Jueves","Viernes","Sábado","Domingo")</x:f>
        <x:v>Miércoles</x:v>
      </x:c>
      <x:c r="C1857" t="str">
        <x:f>IF(COUNTIF(FERIADOS!$A$2:$A$250,A1857)&gt;0,"SÍ","NO")</x:f>
        <x:v>NO</x:v>
      </x:c>
      <x:c r="D1857" t="str">
        <x:f>IF(AND(WEEKDAY(A1857,2)&lt;=5,C1857="NO"),"SÍ","NO")</x:f>
        <x:v>SÍ</x:v>
      </x:c>
      <x:c r="E1857" s="2" t="n">
        <x:f>WORKDAY.INTL(A1857-1,1,1,FERIADOS!$A$2:$A$250)</x:f>
        <x:v>47513</x:v>
      </x:c>
      <x:c r="F1857" t="str">
        <x:f>IF(E1857&gt;=WORKDAY.INTL(EOMONTH(E1857,0)+1,-2,1,FERIADOS!$A$2:$A$250),"SÍ","NO")</x:f>
        <x:v>SÍ</x:v>
      </x:c>
      <x:c r="G1857" s="2" t="n">
        <x:f>IF(F1857="SÍ",EOMONTH(E1857,0)+1,DATE(YEAR(E1857),MONTH(E1857),1))</x:f>
        <x:v>47515</x:v>
      </x:c>
      <x:c r="H1857" t="str">
        <x:f>IF(D1857="NO",IF(C1857="SÍ","FERIADO","FIN DE SEMANA"),"LABORABLE")&amp;IF(F1857="SÍ"," + CIERRE","")</x:f>
        <x:v>LABORABLE + CIERRE</x:v>
      </x:c>
      <x:c r="I1857" t="str">
        <x:f>TEXT(G1857,"yyyy-mm")</x:f>
        <x:v>2030-02</x:v>
      </x:c>
    </x:row>
    <x:row r="1858">
      <x:c r="A1858" s="2" t="n">
        <x:v>47514</x:v>
      </x:c>
      <x:c r="B1858" t="str">
        <x:f>CHOOSE(WEEKDAY(A1858,2),"Lunes","Martes","Miércoles","Jueves","Viernes","Sábado","Domingo")</x:f>
        <x:v>Jueves</x:v>
      </x:c>
      <x:c r="C1858" t="str">
        <x:f>IF(COUNTIF(FERIADOS!$A$2:$A$250,A1858)&gt;0,"SÍ","NO")</x:f>
        <x:v>NO</x:v>
      </x:c>
      <x:c r="D1858" t="str">
        <x:f>IF(AND(WEEKDAY(A1858,2)&lt;=5,C1858="NO"),"SÍ","NO")</x:f>
        <x:v>SÍ</x:v>
      </x:c>
      <x:c r="E1858" s="2" t="n">
        <x:f>WORKDAY.INTL(A1858-1,1,1,FERIADOS!$A$2:$A$250)</x:f>
        <x:v>47514</x:v>
      </x:c>
      <x:c r="F1858" t="str">
        <x:f>IF(E1858&gt;=WORKDAY.INTL(EOMONTH(E1858,0)+1,-2,1,FERIADOS!$A$2:$A$250),"SÍ","NO")</x:f>
        <x:v>SÍ</x:v>
      </x:c>
      <x:c r="G1858" s="2" t="n">
        <x:f>IF(F1858="SÍ",EOMONTH(E1858,0)+1,DATE(YEAR(E1858),MONTH(E1858),1))</x:f>
        <x:v>47515</x:v>
      </x:c>
      <x:c r="H1858" t="str">
        <x:f>IF(D1858="NO",IF(C1858="SÍ","FERIADO","FIN DE SEMANA"),"LABORABLE")&amp;IF(F1858="SÍ"," + CIERRE","")</x:f>
        <x:v>LABORABLE + CIERRE</x:v>
      </x:c>
      <x:c r="I1858" t="str">
        <x:f>TEXT(G1858,"yyyy-mm")</x:f>
        <x:v>2030-02</x:v>
      </x:c>
    </x:row>
    <x:row r="1859">
      <x:c r="A1859" s="2" t="n">
        <x:v>47515</x:v>
      </x:c>
      <x:c r="B1859" t="str">
        <x:f>CHOOSE(WEEKDAY(A1859,2),"Lunes","Martes","Miércoles","Jueves","Viernes","Sábado","Domingo")</x:f>
        <x:v>Viernes</x:v>
      </x:c>
      <x:c r="C1859" t="str">
        <x:f>IF(COUNTIF(FERIADOS!$A$2:$A$250,A1859)&gt;0,"SÍ","NO")</x:f>
        <x:v>NO</x:v>
      </x:c>
      <x:c r="D1859" t="str">
        <x:f>IF(AND(WEEKDAY(A1859,2)&lt;=5,C1859="NO"),"SÍ","NO")</x:f>
        <x:v>SÍ</x:v>
      </x:c>
      <x:c r="E1859" s="2" t="n">
        <x:f>WORKDAY.INTL(A1859-1,1,1,FERIADOS!$A$2:$A$250)</x:f>
        <x:v>47515</x:v>
      </x:c>
      <x:c r="F1859" t="str">
        <x:f>IF(E1859&gt;=WORKDAY.INTL(EOMONTH(E1859,0)+1,-2,1,FERIADOS!$A$2:$A$250),"SÍ","NO")</x:f>
        <x:v>NO</x:v>
      </x:c>
      <x:c r="G1859" s="2" t="n">
        <x:f>IF(F1859="SÍ",EOMONTH(E1859,0)+1,DATE(YEAR(E1859),MONTH(E1859),1))</x:f>
        <x:v>47515</x:v>
      </x:c>
      <x:c r="H1859" t="str">
        <x:f>IF(D1859="NO",IF(C1859="SÍ","FERIADO","FIN DE SEMANA"),"LABORABLE")&amp;IF(F1859="SÍ"," + CIERRE","")</x:f>
        <x:v>LABORABLE</x:v>
      </x:c>
      <x:c r="I1859" t="str">
        <x:f>TEXT(G1859,"yyyy-mm")</x:f>
        <x:v>2030-02</x:v>
      </x:c>
    </x:row>
    <x:row r="1860">
      <x:c r="A1860" s="2" t="n">
        <x:v>47516</x:v>
      </x:c>
      <x:c r="B1860" t="str">
        <x:f>CHOOSE(WEEKDAY(A1860,2),"Lunes","Martes","Miércoles","Jueves","Viernes","Sábado","Domingo")</x:f>
        <x:v>Sábado</x:v>
      </x:c>
      <x:c r="C1860" t="str">
        <x:f>IF(COUNTIF(FERIADOS!$A$2:$A$250,A1860)&gt;0,"SÍ","NO")</x:f>
        <x:v>NO</x:v>
      </x:c>
      <x:c r="D1860" t="str">
        <x:f>IF(AND(WEEKDAY(A1860,2)&lt;=5,C1860="NO"),"SÍ","NO")</x:f>
        <x:v>NO</x:v>
      </x:c>
      <x:c r="E1860" s="2" t="n">
        <x:f>WORKDAY.INTL(A1860-1,1,1,FERIADOS!$A$2:$A$250)</x:f>
        <x:v>47518</x:v>
      </x:c>
      <x:c r="F1860" t="str">
        <x:f>IF(E1860&gt;=WORKDAY.INTL(EOMONTH(E1860,0)+1,-2,1,FERIADOS!$A$2:$A$250),"SÍ","NO")</x:f>
        <x:v>NO</x:v>
      </x:c>
      <x:c r="G1860" s="2" t="n">
        <x:f>IF(F1860="SÍ",EOMONTH(E1860,0)+1,DATE(YEAR(E1860),MONTH(E1860),1))</x:f>
        <x:v>47515</x:v>
      </x:c>
      <x:c r="H1860" t="str">
        <x:f>IF(D1860="NO",IF(C1860="SÍ","FERIADO","FIN DE SEMANA"),"LABORABLE")&amp;IF(F1860="SÍ"," + CIERRE","")</x:f>
        <x:v>FIN DE SEMANA</x:v>
      </x:c>
      <x:c r="I1860" t="str">
        <x:f>TEXT(G1860,"yyyy-mm")</x:f>
        <x:v>2030-02</x:v>
      </x:c>
    </x:row>
    <x:row r="1861">
      <x:c r="A1861" s="2" t="n">
        <x:v>47517</x:v>
      </x:c>
      <x:c r="B1861" t="str">
        <x:f>CHOOSE(WEEKDAY(A1861,2),"Lunes","Martes","Miércoles","Jueves","Viernes","Sábado","Domingo")</x:f>
        <x:v>Domingo</x:v>
      </x:c>
      <x:c r="C1861" t="str">
        <x:f>IF(COUNTIF(FERIADOS!$A$2:$A$250,A1861)&gt;0,"SÍ","NO")</x:f>
        <x:v>NO</x:v>
      </x:c>
      <x:c r="D1861" t="str">
        <x:f>IF(AND(WEEKDAY(A1861,2)&lt;=5,C1861="NO"),"SÍ","NO")</x:f>
        <x:v>NO</x:v>
      </x:c>
      <x:c r="E1861" s="2" t="n">
        <x:f>WORKDAY.INTL(A1861-1,1,1,FERIADOS!$A$2:$A$250)</x:f>
        <x:v>47518</x:v>
      </x:c>
      <x:c r="F1861" t="str">
        <x:f>IF(E1861&gt;=WORKDAY.INTL(EOMONTH(E1861,0)+1,-2,1,FERIADOS!$A$2:$A$250),"SÍ","NO")</x:f>
        <x:v>NO</x:v>
      </x:c>
      <x:c r="G1861" s="2" t="n">
        <x:f>IF(F1861="SÍ",EOMONTH(E1861,0)+1,DATE(YEAR(E1861),MONTH(E1861),1))</x:f>
        <x:v>47515</x:v>
      </x:c>
      <x:c r="H1861" t="str">
        <x:f>IF(D1861="NO",IF(C1861="SÍ","FERIADO","FIN DE SEMANA"),"LABORABLE")&amp;IF(F1861="SÍ"," + CIERRE","")</x:f>
        <x:v>FIN DE SEMANA</x:v>
      </x:c>
      <x:c r="I1861" t="str">
        <x:f>TEXT(G1861,"yyyy-mm")</x:f>
        <x:v>2030-02</x:v>
      </x:c>
    </x:row>
    <x:row r="1862">
      <x:c r="A1862" s="2" t="n">
        <x:v>47518</x:v>
      </x:c>
      <x:c r="B1862" t="str">
        <x:f>CHOOSE(WEEKDAY(A1862,2),"Lunes","Martes","Miércoles","Jueves","Viernes","Sábado","Domingo")</x:f>
        <x:v>Lunes</x:v>
      </x:c>
      <x:c r="C1862" t="str">
        <x:f>IF(COUNTIF(FERIADOS!$A$2:$A$250,A1862)&gt;0,"SÍ","NO")</x:f>
        <x:v>NO</x:v>
      </x:c>
      <x:c r="D1862" t="str">
        <x:f>IF(AND(WEEKDAY(A1862,2)&lt;=5,C1862="NO"),"SÍ","NO")</x:f>
        <x:v>SÍ</x:v>
      </x:c>
      <x:c r="E1862" s="2" t="n">
        <x:f>WORKDAY.INTL(A1862-1,1,1,FERIADOS!$A$2:$A$250)</x:f>
        <x:v>47518</x:v>
      </x:c>
      <x:c r="F1862" t="str">
        <x:f>IF(E1862&gt;=WORKDAY.INTL(EOMONTH(E1862,0)+1,-2,1,FERIADOS!$A$2:$A$250),"SÍ","NO")</x:f>
        <x:v>NO</x:v>
      </x:c>
      <x:c r="G1862" s="2" t="n">
        <x:f>IF(F1862="SÍ",EOMONTH(E1862,0)+1,DATE(YEAR(E1862),MONTH(E1862),1))</x:f>
        <x:v>47515</x:v>
      </x:c>
      <x:c r="H1862" t="str">
        <x:f>IF(D1862="NO",IF(C1862="SÍ","FERIADO","FIN DE SEMANA"),"LABORABLE")&amp;IF(F1862="SÍ"," + CIERRE","")</x:f>
        <x:v>LABORABLE</x:v>
      </x:c>
      <x:c r="I1862" t="str">
        <x:f>TEXT(G1862,"yyyy-mm")</x:f>
        <x:v>2030-02</x:v>
      </x:c>
    </x:row>
    <x:row r="1863">
      <x:c r="A1863" s="2" t="n">
        <x:v>47519</x:v>
      </x:c>
      <x:c r="B1863" t="str">
        <x:f>CHOOSE(WEEKDAY(A1863,2),"Lunes","Martes","Miércoles","Jueves","Viernes","Sábado","Domingo")</x:f>
        <x:v>Martes</x:v>
      </x:c>
      <x:c r="C1863" t="str">
        <x:f>IF(COUNTIF(FERIADOS!$A$2:$A$250,A1863)&gt;0,"SÍ","NO")</x:f>
        <x:v>NO</x:v>
      </x:c>
      <x:c r="D1863" t="str">
        <x:f>IF(AND(WEEKDAY(A1863,2)&lt;=5,C1863="NO"),"SÍ","NO")</x:f>
        <x:v>SÍ</x:v>
      </x:c>
      <x:c r="E1863" s="2" t="n">
        <x:f>WORKDAY.INTL(A1863-1,1,1,FERIADOS!$A$2:$A$250)</x:f>
        <x:v>47519</x:v>
      </x:c>
      <x:c r="F1863" t="str">
        <x:f>IF(E1863&gt;=WORKDAY.INTL(EOMONTH(E1863,0)+1,-2,1,FERIADOS!$A$2:$A$250),"SÍ","NO")</x:f>
        <x:v>NO</x:v>
      </x:c>
      <x:c r="G1863" s="2" t="n">
        <x:f>IF(F1863="SÍ",EOMONTH(E1863,0)+1,DATE(YEAR(E1863),MONTH(E1863),1))</x:f>
        <x:v>47515</x:v>
      </x:c>
      <x:c r="H1863" t="str">
        <x:f>IF(D1863="NO",IF(C1863="SÍ","FERIADO","FIN DE SEMANA"),"LABORABLE")&amp;IF(F1863="SÍ"," + CIERRE","")</x:f>
        <x:v>LABORABLE</x:v>
      </x:c>
      <x:c r="I1863" t="str">
        <x:f>TEXT(G1863,"yyyy-mm")</x:f>
        <x:v>2030-02</x:v>
      </x:c>
    </x:row>
    <x:row r="1864">
      <x:c r="A1864" s="2" t="n">
        <x:v>47520</x:v>
      </x:c>
      <x:c r="B1864" t="str">
        <x:f>CHOOSE(WEEKDAY(A1864,2),"Lunes","Martes","Miércoles","Jueves","Viernes","Sábado","Domingo")</x:f>
        <x:v>Miércoles</x:v>
      </x:c>
      <x:c r="C1864" t="str">
        <x:f>IF(COUNTIF(FERIADOS!$A$2:$A$250,A1864)&gt;0,"SÍ","NO")</x:f>
        <x:v>NO</x:v>
      </x:c>
      <x:c r="D1864" t="str">
        <x:f>IF(AND(WEEKDAY(A1864,2)&lt;=5,C1864="NO"),"SÍ","NO")</x:f>
        <x:v>SÍ</x:v>
      </x:c>
      <x:c r="E1864" s="2" t="n">
        <x:f>WORKDAY.INTL(A1864-1,1,1,FERIADOS!$A$2:$A$250)</x:f>
        <x:v>47520</x:v>
      </x:c>
      <x:c r="F1864" t="str">
        <x:f>IF(E1864&gt;=WORKDAY.INTL(EOMONTH(E1864,0)+1,-2,1,FERIADOS!$A$2:$A$250),"SÍ","NO")</x:f>
        <x:v>NO</x:v>
      </x:c>
      <x:c r="G1864" s="2" t="n">
        <x:f>IF(F1864="SÍ",EOMONTH(E1864,0)+1,DATE(YEAR(E1864),MONTH(E1864),1))</x:f>
        <x:v>47515</x:v>
      </x:c>
      <x:c r="H1864" t="str">
        <x:f>IF(D1864="NO",IF(C1864="SÍ","FERIADO","FIN DE SEMANA"),"LABORABLE")&amp;IF(F1864="SÍ"," + CIERRE","")</x:f>
        <x:v>LABORABLE</x:v>
      </x:c>
      <x:c r="I1864" t="str">
        <x:f>TEXT(G1864,"yyyy-mm")</x:f>
        <x:v>2030-02</x:v>
      </x:c>
    </x:row>
    <x:row r="1865">
      <x:c r="A1865" s="2" t="n">
        <x:v>47521</x:v>
      </x:c>
      <x:c r="B1865" t="str">
        <x:f>CHOOSE(WEEKDAY(A1865,2),"Lunes","Martes","Miércoles","Jueves","Viernes","Sábado","Domingo")</x:f>
        <x:v>Jueves</x:v>
      </x:c>
      <x:c r="C1865" t="str">
        <x:f>IF(COUNTIF(FERIADOS!$A$2:$A$250,A1865)&gt;0,"SÍ","NO")</x:f>
        <x:v>NO</x:v>
      </x:c>
      <x:c r="D1865" t="str">
        <x:f>IF(AND(WEEKDAY(A1865,2)&lt;=5,C1865="NO"),"SÍ","NO")</x:f>
        <x:v>SÍ</x:v>
      </x:c>
      <x:c r="E1865" s="2" t="n">
        <x:f>WORKDAY.INTL(A1865-1,1,1,FERIADOS!$A$2:$A$250)</x:f>
        <x:v>47521</x:v>
      </x:c>
      <x:c r="F1865" t="str">
        <x:f>IF(E1865&gt;=WORKDAY.INTL(EOMONTH(E1865,0)+1,-2,1,FERIADOS!$A$2:$A$250),"SÍ","NO")</x:f>
        <x:v>NO</x:v>
      </x:c>
      <x:c r="G1865" s="2" t="n">
        <x:f>IF(F1865="SÍ",EOMONTH(E1865,0)+1,DATE(YEAR(E1865),MONTH(E1865),1))</x:f>
        <x:v>47515</x:v>
      </x:c>
      <x:c r="H1865" t="str">
        <x:f>IF(D1865="NO",IF(C1865="SÍ","FERIADO","FIN DE SEMANA"),"LABORABLE")&amp;IF(F1865="SÍ"," + CIERRE","")</x:f>
        <x:v>LABORABLE</x:v>
      </x:c>
      <x:c r="I1865" t="str">
        <x:f>TEXT(G1865,"yyyy-mm")</x:f>
        <x:v>2030-02</x:v>
      </x:c>
    </x:row>
    <x:row r="1866">
      <x:c r="A1866" s="2" t="n">
        <x:v>47522</x:v>
      </x:c>
      <x:c r="B1866" t="str">
        <x:f>CHOOSE(WEEKDAY(A1866,2),"Lunes","Martes","Miércoles","Jueves","Viernes","Sábado","Domingo")</x:f>
        <x:v>Viernes</x:v>
      </x:c>
      <x:c r="C1866" t="str">
        <x:f>IF(COUNTIF(FERIADOS!$A$2:$A$250,A1866)&gt;0,"SÍ","NO")</x:f>
        <x:v>NO</x:v>
      </x:c>
      <x:c r="D1866" t="str">
        <x:f>IF(AND(WEEKDAY(A1866,2)&lt;=5,C1866="NO"),"SÍ","NO")</x:f>
        <x:v>SÍ</x:v>
      </x:c>
      <x:c r="E1866" s="2" t="n">
        <x:f>WORKDAY.INTL(A1866-1,1,1,FERIADOS!$A$2:$A$250)</x:f>
        <x:v>47522</x:v>
      </x:c>
      <x:c r="F1866" t="str">
        <x:f>IF(E1866&gt;=WORKDAY.INTL(EOMONTH(E1866,0)+1,-2,1,FERIADOS!$A$2:$A$250),"SÍ","NO")</x:f>
        <x:v>NO</x:v>
      </x:c>
      <x:c r="G1866" s="2" t="n">
        <x:f>IF(F1866="SÍ",EOMONTH(E1866,0)+1,DATE(YEAR(E1866),MONTH(E1866),1))</x:f>
        <x:v>47515</x:v>
      </x:c>
      <x:c r="H1866" t="str">
        <x:f>IF(D1866="NO",IF(C1866="SÍ","FERIADO","FIN DE SEMANA"),"LABORABLE")&amp;IF(F1866="SÍ"," + CIERRE","")</x:f>
        <x:v>LABORABLE</x:v>
      </x:c>
      <x:c r="I1866" t="str">
        <x:f>TEXT(G1866,"yyyy-mm")</x:f>
        <x:v>2030-02</x:v>
      </x:c>
    </x:row>
    <x:row r="1867">
      <x:c r="A1867" s="2" t="n">
        <x:v>47523</x:v>
      </x:c>
      <x:c r="B1867" t="str">
        <x:f>CHOOSE(WEEKDAY(A1867,2),"Lunes","Martes","Miércoles","Jueves","Viernes","Sábado","Domingo")</x:f>
        <x:v>Sábado</x:v>
      </x:c>
      <x:c r="C1867" t="str">
        <x:f>IF(COUNTIF(FERIADOS!$A$2:$A$250,A1867)&gt;0,"SÍ","NO")</x:f>
        <x:v>NO</x:v>
      </x:c>
      <x:c r="D1867" t="str">
        <x:f>IF(AND(WEEKDAY(A1867,2)&lt;=5,C1867="NO"),"SÍ","NO")</x:f>
        <x:v>NO</x:v>
      </x:c>
      <x:c r="E1867" s="2" t="n">
        <x:f>WORKDAY.INTL(A1867-1,1,1,FERIADOS!$A$2:$A$250)</x:f>
        <x:v>47525</x:v>
      </x:c>
      <x:c r="F1867" t="str">
        <x:f>IF(E1867&gt;=WORKDAY.INTL(EOMONTH(E1867,0)+1,-2,1,FERIADOS!$A$2:$A$250),"SÍ","NO")</x:f>
        <x:v>NO</x:v>
      </x:c>
      <x:c r="G1867" s="2" t="n">
        <x:f>IF(F1867="SÍ",EOMONTH(E1867,0)+1,DATE(YEAR(E1867),MONTH(E1867),1))</x:f>
        <x:v>47515</x:v>
      </x:c>
      <x:c r="H1867" t="str">
        <x:f>IF(D1867="NO",IF(C1867="SÍ","FERIADO","FIN DE SEMANA"),"LABORABLE")&amp;IF(F1867="SÍ"," + CIERRE","")</x:f>
        <x:v>FIN DE SEMANA</x:v>
      </x:c>
      <x:c r="I1867" t="str">
        <x:f>TEXT(G1867,"yyyy-mm")</x:f>
        <x:v>2030-02</x:v>
      </x:c>
    </x:row>
    <x:row r="1868">
      <x:c r="A1868" s="2" t="n">
        <x:v>47524</x:v>
      </x:c>
      <x:c r="B1868" t="str">
        <x:f>CHOOSE(WEEKDAY(A1868,2),"Lunes","Martes","Miércoles","Jueves","Viernes","Sábado","Domingo")</x:f>
        <x:v>Domingo</x:v>
      </x:c>
      <x:c r="C1868" t="str">
        <x:f>IF(COUNTIF(FERIADOS!$A$2:$A$250,A1868)&gt;0,"SÍ","NO")</x:f>
        <x:v>NO</x:v>
      </x:c>
      <x:c r="D1868" t="str">
        <x:f>IF(AND(WEEKDAY(A1868,2)&lt;=5,C1868="NO"),"SÍ","NO")</x:f>
        <x:v>NO</x:v>
      </x:c>
      <x:c r="E1868" s="2" t="n">
        <x:f>WORKDAY.INTL(A1868-1,1,1,FERIADOS!$A$2:$A$250)</x:f>
        <x:v>47525</x:v>
      </x:c>
      <x:c r="F1868" t="str">
        <x:f>IF(E1868&gt;=WORKDAY.INTL(EOMONTH(E1868,0)+1,-2,1,FERIADOS!$A$2:$A$250),"SÍ","NO")</x:f>
        <x:v>NO</x:v>
      </x:c>
      <x:c r="G1868" s="2" t="n">
        <x:f>IF(F1868="SÍ",EOMONTH(E1868,0)+1,DATE(YEAR(E1868),MONTH(E1868),1))</x:f>
        <x:v>47515</x:v>
      </x:c>
      <x:c r="H1868" t="str">
        <x:f>IF(D1868="NO",IF(C1868="SÍ","FERIADO","FIN DE SEMANA"),"LABORABLE")&amp;IF(F1868="SÍ"," + CIERRE","")</x:f>
        <x:v>FIN DE SEMANA</x:v>
      </x:c>
      <x:c r="I1868" t="str">
        <x:f>TEXT(G1868,"yyyy-mm")</x:f>
        <x:v>2030-02</x:v>
      </x:c>
    </x:row>
    <x:row r="1869">
      <x:c r="A1869" s="2" t="n">
        <x:v>47525</x:v>
      </x:c>
      <x:c r="B1869" t="str">
        <x:f>CHOOSE(WEEKDAY(A1869,2),"Lunes","Martes","Miércoles","Jueves","Viernes","Sábado","Domingo")</x:f>
        <x:v>Lunes</x:v>
      </x:c>
      <x:c r="C1869" t="str">
        <x:f>IF(COUNTIF(FERIADOS!$A$2:$A$250,A1869)&gt;0,"SÍ","NO")</x:f>
        <x:v>NO</x:v>
      </x:c>
      <x:c r="D1869" t="str">
        <x:f>IF(AND(WEEKDAY(A1869,2)&lt;=5,C1869="NO"),"SÍ","NO")</x:f>
        <x:v>SÍ</x:v>
      </x:c>
      <x:c r="E1869" s="2" t="n">
        <x:f>WORKDAY.INTL(A1869-1,1,1,FERIADOS!$A$2:$A$250)</x:f>
        <x:v>47525</x:v>
      </x:c>
      <x:c r="F1869" t="str">
        <x:f>IF(E1869&gt;=WORKDAY.INTL(EOMONTH(E1869,0)+1,-2,1,FERIADOS!$A$2:$A$250),"SÍ","NO")</x:f>
        <x:v>NO</x:v>
      </x:c>
      <x:c r="G1869" s="2" t="n">
        <x:f>IF(F1869="SÍ",EOMONTH(E1869,0)+1,DATE(YEAR(E1869),MONTH(E1869),1))</x:f>
        <x:v>47515</x:v>
      </x:c>
      <x:c r="H1869" t="str">
        <x:f>IF(D1869="NO",IF(C1869="SÍ","FERIADO","FIN DE SEMANA"),"LABORABLE")&amp;IF(F1869="SÍ"," + CIERRE","")</x:f>
        <x:v>LABORABLE</x:v>
      </x:c>
      <x:c r="I1869" t="str">
        <x:f>TEXT(G1869,"yyyy-mm")</x:f>
        <x:v>2030-02</x:v>
      </x:c>
    </x:row>
    <x:row r="1870">
      <x:c r="A1870" s="2" t="n">
        <x:v>47526</x:v>
      </x:c>
      <x:c r="B1870" t="str">
        <x:f>CHOOSE(WEEKDAY(A1870,2),"Lunes","Martes","Miércoles","Jueves","Viernes","Sábado","Domingo")</x:f>
        <x:v>Martes</x:v>
      </x:c>
      <x:c r="C1870" t="str">
        <x:f>IF(COUNTIF(FERIADOS!$A$2:$A$250,A1870)&gt;0,"SÍ","NO")</x:f>
        <x:v>NO</x:v>
      </x:c>
      <x:c r="D1870" t="str">
        <x:f>IF(AND(WEEKDAY(A1870,2)&lt;=5,C1870="NO"),"SÍ","NO")</x:f>
        <x:v>SÍ</x:v>
      </x:c>
      <x:c r="E1870" s="2" t="n">
        <x:f>WORKDAY.INTL(A1870-1,1,1,FERIADOS!$A$2:$A$250)</x:f>
        <x:v>47526</x:v>
      </x:c>
      <x:c r="F1870" t="str">
        <x:f>IF(E1870&gt;=WORKDAY.INTL(EOMONTH(E1870,0)+1,-2,1,FERIADOS!$A$2:$A$250),"SÍ","NO")</x:f>
        <x:v>NO</x:v>
      </x:c>
      <x:c r="G1870" s="2" t="n">
        <x:f>IF(F1870="SÍ",EOMONTH(E1870,0)+1,DATE(YEAR(E1870),MONTH(E1870),1))</x:f>
        <x:v>47515</x:v>
      </x:c>
      <x:c r="H1870" t="str">
        <x:f>IF(D1870="NO",IF(C1870="SÍ","FERIADO","FIN DE SEMANA"),"LABORABLE")&amp;IF(F1870="SÍ"," + CIERRE","")</x:f>
        <x:v>LABORABLE</x:v>
      </x:c>
      <x:c r="I1870" t="str">
        <x:f>TEXT(G1870,"yyyy-mm")</x:f>
        <x:v>2030-02</x:v>
      </x:c>
    </x:row>
    <x:row r="1871">
      <x:c r="A1871" s="2" t="n">
        <x:v>47527</x:v>
      </x:c>
      <x:c r="B1871" t="str">
        <x:f>CHOOSE(WEEKDAY(A1871,2),"Lunes","Martes","Miércoles","Jueves","Viernes","Sábado","Domingo")</x:f>
        <x:v>Miércoles</x:v>
      </x:c>
      <x:c r="C1871" t="str">
        <x:f>IF(COUNTIF(FERIADOS!$A$2:$A$250,A1871)&gt;0,"SÍ","NO")</x:f>
        <x:v>NO</x:v>
      </x:c>
      <x:c r="D1871" t="str">
        <x:f>IF(AND(WEEKDAY(A1871,2)&lt;=5,C1871="NO"),"SÍ","NO")</x:f>
        <x:v>SÍ</x:v>
      </x:c>
      <x:c r="E1871" s="2" t="n">
        <x:f>WORKDAY.INTL(A1871-1,1,1,FERIADOS!$A$2:$A$250)</x:f>
        <x:v>47527</x:v>
      </x:c>
      <x:c r="F1871" t="str">
        <x:f>IF(E1871&gt;=WORKDAY.INTL(EOMONTH(E1871,0)+1,-2,1,FERIADOS!$A$2:$A$250),"SÍ","NO")</x:f>
        <x:v>NO</x:v>
      </x:c>
      <x:c r="G1871" s="2" t="n">
        <x:f>IF(F1871="SÍ",EOMONTH(E1871,0)+1,DATE(YEAR(E1871),MONTH(E1871),1))</x:f>
        <x:v>47515</x:v>
      </x:c>
      <x:c r="H1871" t="str">
        <x:f>IF(D1871="NO",IF(C1871="SÍ","FERIADO","FIN DE SEMANA"),"LABORABLE")&amp;IF(F1871="SÍ"," + CIERRE","")</x:f>
        <x:v>LABORABLE</x:v>
      </x:c>
      <x:c r="I1871" t="str">
        <x:f>TEXT(G1871,"yyyy-mm")</x:f>
        <x:v>2030-02</x:v>
      </x:c>
    </x:row>
    <x:row r="1872">
      <x:c r="A1872" s="2" t="n">
        <x:v>47528</x:v>
      </x:c>
      <x:c r="B1872" t="str">
        <x:f>CHOOSE(WEEKDAY(A1872,2),"Lunes","Martes","Miércoles","Jueves","Viernes","Sábado","Domingo")</x:f>
        <x:v>Jueves</x:v>
      </x:c>
      <x:c r="C1872" t="str">
        <x:f>IF(COUNTIF(FERIADOS!$A$2:$A$250,A1872)&gt;0,"SÍ","NO")</x:f>
        <x:v>NO</x:v>
      </x:c>
      <x:c r="D1872" t="str">
        <x:f>IF(AND(WEEKDAY(A1872,2)&lt;=5,C1872="NO"),"SÍ","NO")</x:f>
        <x:v>SÍ</x:v>
      </x:c>
      <x:c r="E1872" s="2" t="n">
        <x:f>WORKDAY.INTL(A1872-1,1,1,FERIADOS!$A$2:$A$250)</x:f>
        <x:v>47528</x:v>
      </x:c>
      <x:c r="F1872" t="str">
        <x:f>IF(E1872&gt;=WORKDAY.INTL(EOMONTH(E1872,0)+1,-2,1,FERIADOS!$A$2:$A$250),"SÍ","NO")</x:f>
        <x:v>NO</x:v>
      </x:c>
      <x:c r="G1872" s="2" t="n">
        <x:f>IF(F1872="SÍ",EOMONTH(E1872,0)+1,DATE(YEAR(E1872),MONTH(E1872),1))</x:f>
        <x:v>47515</x:v>
      </x:c>
      <x:c r="H1872" t="str">
        <x:f>IF(D1872="NO",IF(C1872="SÍ","FERIADO","FIN DE SEMANA"),"LABORABLE")&amp;IF(F1872="SÍ"," + CIERRE","")</x:f>
        <x:v>LABORABLE</x:v>
      </x:c>
      <x:c r="I1872" t="str">
        <x:f>TEXT(G1872,"yyyy-mm")</x:f>
        <x:v>2030-02</x:v>
      </x:c>
    </x:row>
    <x:row r="1873">
      <x:c r="A1873" s="2" t="n">
        <x:v>47529</x:v>
      </x:c>
      <x:c r="B1873" t="str">
        <x:f>CHOOSE(WEEKDAY(A1873,2),"Lunes","Martes","Miércoles","Jueves","Viernes","Sábado","Domingo")</x:f>
        <x:v>Viernes</x:v>
      </x:c>
      <x:c r="C1873" t="str">
        <x:f>IF(COUNTIF(FERIADOS!$A$2:$A$250,A1873)&gt;0,"SÍ","NO")</x:f>
        <x:v>NO</x:v>
      </x:c>
      <x:c r="D1873" t="str">
        <x:f>IF(AND(WEEKDAY(A1873,2)&lt;=5,C1873="NO"),"SÍ","NO")</x:f>
        <x:v>SÍ</x:v>
      </x:c>
      <x:c r="E1873" s="2" t="n">
        <x:f>WORKDAY.INTL(A1873-1,1,1,FERIADOS!$A$2:$A$250)</x:f>
        <x:v>47529</x:v>
      </x:c>
      <x:c r="F1873" t="str">
        <x:f>IF(E1873&gt;=WORKDAY.INTL(EOMONTH(E1873,0)+1,-2,1,FERIADOS!$A$2:$A$250),"SÍ","NO")</x:f>
        <x:v>NO</x:v>
      </x:c>
      <x:c r="G1873" s="2" t="n">
        <x:f>IF(F1873="SÍ",EOMONTH(E1873,0)+1,DATE(YEAR(E1873),MONTH(E1873),1))</x:f>
        <x:v>47515</x:v>
      </x:c>
      <x:c r="H1873" t="str">
        <x:f>IF(D1873="NO",IF(C1873="SÍ","FERIADO","FIN DE SEMANA"),"LABORABLE")&amp;IF(F1873="SÍ"," + CIERRE","")</x:f>
        <x:v>LABORABLE</x:v>
      </x:c>
      <x:c r="I1873" t="str">
        <x:f>TEXT(G1873,"yyyy-mm")</x:f>
        <x:v>2030-02</x:v>
      </x:c>
    </x:row>
    <x:row r="1874">
      <x:c r="A1874" s="2" t="n">
        <x:v>47530</x:v>
      </x:c>
      <x:c r="B1874" t="str">
        <x:f>CHOOSE(WEEKDAY(A1874,2),"Lunes","Martes","Miércoles","Jueves","Viernes","Sábado","Domingo")</x:f>
        <x:v>Sábado</x:v>
      </x:c>
      <x:c r="C1874" t="str">
        <x:f>IF(COUNTIF(FERIADOS!$A$2:$A$250,A1874)&gt;0,"SÍ","NO")</x:f>
        <x:v>NO</x:v>
      </x:c>
      <x:c r="D1874" t="str">
        <x:f>IF(AND(WEEKDAY(A1874,2)&lt;=5,C1874="NO"),"SÍ","NO")</x:f>
        <x:v>NO</x:v>
      </x:c>
      <x:c r="E1874" s="2" t="n">
        <x:f>WORKDAY.INTL(A1874-1,1,1,FERIADOS!$A$2:$A$250)</x:f>
        <x:v>47532</x:v>
      </x:c>
      <x:c r="F1874" t="str">
        <x:f>IF(E1874&gt;=WORKDAY.INTL(EOMONTH(E1874,0)+1,-2,1,FERIADOS!$A$2:$A$250),"SÍ","NO")</x:f>
        <x:v>NO</x:v>
      </x:c>
      <x:c r="G1874" s="2" t="n">
        <x:f>IF(F1874="SÍ",EOMONTH(E1874,0)+1,DATE(YEAR(E1874),MONTH(E1874),1))</x:f>
        <x:v>47515</x:v>
      </x:c>
      <x:c r="H1874" t="str">
        <x:f>IF(D1874="NO",IF(C1874="SÍ","FERIADO","FIN DE SEMANA"),"LABORABLE")&amp;IF(F1874="SÍ"," + CIERRE","")</x:f>
        <x:v>FIN DE SEMANA</x:v>
      </x:c>
      <x:c r="I1874" t="str">
        <x:f>TEXT(G1874,"yyyy-mm")</x:f>
        <x:v>2030-02</x:v>
      </x:c>
    </x:row>
    <x:row r="1875">
      <x:c r="A1875" s="2" t="n">
        <x:v>47531</x:v>
      </x:c>
      <x:c r="B1875" t="str">
        <x:f>CHOOSE(WEEKDAY(A1875,2),"Lunes","Martes","Miércoles","Jueves","Viernes","Sábado","Domingo")</x:f>
        <x:v>Domingo</x:v>
      </x:c>
      <x:c r="C1875" t="str">
        <x:f>IF(COUNTIF(FERIADOS!$A$2:$A$250,A1875)&gt;0,"SÍ","NO")</x:f>
        <x:v>NO</x:v>
      </x:c>
      <x:c r="D1875" t="str">
        <x:f>IF(AND(WEEKDAY(A1875,2)&lt;=5,C1875="NO"),"SÍ","NO")</x:f>
        <x:v>NO</x:v>
      </x:c>
      <x:c r="E1875" s="2" t="n">
        <x:f>WORKDAY.INTL(A1875-1,1,1,FERIADOS!$A$2:$A$250)</x:f>
        <x:v>47532</x:v>
      </x:c>
      <x:c r="F1875" t="str">
        <x:f>IF(E1875&gt;=WORKDAY.INTL(EOMONTH(E1875,0)+1,-2,1,FERIADOS!$A$2:$A$250),"SÍ","NO")</x:f>
        <x:v>NO</x:v>
      </x:c>
      <x:c r="G1875" s="2" t="n">
        <x:f>IF(F1875="SÍ",EOMONTH(E1875,0)+1,DATE(YEAR(E1875),MONTH(E1875),1))</x:f>
        <x:v>47515</x:v>
      </x:c>
      <x:c r="H1875" t="str">
        <x:f>IF(D1875="NO",IF(C1875="SÍ","FERIADO","FIN DE SEMANA"),"LABORABLE")&amp;IF(F1875="SÍ"," + CIERRE","")</x:f>
        <x:v>FIN DE SEMANA</x:v>
      </x:c>
      <x:c r="I1875" t="str">
        <x:f>TEXT(G1875,"yyyy-mm")</x:f>
        <x:v>2030-02</x:v>
      </x:c>
    </x:row>
    <x:row r="1876">
      <x:c r="A1876" s="2" t="n">
        <x:v>47532</x:v>
      </x:c>
      <x:c r="B1876" t="str">
        <x:f>CHOOSE(WEEKDAY(A1876,2),"Lunes","Martes","Miércoles","Jueves","Viernes","Sábado","Domingo")</x:f>
        <x:v>Lunes</x:v>
      </x:c>
      <x:c r="C1876" t="str">
        <x:f>IF(COUNTIF(FERIADOS!$A$2:$A$250,A1876)&gt;0,"SÍ","NO")</x:f>
        <x:v>NO</x:v>
      </x:c>
      <x:c r="D1876" t="str">
        <x:f>IF(AND(WEEKDAY(A1876,2)&lt;=5,C1876="NO"),"SÍ","NO")</x:f>
        <x:v>SÍ</x:v>
      </x:c>
      <x:c r="E1876" s="2" t="n">
        <x:f>WORKDAY.INTL(A1876-1,1,1,FERIADOS!$A$2:$A$250)</x:f>
        <x:v>47532</x:v>
      </x:c>
      <x:c r="F1876" t="str">
        <x:f>IF(E1876&gt;=WORKDAY.INTL(EOMONTH(E1876,0)+1,-2,1,FERIADOS!$A$2:$A$250),"SÍ","NO")</x:f>
        <x:v>NO</x:v>
      </x:c>
      <x:c r="G1876" s="2" t="n">
        <x:f>IF(F1876="SÍ",EOMONTH(E1876,0)+1,DATE(YEAR(E1876),MONTH(E1876),1))</x:f>
        <x:v>47515</x:v>
      </x:c>
      <x:c r="H1876" t="str">
        <x:f>IF(D1876="NO",IF(C1876="SÍ","FERIADO","FIN DE SEMANA"),"LABORABLE")&amp;IF(F1876="SÍ"," + CIERRE","")</x:f>
        <x:v>LABORABLE</x:v>
      </x:c>
      <x:c r="I1876" t="str">
        <x:f>TEXT(G1876,"yyyy-mm")</x:f>
        <x:v>2030-02</x:v>
      </x:c>
    </x:row>
    <x:row r="1877">
      <x:c r="A1877" s="2" t="n">
        <x:v>47533</x:v>
      </x:c>
      <x:c r="B1877" t="str">
        <x:f>CHOOSE(WEEKDAY(A1877,2),"Lunes","Martes","Miércoles","Jueves","Viernes","Sábado","Domingo")</x:f>
        <x:v>Martes</x:v>
      </x:c>
      <x:c r="C1877" t="str">
        <x:f>IF(COUNTIF(FERIADOS!$A$2:$A$250,A1877)&gt;0,"SÍ","NO")</x:f>
        <x:v>NO</x:v>
      </x:c>
      <x:c r="D1877" t="str">
        <x:f>IF(AND(WEEKDAY(A1877,2)&lt;=5,C1877="NO"),"SÍ","NO")</x:f>
        <x:v>SÍ</x:v>
      </x:c>
      <x:c r="E1877" s="2" t="n">
        <x:f>WORKDAY.INTL(A1877-1,1,1,FERIADOS!$A$2:$A$250)</x:f>
        <x:v>47533</x:v>
      </x:c>
      <x:c r="F1877" t="str">
        <x:f>IF(E1877&gt;=WORKDAY.INTL(EOMONTH(E1877,0)+1,-2,1,FERIADOS!$A$2:$A$250),"SÍ","NO")</x:f>
        <x:v>NO</x:v>
      </x:c>
      <x:c r="G1877" s="2" t="n">
        <x:f>IF(F1877="SÍ",EOMONTH(E1877,0)+1,DATE(YEAR(E1877),MONTH(E1877),1))</x:f>
        <x:v>47515</x:v>
      </x:c>
      <x:c r="H1877" t="str">
        <x:f>IF(D1877="NO",IF(C1877="SÍ","FERIADO","FIN DE SEMANA"),"LABORABLE")&amp;IF(F1877="SÍ"," + CIERRE","")</x:f>
        <x:v>LABORABLE</x:v>
      </x:c>
      <x:c r="I1877" t="str">
        <x:f>TEXT(G1877,"yyyy-mm")</x:f>
        <x:v>2030-02</x:v>
      </x:c>
    </x:row>
    <x:row r="1878">
      <x:c r="A1878" s="2" t="n">
        <x:v>47534</x:v>
      </x:c>
      <x:c r="B1878" t="str">
        <x:f>CHOOSE(WEEKDAY(A1878,2),"Lunes","Martes","Miércoles","Jueves","Viernes","Sábado","Domingo")</x:f>
        <x:v>Miércoles</x:v>
      </x:c>
      <x:c r="C1878" t="str">
        <x:f>IF(COUNTIF(FERIADOS!$A$2:$A$250,A1878)&gt;0,"SÍ","NO")</x:f>
        <x:v>NO</x:v>
      </x:c>
      <x:c r="D1878" t="str">
        <x:f>IF(AND(WEEKDAY(A1878,2)&lt;=5,C1878="NO"),"SÍ","NO")</x:f>
        <x:v>SÍ</x:v>
      </x:c>
      <x:c r="E1878" s="2" t="n">
        <x:f>WORKDAY.INTL(A1878-1,1,1,FERIADOS!$A$2:$A$250)</x:f>
        <x:v>47534</x:v>
      </x:c>
      <x:c r="F1878" t="str">
        <x:f>IF(E1878&gt;=WORKDAY.INTL(EOMONTH(E1878,0)+1,-2,1,FERIADOS!$A$2:$A$250),"SÍ","NO")</x:f>
        <x:v>NO</x:v>
      </x:c>
      <x:c r="G1878" s="2" t="n">
        <x:f>IF(F1878="SÍ",EOMONTH(E1878,0)+1,DATE(YEAR(E1878),MONTH(E1878),1))</x:f>
        <x:v>47515</x:v>
      </x:c>
      <x:c r="H1878" t="str">
        <x:f>IF(D1878="NO",IF(C1878="SÍ","FERIADO","FIN DE SEMANA"),"LABORABLE")&amp;IF(F1878="SÍ"," + CIERRE","")</x:f>
        <x:v>LABORABLE</x:v>
      </x:c>
      <x:c r="I1878" t="str">
        <x:f>TEXT(G1878,"yyyy-mm")</x:f>
        <x:v>2030-02</x:v>
      </x:c>
    </x:row>
    <x:row r="1879">
      <x:c r="A1879" s="2" t="n">
        <x:v>47535</x:v>
      </x:c>
      <x:c r="B1879" t="str">
        <x:f>CHOOSE(WEEKDAY(A1879,2),"Lunes","Martes","Miércoles","Jueves","Viernes","Sábado","Domingo")</x:f>
        <x:v>Jueves</x:v>
      </x:c>
      <x:c r="C1879" t="str">
        <x:f>IF(COUNTIF(FERIADOS!$A$2:$A$250,A1879)&gt;0,"SÍ","NO")</x:f>
        <x:v>NO</x:v>
      </x:c>
      <x:c r="D1879" t="str">
        <x:f>IF(AND(WEEKDAY(A1879,2)&lt;=5,C1879="NO"),"SÍ","NO")</x:f>
        <x:v>SÍ</x:v>
      </x:c>
      <x:c r="E1879" s="2" t="n">
        <x:f>WORKDAY.INTL(A1879-1,1,1,FERIADOS!$A$2:$A$250)</x:f>
        <x:v>47535</x:v>
      </x:c>
      <x:c r="F1879" t="str">
        <x:f>IF(E1879&gt;=WORKDAY.INTL(EOMONTH(E1879,0)+1,-2,1,FERIADOS!$A$2:$A$250),"SÍ","NO")</x:f>
        <x:v>NO</x:v>
      </x:c>
      <x:c r="G1879" s="2" t="n">
        <x:f>IF(F1879="SÍ",EOMONTH(E1879,0)+1,DATE(YEAR(E1879),MONTH(E1879),1))</x:f>
        <x:v>47515</x:v>
      </x:c>
      <x:c r="H1879" t="str">
        <x:f>IF(D1879="NO",IF(C1879="SÍ","FERIADO","FIN DE SEMANA"),"LABORABLE")&amp;IF(F1879="SÍ"," + CIERRE","")</x:f>
        <x:v>LABORABLE</x:v>
      </x:c>
      <x:c r="I1879" t="str">
        <x:f>TEXT(G1879,"yyyy-mm")</x:f>
        <x:v>2030-02</x:v>
      </x:c>
    </x:row>
    <x:row r="1880">
      <x:c r="A1880" s="2" t="n">
        <x:v>47536</x:v>
      </x:c>
      <x:c r="B1880" t="str">
        <x:f>CHOOSE(WEEKDAY(A1880,2),"Lunes","Martes","Miércoles","Jueves","Viernes","Sábado","Domingo")</x:f>
        <x:v>Viernes</x:v>
      </x:c>
      <x:c r="C1880" t="str">
        <x:f>IF(COUNTIF(FERIADOS!$A$2:$A$250,A1880)&gt;0,"SÍ","NO")</x:f>
        <x:v>NO</x:v>
      </x:c>
      <x:c r="D1880" t="str">
        <x:f>IF(AND(WEEKDAY(A1880,2)&lt;=5,C1880="NO"),"SÍ","NO")</x:f>
        <x:v>SÍ</x:v>
      </x:c>
      <x:c r="E1880" s="2" t="n">
        <x:f>WORKDAY.INTL(A1880-1,1,1,FERIADOS!$A$2:$A$250)</x:f>
        <x:v>47536</x:v>
      </x:c>
      <x:c r="F1880" t="str">
        <x:f>IF(E1880&gt;=WORKDAY.INTL(EOMONTH(E1880,0)+1,-2,1,FERIADOS!$A$2:$A$250),"SÍ","NO")</x:f>
        <x:v>NO</x:v>
      </x:c>
      <x:c r="G1880" s="2" t="n">
        <x:f>IF(F1880="SÍ",EOMONTH(E1880,0)+1,DATE(YEAR(E1880),MONTH(E1880),1))</x:f>
        <x:v>47515</x:v>
      </x:c>
      <x:c r="H1880" t="str">
        <x:f>IF(D1880="NO",IF(C1880="SÍ","FERIADO","FIN DE SEMANA"),"LABORABLE")&amp;IF(F1880="SÍ"," + CIERRE","")</x:f>
        <x:v>LABORABLE</x:v>
      </x:c>
      <x:c r="I1880" t="str">
        <x:f>TEXT(G1880,"yyyy-mm")</x:f>
        <x:v>2030-02</x:v>
      </x:c>
    </x:row>
    <x:row r="1881">
      <x:c r="A1881" s="2" t="n">
        <x:v>47537</x:v>
      </x:c>
      <x:c r="B1881" t="str">
        <x:f>CHOOSE(WEEKDAY(A1881,2),"Lunes","Martes","Miércoles","Jueves","Viernes","Sábado","Domingo")</x:f>
        <x:v>Sábado</x:v>
      </x:c>
      <x:c r="C1881" t="str">
        <x:f>IF(COUNTIF(FERIADOS!$A$2:$A$250,A1881)&gt;0,"SÍ","NO")</x:f>
        <x:v>NO</x:v>
      </x:c>
      <x:c r="D1881" t="str">
        <x:f>IF(AND(WEEKDAY(A1881,2)&lt;=5,C1881="NO"),"SÍ","NO")</x:f>
        <x:v>NO</x:v>
      </x:c>
      <x:c r="E1881" s="2" t="n">
        <x:f>WORKDAY.INTL(A1881-1,1,1,FERIADOS!$A$2:$A$250)</x:f>
        <x:v>47539</x:v>
      </x:c>
      <x:c r="F1881" t="str">
        <x:f>IF(E1881&gt;=WORKDAY.INTL(EOMONTH(E1881,0)+1,-2,1,FERIADOS!$A$2:$A$250),"SÍ","NO")</x:f>
        <x:v>NO</x:v>
      </x:c>
      <x:c r="G1881" s="2" t="n">
        <x:f>IF(F1881="SÍ",EOMONTH(E1881,0)+1,DATE(YEAR(E1881),MONTH(E1881),1))</x:f>
        <x:v>47515</x:v>
      </x:c>
      <x:c r="H1881" t="str">
        <x:f>IF(D1881="NO",IF(C1881="SÍ","FERIADO","FIN DE SEMANA"),"LABORABLE")&amp;IF(F1881="SÍ"," + CIERRE","")</x:f>
        <x:v>FIN DE SEMANA</x:v>
      </x:c>
      <x:c r="I1881" t="str">
        <x:f>TEXT(G1881,"yyyy-mm")</x:f>
        <x:v>2030-02</x:v>
      </x:c>
    </x:row>
    <x:row r="1882">
      <x:c r="A1882" s="2" t="n">
        <x:v>47538</x:v>
      </x:c>
      <x:c r="B1882" t="str">
        <x:f>CHOOSE(WEEKDAY(A1882,2),"Lunes","Martes","Miércoles","Jueves","Viernes","Sábado","Domingo")</x:f>
        <x:v>Domingo</x:v>
      </x:c>
      <x:c r="C1882" t="str">
        <x:f>IF(COUNTIF(FERIADOS!$A$2:$A$250,A1882)&gt;0,"SÍ","NO")</x:f>
        <x:v>NO</x:v>
      </x:c>
      <x:c r="D1882" t="str">
        <x:f>IF(AND(WEEKDAY(A1882,2)&lt;=5,C1882="NO"),"SÍ","NO")</x:f>
        <x:v>NO</x:v>
      </x:c>
      <x:c r="E1882" s="2" t="n">
        <x:f>WORKDAY.INTL(A1882-1,1,1,FERIADOS!$A$2:$A$250)</x:f>
        <x:v>47539</x:v>
      </x:c>
      <x:c r="F1882" t="str">
        <x:f>IF(E1882&gt;=WORKDAY.INTL(EOMONTH(E1882,0)+1,-2,1,FERIADOS!$A$2:$A$250),"SÍ","NO")</x:f>
        <x:v>NO</x:v>
      </x:c>
      <x:c r="G1882" s="2" t="n">
        <x:f>IF(F1882="SÍ",EOMONTH(E1882,0)+1,DATE(YEAR(E1882),MONTH(E1882),1))</x:f>
        <x:v>47515</x:v>
      </x:c>
      <x:c r="H1882" t="str">
        <x:f>IF(D1882="NO",IF(C1882="SÍ","FERIADO","FIN DE SEMANA"),"LABORABLE")&amp;IF(F1882="SÍ"," + CIERRE","")</x:f>
        <x:v>FIN DE SEMANA</x:v>
      </x:c>
      <x:c r="I1882" t="str">
        <x:f>TEXT(G1882,"yyyy-mm")</x:f>
        <x:v>2030-02</x:v>
      </x:c>
    </x:row>
    <x:row r="1883">
      <x:c r="A1883" s="2" t="n">
        <x:v>47539</x:v>
      </x:c>
      <x:c r="B1883" t="str">
        <x:f>CHOOSE(WEEKDAY(A1883,2),"Lunes","Martes","Miércoles","Jueves","Viernes","Sábado","Domingo")</x:f>
        <x:v>Lunes</x:v>
      </x:c>
      <x:c r="C1883" t="str">
        <x:f>IF(COUNTIF(FERIADOS!$A$2:$A$250,A1883)&gt;0,"SÍ","NO")</x:f>
        <x:v>NO</x:v>
      </x:c>
      <x:c r="D1883" t="str">
        <x:f>IF(AND(WEEKDAY(A1883,2)&lt;=5,C1883="NO"),"SÍ","NO")</x:f>
        <x:v>SÍ</x:v>
      </x:c>
      <x:c r="E1883" s="2" t="n">
        <x:f>WORKDAY.INTL(A1883-1,1,1,FERIADOS!$A$2:$A$250)</x:f>
        <x:v>47539</x:v>
      </x:c>
      <x:c r="F1883" t="str">
        <x:f>IF(E1883&gt;=WORKDAY.INTL(EOMONTH(E1883,0)+1,-2,1,FERIADOS!$A$2:$A$250),"SÍ","NO")</x:f>
        <x:v>NO</x:v>
      </x:c>
      <x:c r="G1883" s="2" t="n">
        <x:f>IF(F1883="SÍ",EOMONTH(E1883,0)+1,DATE(YEAR(E1883),MONTH(E1883),1))</x:f>
        <x:v>47515</x:v>
      </x:c>
      <x:c r="H1883" t="str">
        <x:f>IF(D1883="NO",IF(C1883="SÍ","FERIADO","FIN DE SEMANA"),"LABORABLE")&amp;IF(F1883="SÍ"," + CIERRE","")</x:f>
        <x:v>LABORABLE</x:v>
      </x:c>
      <x:c r="I1883" t="str">
        <x:f>TEXT(G1883,"yyyy-mm")</x:f>
        <x:v>2030-02</x:v>
      </x:c>
    </x:row>
    <x:row r="1884">
      <x:c r="A1884" s="2" t="n">
        <x:v>47540</x:v>
      </x:c>
      <x:c r="B1884" t="str">
        <x:f>CHOOSE(WEEKDAY(A1884,2),"Lunes","Martes","Miércoles","Jueves","Viernes","Sábado","Domingo")</x:f>
        <x:v>Martes</x:v>
      </x:c>
      <x:c r="C1884" t="str">
        <x:f>IF(COUNTIF(FERIADOS!$A$2:$A$250,A1884)&gt;0,"SÍ","NO")</x:f>
        <x:v>NO</x:v>
      </x:c>
      <x:c r="D1884" t="str">
        <x:f>IF(AND(WEEKDAY(A1884,2)&lt;=5,C1884="NO"),"SÍ","NO")</x:f>
        <x:v>SÍ</x:v>
      </x:c>
      <x:c r="E1884" s="2" t="n">
        <x:f>WORKDAY.INTL(A1884-1,1,1,FERIADOS!$A$2:$A$250)</x:f>
        <x:v>47540</x:v>
      </x:c>
      <x:c r="F1884" t="str">
        <x:f>IF(E1884&gt;=WORKDAY.INTL(EOMONTH(E1884,0)+1,-2,1,FERIADOS!$A$2:$A$250),"SÍ","NO")</x:f>
        <x:v>NO</x:v>
      </x:c>
      <x:c r="G1884" s="2" t="n">
        <x:f>IF(F1884="SÍ",EOMONTH(E1884,0)+1,DATE(YEAR(E1884),MONTH(E1884),1))</x:f>
        <x:v>47515</x:v>
      </x:c>
      <x:c r="H1884" t="str">
        <x:f>IF(D1884="NO",IF(C1884="SÍ","FERIADO","FIN DE SEMANA"),"LABORABLE")&amp;IF(F1884="SÍ"," + CIERRE","")</x:f>
        <x:v>LABORABLE</x:v>
      </x:c>
      <x:c r="I1884" t="str">
        <x:f>TEXT(G1884,"yyyy-mm")</x:f>
        <x:v>2030-02</x:v>
      </x:c>
    </x:row>
    <x:row r="1885">
      <x:c r="A1885" s="2" t="n">
        <x:v>47541</x:v>
      </x:c>
      <x:c r="B1885" t="str">
        <x:f>CHOOSE(WEEKDAY(A1885,2),"Lunes","Martes","Miércoles","Jueves","Viernes","Sábado","Domingo")</x:f>
        <x:v>Miércoles</x:v>
      </x:c>
      <x:c r="C1885" t="str">
        <x:f>IF(COUNTIF(FERIADOS!$A$2:$A$250,A1885)&gt;0,"SÍ","NO")</x:f>
        <x:v>NO</x:v>
      </x:c>
      <x:c r="D1885" t="str">
        <x:f>IF(AND(WEEKDAY(A1885,2)&lt;=5,C1885="NO"),"SÍ","NO")</x:f>
        <x:v>SÍ</x:v>
      </x:c>
      <x:c r="E1885" s="2" t="n">
        <x:f>WORKDAY.INTL(A1885-1,1,1,FERIADOS!$A$2:$A$250)</x:f>
        <x:v>47541</x:v>
      </x:c>
      <x:c r="F1885" t="str">
        <x:f>IF(E1885&gt;=WORKDAY.INTL(EOMONTH(E1885,0)+1,-2,1,FERIADOS!$A$2:$A$250),"SÍ","NO")</x:f>
        <x:v>SÍ</x:v>
      </x:c>
      <x:c r="G1885" s="2" t="n">
        <x:f>IF(F1885="SÍ",EOMONTH(E1885,0)+1,DATE(YEAR(E1885),MONTH(E1885),1))</x:f>
        <x:v>47543</x:v>
      </x:c>
      <x:c r="H1885" t="str">
        <x:f>IF(D1885="NO",IF(C1885="SÍ","FERIADO","FIN DE SEMANA"),"LABORABLE")&amp;IF(F1885="SÍ"," + CIERRE","")</x:f>
        <x:v>LABORABLE + CIERRE</x:v>
      </x:c>
      <x:c r="I1885" t="str">
        <x:f>TEXT(G1885,"yyyy-mm")</x:f>
        <x:v>2030-03</x:v>
      </x:c>
    </x:row>
    <x:row r="1886">
      <x:c r="A1886" s="2" t="n">
        <x:v>47542</x:v>
      </x:c>
      <x:c r="B1886" t="str">
        <x:f>CHOOSE(WEEKDAY(A1886,2),"Lunes","Martes","Miércoles","Jueves","Viernes","Sábado","Domingo")</x:f>
        <x:v>Jueves</x:v>
      </x:c>
      <x:c r="C1886" t="str">
        <x:f>IF(COUNTIF(FERIADOS!$A$2:$A$250,A1886)&gt;0,"SÍ","NO")</x:f>
        <x:v>NO</x:v>
      </x:c>
      <x:c r="D1886" t="str">
        <x:f>IF(AND(WEEKDAY(A1886,2)&lt;=5,C1886="NO"),"SÍ","NO")</x:f>
        <x:v>SÍ</x:v>
      </x:c>
      <x:c r="E1886" s="2" t="n">
        <x:f>WORKDAY.INTL(A1886-1,1,1,FERIADOS!$A$2:$A$250)</x:f>
        <x:v>47542</x:v>
      </x:c>
      <x:c r="F1886" t="str">
        <x:f>IF(E1886&gt;=WORKDAY.INTL(EOMONTH(E1886,0)+1,-2,1,FERIADOS!$A$2:$A$250),"SÍ","NO")</x:f>
        <x:v>SÍ</x:v>
      </x:c>
      <x:c r="G1886" s="2" t="n">
        <x:f>IF(F1886="SÍ",EOMONTH(E1886,0)+1,DATE(YEAR(E1886),MONTH(E1886),1))</x:f>
        <x:v>47543</x:v>
      </x:c>
      <x:c r="H1886" t="str">
        <x:f>IF(D1886="NO",IF(C1886="SÍ","FERIADO","FIN DE SEMANA"),"LABORABLE")&amp;IF(F1886="SÍ"," + CIERRE","")</x:f>
        <x:v>LABORABLE + CIERRE</x:v>
      </x:c>
      <x:c r="I1886" t="str">
        <x:f>TEXT(G1886,"yyyy-mm")</x:f>
        <x:v>2030-03</x:v>
      </x:c>
    </x:row>
    <x:row r="1887">
      <x:c r="A1887" s="2" t="n">
        <x:v>47543</x:v>
      </x:c>
      <x:c r="B1887" t="str">
        <x:f>CHOOSE(WEEKDAY(A1887,2),"Lunes","Martes","Miércoles","Jueves","Viernes","Sábado","Domingo")</x:f>
        <x:v>Viernes</x:v>
      </x:c>
      <x:c r="C1887" t="str">
        <x:f>IF(COUNTIF(FERIADOS!$A$2:$A$250,A1887)&gt;0,"SÍ","NO")</x:f>
        <x:v>NO</x:v>
      </x:c>
      <x:c r="D1887" t="str">
        <x:f>IF(AND(WEEKDAY(A1887,2)&lt;=5,C1887="NO"),"SÍ","NO")</x:f>
        <x:v>SÍ</x:v>
      </x:c>
      <x:c r="E1887" s="2" t="n">
        <x:f>WORKDAY.INTL(A1887-1,1,1,FERIADOS!$A$2:$A$250)</x:f>
        <x:v>47543</x:v>
      </x:c>
      <x:c r="F1887" t="str">
        <x:f>IF(E1887&gt;=WORKDAY.INTL(EOMONTH(E1887,0)+1,-2,1,FERIADOS!$A$2:$A$250),"SÍ","NO")</x:f>
        <x:v>NO</x:v>
      </x:c>
      <x:c r="G1887" s="2" t="n">
        <x:f>IF(F1887="SÍ",EOMONTH(E1887,0)+1,DATE(YEAR(E1887),MONTH(E1887),1))</x:f>
        <x:v>47543</x:v>
      </x:c>
      <x:c r="H1887" t="str">
        <x:f>IF(D1887="NO",IF(C1887="SÍ","FERIADO","FIN DE SEMANA"),"LABORABLE")&amp;IF(F1887="SÍ"," + CIERRE","")</x:f>
        <x:v>LABORABLE</x:v>
      </x:c>
      <x:c r="I1887" t="str">
        <x:f>TEXT(G1887,"yyyy-mm")</x:f>
        <x:v>2030-03</x:v>
      </x:c>
    </x:row>
    <x:row r="1888">
      <x:c r="A1888" s="2" t="n">
        <x:v>47544</x:v>
      </x:c>
      <x:c r="B1888" t="str">
        <x:f>CHOOSE(WEEKDAY(A1888,2),"Lunes","Martes","Miércoles","Jueves","Viernes","Sábado","Domingo")</x:f>
        <x:v>Sábado</x:v>
      </x:c>
      <x:c r="C1888" t="str">
        <x:f>IF(COUNTIF(FERIADOS!$A$2:$A$250,A1888)&gt;0,"SÍ","NO")</x:f>
        <x:v>NO</x:v>
      </x:c>
      <x:c r="D1888" t="str">
        <x:f>IF(AND(WEEKDAY(A1888,2)&lt;=5,C1888="NO"),"SÍ","NO")</x:f>
        <x:v>NO</x:v>
      </x:c>
      <x:c r="E1888" s="2" t="n">
        <x:f>WORKDAY.INTL(A1888-1,1,1,FERIADOS!$A$2:$A$250)</x:f>
        <x:v>47548</x:v>
      </x:c>
      <x:c r="F1888" t="str">
        <x:f>IF(E1888&gt;=WORKDAY.INTL(EOMONTH(E1888,0)+1,-2,1,FERIADOS!$A$2:$A$250),"SÍ","NO")</x:f>
        <x:v>NO</x:v>
      </x:c>
      <x:c r="G1888" s="2" t="n">
        <x:f>IF(F1888="SÍ",EOMONTH(E1888,0)+1,DATE(YEAR(E1888),MONTH(E1888),1))</x:f>
        <x:v>47543</x:v>
      </x:c>
      <x:c r="H1888" t="str">
        <x:f>IF(D1888="NO",IF(C1888="SÍ","FERIADO","FIN DE SEMANA"),"LABORABLE")&amp;IF(F1888="SÍ"," + CIERRE","")</x:f>
        <x:v>FIN DE SEMANA</x:v>
      </x:c>
      <x:c r="I1888" t="str">
        <x:f>TEXT(G1888,"yyyy-mm")</x:f>
        <x:v>2030-03</x:v>
      </x:c>
    </x:row>
    <x:row r="1889">
      <x:c r="A1889" s="2" t="n">
        <x:v>47545</x:v>
      </x:c>
      <x:c r="B1889" t="str">
        <x:f>CHOOSE(WEEKDAY(A1889,2),"Lunes","Martes","Miércoles","Jueves","Viernes","Sábado","Domingo")</x:f>
        <x:v>Domingo</x:v>
      </x:c>
      <x:c r="C1889" t="str">
        <x:f>IF(COUNTIF(FERIADOS!$A$2:$A$250,A1889)&gt;0,"SÍ","NO")</x:f>
        <x:v>NO</x:v>
      </x:c>
      <x:c r="D1889" t="str">
        <x:f>IF(AND(WEEKDAY(A1889,2)&lt;=5,C1889="NO"),"SÍ","NO")</x:f>
        <x:v>NO</x:v>
      </x:c>
      <x:c r="E1889" s="2" t="n">
        <x:f>WORKDAY.INTL(A1889-1,1,1,FERIADOS!$A$2:$A$250)</x:f>
        <x:v>47548</x:v>
      </x:c>
      <x:c r="F1889" t="str">
        <x:f>IF(E1889&gt;=WORKDAY.INTL(EOMONTH(E1889,0)+1,-2,1,FERIADOS!$A$2:$A$250),"SÍ","NO")</x:f>
        <x:v>NO</x:v>
      </x:c>
      <x:c r="G1889" s="2" t="n">
        <x:f>IF(F1889="SÍ",EOMONTH(E1889,0)+1,DATE(YEAR(E1889),MONTH(E1889),1))</x:f>
        <x:v>47543</x:v>
      </x:c>
      <x:c r="H1889" t="str">
        <x:f>IF(D1889="NO",IF(C1889="SÍ","FERIADO","FIN DE SEMANA"),"LABORABLE")&amp;IF(F1889="SÍ"," + CIERRE","")</x:f>
        <x:v>FIN DE SEMANA</x:v>
      </x:c>
      <x:c r="I1889" t="str">
        <x:f>TEXT(G1889,"yyyy-mm")</x:f>
        <x:v>2030-03</x:v>
      </x:c>
    </x:row>
    <x:row r="1890">
      <x:c r="A1890" s="2" t="n">
        <x:v>47546</x:v>
      </x:c>
      <x:c r="B1890" t="str">
        <x:f>CHOOSE(WEEKDAY(A1890,2),"Lunes","Martes","Miércoles","Jueves","Viernes","Sábado","Domingo")</x:f>
        <x:v>Lunes</x:v>
      </x:c>
      <x:c r="C1890" t="str">
        <x:f>IF(COUNTIF(FERIADOS!$A$2:$A$250,A1890)&gt;0,"SÍ","NO")</x:f>
        <x:v>SÍ</x:v>
      </x:c>
      <x:c r="D1890" t="str">
        <x:f>IF(AND(WEEKDAY(A1890,2)&lt;=5,C1890="NO"),"SÍ","NO")</x:f>
        <x:v>NO</x:v>
      </x:c>
      <x:c r="E1890" s="2" t="n">
        <x:f>WORKDAY.INTL(A1890-1,1,1,FERIADOS!$A$2:$A$250)</x:f>
        <x:v>47548</x:v>
      </x:c>
      <x:c r="F1890" t="str">
        <x:f>IF(E1890&gt;=WORKDAY.INTL(EOMONTH(E1890,0)+1,-2,1,FERIADOS!$A$2:$A$250),"SÍ","NO")</x:f>
        <x:v>NO</x:v>
      </x:c>
      <x:c r="G1890" s="2" t="n">
        <x:f>IF(F1890="SÍ",EOMONTH(E1890,0)+1,DATE(YEAR(E1890),MONTH(E1890),1))</x:f>
        <x:v>47543</x:v>
      </x:c>
      <x:c r="H1890" t="str">
        <x:f>IF(D1890="NO",IF(C1890="SÍ","FERIADO","FIN DE SEMANA"),"LABORABLE")&amp;IF(F1890="SÍ"," + CIERRE","")</x:f>
        <x:v>FERIADO</x:v>
      </x:c>
      <x:c r="I1890" t="str">
        <x:f>TEXT(G1890,"yyyy-mm")</x:f>
        <x:v>2030-03</x:v>
      </x:c>
    </x:row>
    <x:row r="1891">
      <x:c r="A1891" s="2" t="n">
        <x:v>47547</x:v>
      </x:c>
      <x:c r="B1891" t="str">
        <x:f>CHOOSE(WEEKDAY(A1891,2),"Lunes","Martes","Miércoles","Jueves","Viernes","Sábado","Domingo")</x:f>
        <x:v>Martes</x:v>
      </x:c>
      <x:c r="C1891" t="str">
        <x:f>IF(COUNTIF(FERIADOS!$A$2:$A$250,A1891)&gt;0,"SÍ","NO")</x:f>
        <x:v>SÍ</x:v>
      </x:c>
      <x:c r="D1891" t="str">
        <x:f>IF(AND(WEEKDAY(A1891,2)&lt;=5,C1891="NO"),"SÍ","NO")</x:f>
        <x:v>NO</x:v>
      </x:c>
      <x:c r="E1891" s="2" t="n">
        <x:f>WORKDAY.INTL(A1891-1,1,1,FERIADOS!$A$2:$A$250)</x:f>
        <x:v>47548</x:v>
      </x:c>
      <x:c r="F1891" t="str">
        <x:f>IF(E1891&gt;=WORKDAY.INTL(EOMONTH(E1891,0)+1,-2,1,FERIADOS!$A$2:$A$250),"SÍ","NO")</x:f>
        <x:v>NO</x:v>
      </x:c>
      <x:c r="G1891" s="2" t="n">
        <x:f>IF(F1891="SÍ",EOMONTH(E1891,0)+1,DATE(YEAR(E1891),MONTH(E1891),1))</x:f>
        <x:v>47543</x:v>
      </x:c>
      <x:c r="H1891" t="str">
        <x:f>IF(D1891="NO",IF(C1891="SÍ","FERIADO","FIN DE SEMANA"),"LABORABLE")&amp;IF(F1891="SÍ"," + CIERRE","")</x:f>
        <x:v>FERIADO</x:v>
      </x:c>
      <x:c r="I1891" t="str">
        <x:f>TEXT(G1891,"yyyy-mm")</x:f>
        <x:v>2030-03</x:v>
      </x:c>
    </x:row>
    <x:row r="1892">
      <x:c r="A1892" s="2" t="n">
        <x:v>47548</x:v>
      </x:c>
      <x:c r="B1892" t="str">
        <x:f>CHOOSE(WEEKDAY(A1892,2),"Lunes","Martes","Miércoles","Jueves","Viernes","Sábado","Domingo")</x:f>
        <x:v>Miércoles</x:v>
      </x:c>
      <x:c r="C1892" t="str">
        <x:f>IF(COUNTIF(FERIADOS!$A$2:$A$250,A1892)&gt;0,"SÍ","NO")</x:f>
        <x:v>NO</x:v>
      </x:c>
      <x:c r="D1892" t="str">
        <x:f>IF(AND(WEEKDAY(A1892,2)&lt;=5,C1892="NO"),"SÍ","NO")</x:f>
        <x:v>SÍ</x:v>
      </x:c>
      <x:c r="E1892" s="2" t="n">
        <x:f>WORKDAY.INTL(A1892-1,1,1,FERIADOS!$A$2:$A$250)</x:f>
        <x:v>47548</x:v>
      </x:c>
      <x:c r="F1892" t="str">
        <x:f>IF(E1892&gt;=WORKDAY.INTL(EOMONTH(E1892,0)+1,-2,1,FERIADOS!$A$2:$A$250),"SÍ","NO")</x:f>
        <x:v>NO</x:v>
      </x:c>
      <x:c r="G1892" s="2" t="n">
        <x:f>IF(F1892="SÍ",EOMONTH(E1892,0)+1,DATE(YEAR(E1892),MONTH(E1892),1))</x:f>
        <x:v>47543</x:v>
      </x:c>
      <x:c r="H1892" t="str">
        <x:f>IF(D1892="NO",IF(C1892="SÍ","FERIADO","FIN DE SEMANA"),"LABORABLE")&amp;IF(F1892="SÍ"," + CIERRE","")</x:f>
        <x:v>LABORABLE</x:v>
      </x:c>
      <x:c r="I1892" t="str">
        <x:f>TEXT(G1892,"yyyy-mm")</x:f>
        <x:v>2030-03</x:v>
      </x:c>
    </x:row>
    <x:row r="1893">
      <x:c r="A1893" s="2" t="n">
        <x:v>47549</x:v>
      </x:c>
      <x:c r="B1893" t="str">
        <x:f>CHOOSE(WEEKDAY(A1893,2),"Lunes","Martes","Miércoles","Jueves","Viernes","Sábado","Domingo")</x:f>
        <x:v>Jueves</x:v>
      </x:c>
      <x:c r="C1893" t="str">
        <x:f>IF(COUNTIF(FERIADOS!$A$2:$A$250,A1893)&gt;0,"SÍ","NO")</x:f>
        <x:v>NO</x:v>
      </x:c>
      <x:c r="D1893" t="str">
        <x:f>IF(AND(WEEKDAY(A1893,2)&lt;=5,C1893="NO"),"SÍ","NO")</x:f>
        <x:v>SÍ</x:v>
      </x:c>
      <x:c r="E1893" s="2" t="n">
        <x:f>WORKDAY.INTL(A1893-1,1,1,FERIADOS!$A$2:$A$250)</x:f>
        <x:v>47549</x:v>
      </x:c>
      <x:c r="F1893" t="str">
        <x:f>IF(E1893&gt;=WORKDAY.INTL(EOMONTH(E1893,0)+1,-2,1,FERIADOS!$A$2:$A$250),"SÍ","NO")</x:f>
        <x:v>NO</x:v>
      </x:c>
      <x:c r="G1893" s="2" t="n">
        <x:f>IF(F1893="SÍ",EOMONTH(E1893,0)+1,DATE(YEAR(E1893),MONTH(E1893),1))</x:f>
        <x:v>47543</x:v>
      </x:c>
      <x:c r="H1893" t="str">
        <x:f>IF(D1893="NO",IF(C1893="SÍ","FERIADO","FIN DE SEMANA"),"LABORABLE")&amp;IF(F1893="SÍ"," + CIERRE","")</x:f>
        <x:v>LABORABLE</x:v>
      </x:c>
      <x:c r="I1893" t="str">
        <x:f>TEXT(G1893,"yyyy-mm")</x:f>
        <x:v>2030-03</x:v>
      </x:c>
    </x:row>
    <x:row r="1894">
      <x:c r="A1894" s="2" t="n">
        <x:v>47550</x:v>
      </x:c>
      <x:c r="B1894" t="str">
        <x:f>CHOOSE(WEEKDAY(A1894,2),"Lunes","Martes","Miércoles","Jueves","Viernes","Sábado","Domingo")</x:f>
        <x:v>Viernes</x:v>
      </x:c>
      <x:c r="C1894" t="str">
        <x:f>IF(COUNTIF(FERIADOS!$A$2:$A$250,A1894)&gt;0,"SÍ","NO")</x:f>
        <x:v>NO</x:v>
      </x:c>
      <x:c r="D1894" t="str">
        <x:f>IF(AND(WEEKDAY(A1894,2)&lt;=5,C1894="NO"),"SÍ","NO")</x:f>
        <x:v>SÍ</x:v>
      </x:c>
      <x:c r="E1894" s="2" t="n">
        <x:f>WORKDAY.INTL(A1894-1,1,1,FERIADOS!$A$2:$A$250)</x:f>
        <x:v>47550</x:v>
      </x:c>
      <x:c r="F1894" t="str">
        <x:f>IF(E1894&gt;=WORKDAY.INTL(EOMONTH(E1894,0)+1,-2,1,FERIADOS!$A$2:$A$250),"SÍ","NO")</x:f>
        <x:v>NO</x:v>
      </x:c>
      <x:c r="G1894" s="2" t="n">
        <x:f>IF(F1894="SÍ",EOMONTH(E1894,0)+1,DATE(YEAR(E1894),MONTH(E1894),1))</x:f>
        <x:v>47543</x:v>
      </x:c>
      <x:c r="H1894" t="str">
        <x:f>IF(D1894="NO",IF(C1894="SÍ","FERIADO","FIN DE SEMANA"),"LABORABLE")&amp;IF(F1894="SÍ"," + CIERRE","")</x:f>
        <x:v>LABORABLE</x:v>
      </x:c>
      <x:c r="I1894" t="str">
        <x:f>TEXT(G1894,"yyyy-mm")</x:f>
        <x:v>2030-03</x:v>
      </x:c>
    </x:row>
    <x:row r="1895">
      <x:c r="A1895" s="2" t="n">
        <x:v>47551</x:v>
      </x:c>
      <x:c r="B1895" t="str">
        <x:f>CHOOSE(WEEKDAY(A1895,2),"Lunes","Martes","Miércoles","Jueves","Viernes","Sábado","Domingo")</x:f>
        <x:v>Sábado</x:v>
      </x:c>
      <x:c r="C1895" t="str">
        <x:f>IF(COUNTIF(FERIADOS!$A$2:$A$250,A1895)&gt;0,"SÍ","NO")</x:f>
        <x:v>NO</x:v>
      </x:c>
      <x:c r="D1895" t="str">
        <x:f>IF(AND(WEEKDAY(A1895,2)&lt;=5,C1895="NO"),"SÍ","NO")</x:f>
        <x:v>NO</x:v>
      </x:c>
      <x:c r="E1895" s="2" t="n">
        <x:f>WORKDAY.INTL(A1895-1,1,1,FERIADOS!$A$2:$A$250)</x:f>
        <x:v>47553</x:v>
      </x:c>
      <x:c r="F1895" t="str">
        <x:f>IF(E1895&gt;=WORKDAY.INTL(EOMONTH(E1895,0)+1,-2,1,FERIADOS!$A$2:$A$250),"SÍ","NO")</x:f>
        <x:v>NO</x:v>
      </x:c>
      <x:c r="G1895" s="2" t="n">
        <x:f>IF(F1895="SÍ",EOMONTH(E1895,0)+1,DATE(YEAR(E1895),MONTH(E1895),1))</x:f>
        <x:v>47543</x:v>
      </x:c>
      <x:c r="H1895" t="str">
        <x:f>IF(D1895="NO",IF(C1895="SÍ","FERIADO","FIN DE SEMANA"),"LABORABLE")&amp;IF(F1895="SÍ"," + CIERRE","")</x:f>
        <x:v>FIN DE SEMANA</x:v>
      </x:c>
      <x:c r="I1895" t="str">
        <x:f>TEXT(G1895,"yyyy-mm")</x:f>
        <x:v>2030-03</x:v>
      </x:c>
    </x:row>
    <x:row r="1896">
      <x:c r="A1896" s="2" t="n">
        <x:v>47552</x:v>
      </x:c>
      <x:c r="B1896" t="str">
        <x:f>CHOOSE(WEEKDAY(A1896,2),"Lunes","Martes","Miércoles","Jueves","Viernes","Sábado","Domingo")</x:f>
        <x:v>Domingo</x:v>
      </x:c>
      <x:c r="C1896" t="str">
        <x:f>IF(COUNTIF(FERIADOS!$A$2:$A$250,A1896)&gt;0,"SÍ","NO")</x:f>
        <x:v>NO</x:v>
      </x:c>
      <x:c r="D1896" t="str">
        <x:f>IF(AND(WEEKDAY(A1896,2)&lt;=5,C1896="NO"),"SÍ","NO")</x:f>
        <x:v>NO</x:v>
      </x:c>
      <x:c r="E1896" s="2" t="n">
        <x:f>WORKDAY.INTL(A1896-1,1,1,FERIADOS!$A$2:$A$250)</x:f>
        <x:v>47553</x:v>
      </x:c>
      <x:c r="F1896" t="str">
        <x:f>IF(E1896&gt;=WORKDAY.INTL(EOMONTH(E1896,0)+1,-2,1,FERIADOS!$A$2:$A$250),"SÍ","NO")</x:f>
        <x:v>NO</x:v>
      </x:c>
      <x:c r="G1896" s="2" t="n">
        <x:f>IF(F1896="SÍ",EOMONTH(E1896,0)+1,DATE(YEAR(E1896),MONTH(E1896),1))</x:f>
        <x:v>47543</x:v>
      </x:c>
      <x:c r="H1896" t="str">
        <x:f>IF(D1896="NO",IF(C1896="SÍ","FERIADO","FIN DE SEMANA"),"LABORABLE")&amp;IF(F1896="SÍ"," + CIERRE","")</x:f>
        <x:v>FIN DE SEMANA</x:v>
      </x:c>
      <x:c r="I1896" t="str">
        <x:f>TEXT(G1896,"yyyy-mm")</x:f>
        <x:v>2030-03</x:v>
      </x:c>
    </x:row>
    <x:row r="1897">
      <x:c r="A1897" s="2" t="n">
        <x:v>47553</x:v>
      </x:c>
      <x:c r="B1897" t="str">
        <x:f>CHOOSE(WEEKDAY(A1897,2),"Lunes","Martes","Miércoles","Jueves","Viernes","Sábado","Domingo")</x:f>
        <x:v>Lunes</x:v>
      </x:c>
      <x:c r="C1897" t="str">
        <x:f>IF(COUNTIF(FERIADOS!$A$2:$A$250,A1897)&gt;0,"SÍ","NO")</x:f>
        <x:v>NO</x:v>
      </x:c>
      <x:c r="D1897" t="str">
        <x:f>IF(AND(WEEKDAY(A1897,2)&lt;=5,C1897="NO"),"SÍ","NO")</x:f>
        <x:v>SÍ</x:v>
      </x:c>
      <x:c r="E1897" s="2" t="n">
        <x:f>WORKDAY.INTL(A1897-1,1,1,FERIADOS!$A$2:$A$250)</x:f>
        <x:v>47553</x:v>
      </x:c>
      <x:c r="F1897" t="str">
        <x:f>IF(E1897&gt;=WORKDAY.INTL(EOMONTH(E1897,0)+1,-2,1,FERIADOS!$A$2:$A$250),"SÍ","NO")</x:f>
        <x:v>NO</x:v>
      </x:c>
      <x:c r="G1897" s="2" t="n">
        <x:f>IF(F1897="SÍ",EOMONTH(E1897,0)+1,DATE(YEAR(E1897),MONTH(E1897),1))</x:f>
        <x:v>47543</x:v>
      </x:c>
      <x:c r="H1897" t="str">
        <x:f>IF(D1897="NO",IF(C1897="SÍ","FERIADO","FIN DE SEMANA"),"LABORABLE")&amp;IF(F1897="SÍ"," + CIERRE","")</x:f>
        <x:v>LABORABLE</x:v>
      </x:c>
      <x:c r="I1897" t="str">
        <x:f>TEXT(G1897,"yyyy-mm")</x:f>
        <x:v>2030-03</x:v>
      </x:c>
    </x:row>
    <x:row r="1898">
      <x:c r="A1898" s="2" t="n">
        <x:v>47554</x:v>
      </x:c>
      <x:c r="B1898" t="str">
        <x:f>CHOOSE(WEEKDAY(A1898,2),"Lunes","Martes","Miércoles","Jueves","Viernes","Sábado","Domingo")</x:f>
        <x:v>Martes</x:v>
      </x:c>
      <x:c r="C1898" t="str">
        <x:f>IF(COUNTIF(FERIADOS!$A$2:$A$250,A1898)&gt;0,"SÍ","NO")</x:f>
        <x:v>NO</x:v>
      </x:c>
      <x:c r="D1898" t="str">
        <x:f>IF(AND(WEEKDAY(A1898,2)&lt;=5,C1898="NO"),"SÍ","NO")</x:f>
        <x:v>SÍ</x:v>
      </x:c>
      <x:c r="E1898" s="2" t="n">
        <x:f>WORKDAY.INTL(A1898-1,1,1,FERIADOS!$A$2:$A$250)</x:f>
        <x:v>47554</x:v>
      </x:c>
      <x:c r="F1898" t="str">
        <x:f>IF(E1898&gt;=WORKDAY.INTL(EOMONTH(E1898,0)+1,-2,1,FERIADOS!$A$2:$A$250),"SÍ","NO")</x:f>
        <x:v>NO</x:v>
      </x:c>
      <x:c r="G1898" s="2" t="n">
        <x:f>IF(F1898="SÍ",EOMONTH(E1898,0)+1,DATE(YEAR(E1898),MONTH(E1898),1))</x:f>
        <x:v>47543</x:v>
      </x:c>
      <x:c r="H1898" t="str">
        <x:f>IF(D1898="NO",IF(C1898="SÍ","FERIADO","FIN DE SEMANA"),"LABORABLE")&amp;IF(F1898="SÍ"," + CIERRE","")</x:f>
        <x:v>LABORABLE</x:v>
      </x:c>
      <x:c r="I1898" t="str">
        <x:f>TEXT(G1898,"yyyy-mm")</x:f>
        <x:v>2030-03</x:v>
      </x:c>
    </x:row>
    <x:row r="1899">
      <x:c r="A1899" s="2" t="n">
        <x:v>47555</x:v>
      </x:c>
      <x:c r="B1899" t="str">
        <x:f>CHOOSE(WEEKDAY(A1899,2),"Lunes","Martes","Miércoles","Jueves","Viernes","Sábado","Domingo")</x:f>
        <x:v>Miércoles</x:v>
      </x:c>
      <x:c r="C1899" t="str">
        <x:f>IF(COUNTIF(FERIADOS!$A$2:$A$250,A1899)&gt;0,"SÍ","NO")</x:f>
        <x:v>NO</x:v>
      </x:c>
      <x:c r="D1899" t="str">
        <x:f>IF(AND(WEEKDAY(A1899,2)&lt;=5,C1899="NO"),"SÍ","NO")</x:f>
        <x:v>SÍ</x:v>
      </x:c>
      <x:c r="E1899" s="2" t="n">
        <x:f>WORKDAY.INTL(A1899-1,1,1,FERIADOS!$A$2:$A$250)</x:f>
        <x:v>47555</x:v>
      </x:c>
      <x:c r="F1899" t="str">
        <x:f>IF(E1899&gt;=WORKDAY.INTL(EOMONTH(E1899,0)+1,-2,1,FERIADOS!$A$2:$A$250),"SÍ","NO")</x:f>
        <x:v>NO</x:v>
      </x:c>
      <x:c r="G1899" s="2" t="n">
        <x:f>IF(F1899="SÍ",EOMONTH(E1899,0)+1,DATE(YEAR(E1899),MONTH(E1899),1))</x:f>
        <x:v>47543</x:v>
      </x:c>
      <x:c r="H1899" t="str">
        <x:f>IF(D1899="NO",IF(C1899="SÍ","FERIADO","FIN DE SEMANA"),"LABORABLE")&amp;IF(F1899="SÍ"," + CIERRE","")</x:f>
        <x:v>LABORABLE</x:v>
      </x:c>
      <x:c r="I1899" t="str">
        <x:f>TEXT(G1899,"yyyy-mm")</x:f>
        <x:v>2030-03</x:v>
      </x:c>
    </x:row>
    <x:row r="1900">
      <x:c r="A1900" s="2" t="n">
        <x:v>47556</x:v>
      </x:c>
      <x:c r="B1900" t="str">
        <x:f>CHOOSE(WEEKDAY(A1900,2),"Lunes","Martes","Miércoles","Jueves","Viernes","Sábado","Domingo")</x:f>
        <x:v>Jueves</x:v>
      </x:c>
      <x:c r="C1900" t="str">
        <x:f>IF(COUNTIF(FERIADOS!$A$2:$A$250,A1900)&gt;0,"SÍ","NO")</x:f>
        <x:v>NO</x:v>
      </x:c>
      <x:c r="D1900" t="str">
        <x:f>IF(AND(WEEKDAY(A1900,2)&lt;=5,C1900="NO"),"SÍ","NO")</x:f>
        <x:v>SÍ</x:v>
      </x:c>
      <x:c r="E1900" s="2" t="n">
        <x:f>WORKDAY.INTL(A1900-1,1,1,FERIADOS!$A$2:$A$250)</x:f>
        <x:v>47556</x:v>
      </x:c>
      <x:c r="F1900" t="str">
        <x:f>IF(E1900&gt;=WORKDAY.INTL(EOMONTH(E1900,0)+1,-2,1,FERIADOS!$A$2:$A$250),"SÍ","NO")</x:f>
        <x:v>NO</x:v>
      </x:c>
      <x:c r="G1900" s="2" t="n">
        <x:f>IF(F1900="SÍ",EOMONTH(E1900,0)+1,DATE(YEAR(E1900),MONTH(E1900),1))</x:f>
        <x:v>47543</x:v>
      </x:c>
      <x:c r="H1900" t="str">
        <x:f>IF(D1900="NO",IF(C1900="SÍ","FERIADO","FIN DE SEMANA"),"LABORABLE")&amp;IF(F1900="SÍ"," + CIERRE","")</x:f>
        <x:v>LABORABLE</x:v>
      </x:c>
      <x:c r="I1900" t="str">
        <x:f>TEXT(G1900,"yyyy-mm")</x:f>
        <x:v>2030-03</x:v>
      </x:c>
    </x:row>
    <x:row r="1901">
      <x:c r="A1901" s="2" t="n">
        <x:v>47557</x:v>
      </x:c>
      <x:c r="B1901" t="str">
        <x:f>CHOOSE(WEEKDAY(A1901,2),"Lunes","Martes","Miércoles","Jueves","Viernes","Sábado","Domingo")</x:f>
        <x:v>Viernes</x:v>
      </x:c>
      <x:c r="C1901" t="str">
        <x:f>IF(COUNTIF(FERIADOS!$A$2:$A$250,A1901)&gt;0,"SÍ","NO")</x:f>
        <x:v>NO</x:v>
      </x:c>
      <x:c r="D1901" t="str">
        <x:f>IF(AND(WEEKDAY(A1901,2)&lt;=5,C1901="NO"),"SÍ","NO")</x:f>
        <x:v>SÍ</x:v>
      </x:c>
      <x:c r="E1901" s="2" t="n">
        <x:f>WORKDAY.INTL(A1901-1,1,1,FERIADOS!$A$2:$A$250)</x:f>
        <x:v>47557</x:v>
      </x:c>
      <x:c r="F1901" t="str">
        <x:f>IF(E1901&gt;=WORKDAY.INTL(EOMONTH(E1901,0)+1,-2,1,FERIADOS!$A$2:$A$250),"SÍ","NO")</x:f>
        <x:v>NO</x:v>
      </x:c>
      <x:c r="G1901" s="2" t="n">
        <x:f>IF(F1901="SÍ",EOMONTH(E1901,0)+1,DATE(YEAR(E1901),MONTH(E1901),1))</x:f>
        <x:v>47543</x:v>
      </x:c>
      <x:c r="H1901" t="str">
        <x:f>IF(D1901="NO",IF(C1901="SÍ","FERIADO","FIN DE SEMANA"),"LABORABLE")&amp;IF(F1901="SÍ"," + CIERRE","")</x:f>
        <x:v>LABORABLE</x:v>
      </x:c>
      <x:c r="I1901" t="str">
        <x:f>TEXT(G1901,"yyyy-mm")</x:f>
        <x:v>2030-03</x:v>
      </x:c>
    </x:row>
    <x:row r="1902">
      <x:c r="A1902" s="2" t="n">
        <x:v>47558</x:v>
      </x:c>
      <x:c r="B1902" t="str">
        <x:f>CHOOSE(WEEKDAY(A1902,2),"Lunes","Martes","Miércoles","Jueves","Viernes","Sábado","Domingo")</x:f>
        <x:v>Sábado</x:v>
      </x:c>
      <x:c r="C1902" t="str">
        <x:f>IF(COUNTIF(FERIADOS!$A$2:$A$250,A1902)&gt;0,"SÍ","NO")</x:f>
        <x:v>NO</x:v>
      </x:c>
      <x:c r="D1902" t="str">
        <x:f>IF(AND(WEEKDAY(A1902,2)&lt;=5,C1902="NO"),"SÍ","NO")</x:f>
        <x:v>NO</x:v>
      </x:c>
      <x:c r="E1902" s="2" t="n">
        <x:f>WORKDAY.INTL(A1902-1,1,1,FERIADOS!$A$2:$A$250)</x:f>
        <x:v>47560</x:v>
      </x:c>
      <x:c r="F1902" t="str">
        <x:f>IF(E1902&gt;=WORKDAY.INTL(EOMONTH(E1902,0)+1,-2,1,FERIADOS!$A$2:$A$250),"SÍ","NO")</x:f>
        <x:v>NO</x:v>
      </x:c>
      <x:c r="G1902" s="2" t="n">
        <x:f>IF(F1902="SÍ",EOMONTH(E1902,0)+1,DATE(YEAR(E1902),MONTH(E1902),1))</x:f>
        <x:v>47543</x:v>
      </x:c>
      <x:c r="H1902" t="str">
        <x:f>IF(D1902="NO",IF(C1902="SÍ","FERIADO","FIN DE SEMANA"),"LABORABLE")&amp;IF(F1902="SÍ"," + CIERRE","")</x:f>
        <x:v>FIN DE SEMANA</x:v>
      </x:c>
      <x:c r="I1902" t="str">
        <x:f>TEXT(G1902,"yyyy-mm")</x:f>
        <x:v>2030-03</x:v>
      </x:c>
    </x:row>
    <x:row r="1903">
      <x:c r="A1903" s="2" t="n">
        <x:v>47559</x:v>
      </x:c>
      <x:c r="B1903" t="str">
        <x:f>CHOOSE(WEEKDAY(A1903,2),"Lunes","Martes","Miércoles","Jueves","Viernes","Sábado","Domingo")</x:f>
        <x:v>Domingo</x:v>
      </x:c>
      <x:c r="C1903" t="str">
        <x:f>IF(COUNTIF(FERIADOS!$A$2:$A$250,A1903)&gt;0,"SÍ","NO")</x:f>
        <x:v>NO</x:v>
      </x:c>
      <x:c r="D1903" t="str">
        <x:f>IF(AND(WEEKDAY(A1903,2)&lt;=5,C1903="NO"),"SÍ","NO")</x:f>
        <x:v>NO</x:v>
      </x:c>
      <x:c r="E1903" s="2" t="n">
        <x:f>WORKDAY.INTL(A1903-1,1,1,FERIADOS!$A$2:$A$250)</x:f>
        <x:v>47560</x:v>
      </x:c>
      <x:c r="F1903" t="str">
        <x:f>IF(E1903&gt;=WORKDAY.INTL(EOMONTH(E1903,0)+1,-2,1,FERIADOS!$A$2:$A$250),"SÍ","NO")</x:f>
        <x:v>NO</x:v>
      </x:c>
      <x:c r="G1903" s="2" t="n">
        <x:f>IF(F1903="SÍ",EOMONTH(E1903,0)+1,DATE(YEAR(E1903),MONTH(E1903),1))</x:f>
        <x:v>47543</x:v>
      </x:c>
      <x:c r="H1903" t="str">
        <x:f>IF(D1903="NO",IF(C1903="SÍ","FERIADO","FIN DE SEMANA"),"LABORABLE")&amp;IF(F1903="SÍ"," + CIERRE","")</x:f>
        <x:v>FIN DE SEMANA</x:v>
      </x:c>
      <x:c r="I1903" t="str">
        <x:f>TEXT(G1903,"yyyy-mm")</x:f>
        <x:v>2030-03</x:v>
      </x:c>
    </x:row>
    <x:row r="1904">
      <x:c r="A1904" s="2" t="n">
        <x:v>47560</x:v>
      </x:c>
      <x:c r="B1904" t="str">
        <x:f>CHOOSE(WEEKDAY(A1904,2),"Lunes","Martes","Miércoles","Jueves","Viernes","Sábado","Domingo")</x:f>
        <x:v>Lunes</x:v>
      </x:c>
      <x:c r="C1904" t="str">
        <x:f>IF(COUNTIF(FERIADOS!$A$2:$A$250,A1904)&gt;0,"SÍ","NO")</x:f>
        <x:v>NO</x:v>
      </x:c>
      <x:c r="D1904" t="str">
        <x:f>IF(AND(WEEKDAY(A1904,2)&lt;=5,C1904="NO"),"SÍ","NO")</x:f>
        <x:v>SÍ</x:v>
      </x:c>
      <x:c r="E1904" s="2" t="n">
        <x:f>WORKDAY.INTL(A1904-1,1,1,FERIADOS!$A$2:$A$250)</x:f>
        <x:v>47560</x:v>
      </x:c>
      <x:c r="F1904" t="str">
        <x:f>IF(E1904&gt;=WORKDAY.INTL(EOMONTH(E1904,0)+1,-2,1,FERIADOS!$A$2:$A$250),"SÍ","NO")</x:f>
        <x:v>NO</x:v>
      </x:c>
      <x:c r="G1904" s="2" t="n">
        <x:f>IF(F1904="SÍ",EOMONTH(E1904,0)+1,DATE(YEAR(E1904),MONTH(E1904),1))</x:f>
        <x:v>47543</x:v>
      </x:c>
      <x:c r="H1904" t="str">
        <x:f>IF(D1904="NO",IF(C1904="SÍ","FERIADO","FIN DE SEMANA"),"LABORABLE")&amp;IF(F1904="SÍ"," + CIERRE","")</x:f>
        <x:v>LABORABLE</x:v>
      </x:c>
      <x:c r="I1904" t="str">
        <x:f>TEXT(G1904,"yyyy-mm")</x:f>
        <x:v>2030-03</x:v>
      </x:c>
    </x:row>
    <x:row r="1905">
      <x:c r="A1905" s="2" t="n">
        <x:v>47561</x:v>
      </x:c>
      <x:c r="B1905" t="str">
        <x:f>CHOOSE(WEEKDAY(A1905,2),"Lunes","Martes","Miércoles","Jueves","Viernes","Sábado","Domingo")</x:f>
        <x:v>Martes</x:v>
      </x:c>
      <x:c r="C1905" t="str">
        <x:f>IF(COUNTIF(FERIADOS!$A$2:$A$250,A1905)&gt;0,"SÍ","NO")</x:f>
        <x:v>NO</x:v>
      </x:c>
      <x:c r="D1905" t="str">
        <x:f>IF(AND(WEEKDAY(A1905,2)&lt;=5,C1905="NO"),"SÍ","NO")</x:f>
        <x:v>SÍ</x:v>
      </x:c>
      <x:c r="E1905" s="2" t="n">
        <x:f>WORKDAY.INTL(A1905-1,1,1,FERIADOS!$A$2:$A$250)</x:f>
        <x:v>47561</x:v>
      </x:c>
      <x:c r="F1905" t="str">
        <x:f>IF(E1905&gt;=WORKDAY.INTL(EOMONTH(E1905,0)+1,-2,1,FERIADOS!$A$2:$A$250),"SÍ","NO")</x:f>
        <x:v>NO</x:v>
      </x:c>
      <x:c r="G1905" s="2" t="n">
        <x:f>IF(F1905="SÍ",EOMONTH(E1905,0)+1,DATE(YEAR(E1905),MONTH(E1905),1))</x:f>
        <x:v>47543</x:v>
      </x:c>
      <x:c r="H1905" t="str">
        <x:f>IF(D1905="NO",IF(C1905="SÍ","FERIADO","FIN DE SEMANA"),"LABORABLE")&amp;IF(F1905="SÍ"," + CIERRE","")</x:f>
        <x:v>LABORABLE</x:v>
      </x:c>
      <x:c r="I1905" t="str">
        <x:f>TEXT(G1905,"yyyy-mm")</x:f>
        <x:v>2030-03</x:v>
      </x:c>
    </x:row>
    <x:row r="1906">
      <x:c r="A1906" s="2" t="n">
        <x:v>47562</x:v>
      </x:c>
      <x:c r="B1906" t="str">
        <x:f>CHOOSE(WEEKDAY(A1906,2),"Lunes","Martes","Miércoles","Jueves","Viernes","Sábado","Domingo")</x:f>
        <x:v>Miércoles</x:v>
      </x:c>
      <x:c r="C1906" t="str">
        <x:f>IF(COUNTIF(FERIADOS!$A$2:$A$250,A1906)&gt;0,"SÍ","NO")</x:f>
        <x:v>NO</x:v>
      </x:c>
      <x:c r="D1906" t="str">
        <x:f>IF(AND(WEEKDAY(A1906,2)&lt;=5,C1906="NO"),"SÍ","NO")</x:f>
        <x:v>SÍ</x:v>
      </x:c>
      <x:c r="E1906" s="2" t="n">
        <x:f>WORKDAY.INTL(A1906-1,1,1,FERIADOS!$A$2:$A$250)</x:f>
        <x:v>47562</x:v>
      </x:c>
      <x:c r="F1906" t="str">
        <x:f>IF(E1906&gt;=WORKDAY.INTL(EOMONTH(E1906,0)+1,-2,1,FERIADOS!$A$2:$A$250),"SÍ","NO")</x:f>
        <x:v>NO</x:v>
      </x:c>
      <x:c r="G1906" s="2" t="n">
        <x:f>IF(F1906="SÍ",EOMONTH(E1906,0)+1,DATE(YEAR(E1906),MONTH(E1906),1))</x:f>
        <x:v>47543</x:v>
      </x:c>
      <x:c r="H1906" t="str">
        <x:f>IF(D1906="NO",IF(C1906="SÍ","FERIADO","FIN DE SEMANA"),"LABORABLE")&amp;IF(F1906="SÍ"," + CIERRE","")</x:f>
        <x:v>LABORABLE</x:v>
      </x:c>
      <x:c r="I1906" t="str">
        <x:f>TEXT(G1906,"yyyy-mm")</x:f>
        <x:v>2030-03</x:v>
      </x:c>
    </x:row>
    <x:row r="1907">
      <x:c r="A1907" s="2" t="n">
        <x:v>47563</x:v>
      </x:c>
      <x:c r="B1907" t="str">
        <x:f>CHOOSE(WEEKDAY(A1907,2),"Lunes","Martes","Miércoles","Jueves","Viernes","Sábado","Domingo")</x:f>
        <x:v>Jueves</x:v>
      </x:c>
      <x:c r="C1907" t="str">
        <x:f>IF(COUNTIF(FERIADOS!$A$2:$A$250,A1907)&gt;0,"SÍ","NO")</x:f>
        <x:v>NO</x:v>
      </x:c>
      <x:c r="D1907" t="str">
        <x:f>IF(AND(WEEKDAY(A1907,2)&lt;=5,C1907="NO"),"SÍ","NO")</x:f>
        <x:v>SÍ</x:v>
      </x:c>
      <x:c r="E1907" s="2" t="n">
        <x:f>WORKDAY.INTL(A1907-1,1,1,FERIADOS!$A$2:$A$250)</x:f>
        <x:v>47563</x:v>
      </x:c>
      <x:c r="F1907" t="str">
        <x:f>IF(E1907&gt;=WORKDAY.INTL(EOMONTH(E1907,0)+1,-2,1,FERIADOS!$A$2:$A$250),"SÍ","NO")</x:f>
        <x:v>NO</x:v>
      </x:c>
      <x:c r="G1907" s="2" t="n">
        <x:f>IF(F1907="SÍ",EOMONTH(E1907,0)+1,DATE(YEAR(E1907),MONTH(E1907),1))</x:f>
        <x:v>47543</x:v>
      </x:c>
      <x:c r="H1907" t="str">
        <x:f>IF(D1907="NO",IF(C1907="SÍ","FERIADO","FIN DE SEMANA"),"LABORABLE")&amp;IF(F1907="SÍ"," + CIERRE","")</x:f>
        <x:v>LABORABLE</x:v>
      </x:c>
      <x:c r="I1907" t="str">
        <x:f>TEXT(G1907,"yyyy-mm")</x:f>
        <x:v>2030-03</x:v>
      </x:c>
    </x:row>
    <x:row r="1908">
      <x:c r="A1908" s="2" t="n">
        <x:v>47564</x:v>
      </x:c>
      <x:c r="B1908" t="str">
        <x:f>CHOOSE(WEEKDAY(A1908,2),"Lunes","Martes","Miércoles","Jueves","Viernes","Sábado","Domingo")</x:f>
        <x:v>Viernes</x:v>
      </x:c>
      <x:c r="C1908" t="str">
        <x:f>IF(COUNTIF(FERIADOS!$A$2:$A$250,A1908)&gt;0,"SÍ","NO")</x:f>
        <x:v>NO</x:v>
      </x:c>
      <x:c r="D1908" t="str">
        <x:f>IF(AND(WEEKDAY(A1908,2)&lt;=5,C1908="NO"),"SÍ","NO")</x:f>
        <x:v>SÍ</x:v>
      </x:c>
      <x:c r="E1908" s="2" t="n">
        <x:f>WORKDAY.INTL(A1908-1,1,1,FERIADOS!$A$2:$A$250)</x:f>
        <x:v>47564</x:v>
      </x:c>
      <x:c r="F1908" t="str">
        <x:f>IF(E1908&gt;=WORKDAY.INTL(EOMONTH(E1908,0)+1,-2,1,FERIADOS!$A$2:$A$250),"SÍ","NO")</x:f>
        <x:v>NO</x:v>
      </x:c>
      <x:c r="G1908" s="2" t="n">
        <x:f>IF(F1908="SÍ",EOMONTH(E1908,0)+1,DATE(YEAR(E1908),MONTH(E1908),1))</x:f>
        <x:v>47543</x:v>
      </x:c>
      <x:c r="H1908" t="str">
        <x:f>IF(D1908="NO",IF(C1908="SÍ","FERIADO","FIN DE SEMANA"),"LABORABLE")&amp;IF(F1908="SÍ"," + CIERRE","")</x:f>
        <x:v>LABORABLE</x:v>
      </x:c>
      <x:c r="I1908" t="str">
        <x:f>TEXT(G1908,"yyyy-mm")</x:f>
        <x:v>2030-03</x:v>
      </x:c>
    </x:row>
    <x:row r="1909">
      <x:c r="A1909" s="2" t="n">
        <x:v>47565</x:v>
      </x:c>
      <x:c r="B1909" t="str">
        <x:f>CHOOSE(WEEKDAY(A1909,2),"Lunes","Martes","Miércoles","Jueves","Viernes","Sábado","Domingo")</x:f>
        <x:v>Sábado</x:v>
      </x:c>
      <x:c r="C1909" t="str">
        <x:f>IF(COUNTIF(FERIADOS!$A$2:$A$250,A1909)&gt;0,"SÍ","NO")</x:f>
        <x:v>NO</x:v>
      </x:c>
      <x:c r="D1909" t="str">
        <x:f>IF(AND(WEEKDAY(A1909,2)&lt;=5,C1909="NO"),"SÍ","NO")</x:f>
        <x:v>NO</x:v>
      </x:c>
      <x:c r="E1909" s="2" t="n">
        <x:f>WORKDAY.INTL(A1909-1,1,1,FERIADOS!$A$2:$A$250)</x:f>
        <x:v>47567</x:v>
      </x:c>
      <x:c r="F1909" t="str">
        <x:f>IF(E1909&gt;=WORKDAY.INTL(EOMONTH(E1909,0)+1,-2,1,FERIADOS!$A$2:$A$250),"SÍ","NO")</x:f>
        <x:v>NO</x:v>
      </x:c>
      <x:c r="G1909" s="2" t="n">
        <x:f>IF(F1909="SÍ",EOMONTH(E1909,0)+1,DATE(YEAR(E1909),MONTH(E1909),1))</x:f>
        <x:v>47543</x:v>
      </x:c>
      <x:c r="H1909" t="str">
        <x:f>IF(D1909="NO",IF(C1909="SÍ","FERIADO","FIN DE SEMANA"),"LABORABLE")&amp;IF(F1909="SÍ"," + CIERRE","")</x:f>
        <x:v>FIN DE SEMANA</x:v>
      </x:c>
      <x:c r="I1909" t="str">
        <x:f>TEXT(G1909,"yyyy-mm")</x:f>
        <x:v>2030-03</x:v>
      </x:c>
    </x:row>
    <x:row r="1910">
      <x:c r="A1910" s="2" t="n">
        <x:v>47566</x:v>
      </x:c>
      <x:c r="B1910" t="str">
        <x:f>CHOOSE(WEEKDAY(A1910,2),"Lunes","Martes","Miércoles","Jueves","Viernes","Sábado","Domingo")</x:f>
        <x:v>Domingo</x:v>
      </x:c>
      <x:c r="C1910" t="str">
        <x:f>IF(COUNTIF(FERIADOS!$A$2:$A$250,A1910)&gt;0,"SÍ","NO")</x:f>
        <x:v>NO</x:v>
      </x:c>
      <x:c r="D1910" t="str">
        <x:f>IF(AND(WEEKDAY(A1910,2)&lt;=5,C1910="NO"),"SÍ","NO")</x:f>
        <x:v>NO</x:v>
      </x:c>
      <x:c r="E1910" s="2" t="n">
        <x:f>WORKDAY.INTL(A1910-1,1,1,FERIADOS!$A$2:$A$250)</x:f>
        <x:v>47567</x:v>
      </x:c>
      <x:c r="F1910" t="str">
        <x:f>IF(E1910&gt;=WORKDAY.INTL(EOMONTH(E1910,0)+1,-2,1,FERIADOS!$A$2:$A$250),"SÍ","NO")</x:f>
        <x:v>NO</x:v>
      </x:c>
      <x:c r="G1910" s="2" t="n">
        <x:f>IF(F1910="SÍ",EOMONTH(E1910,0)+1,DATE(YEAR(E1910),MONTH(E1910),1))</x:f>
        <x:v>47543</x:v>
      </x:c>
      <x:c r="H1910" t="str">
        <x:f>IF(D1910="NO",IF(C1910="SÍ","FERIADO","FIN DE SEMANA"),"LABORABLE")&amp;IF(F1910="SÍ"," + CIERRE","")</x:f>
        <x:v>FIN DE SEMANA</x:v>
      </x:c>
      <x:c r="I1910" t="str">
        <x:f>TEXT(G1910,"yyyy-mm")</x:f>
        <x:v>2030-03</x:v>
      </x:c>
    </x:row>
    <x:row r="1911">
      <x:c r="A1911" s="2" t="n">
        <x:v>47567</x:v>
      </x:c>
      <x:c r="B1911" t="str">
        <x:f>CHOOSE(WEEKDAY(A1911,2),"Lunes","Martes","Miércoles","Jueves","Viernes","Sábado","Domingo")</x:f>
        <x:v>Lunes</x:v>
      </x:c>
      <x:c r="C1911" t="str">
        <x:f>IF(COUNTIF(FERIADOS!$A$2:$A$250,A1911)&gt;0,"SÍ","NO")</x:f>
        <x:v>NO</x:v>
      </x:c>
      <x:c r="D1911" t="str">
        <x:f>IF(AND(WEEKDAY(A1911,2)&lt;=5,C1911="NO"),"SÍ","NO")</x:f>
        <x:v>SÍ</x:v>
      </x:c>
      <x:c r="E1911" s="2" t="n">
        <x:f>WORKDAY.INTL(A1911-1,1,1,FERIADOS!$A$2:$A$250)</x:f>
        <x:v>47567</x:v>
      </x:c>
      <x:c r="F1911" t="str">
        <x:f>IF(E1911&gt;=WORKDAY.INTL(EOMONTH(E1911,0)+1,-2,1,FERIADOS!$A$2:$A$250),"SÍ","NO")</x:f>
        <x:v>NO</x:v>
      </x:c>
      <x:c r="G1911" s="2" t="n">
        <x:f>IF(F1911="SÍ",EOMONTH(E1911,0)+1,DATE(YEAR(E1911),MONTH(E1911),1))</x:f>
        <x:v>47543</x:v>
      </x:c>
      <x:c r="H1911" t="str">
        <x:f>IF(D1911="NO",IF(C1911="SÍ","FERIADO","FIN DE SEMANA"),"LABORABLE")&amp;IF(F1911="SÍ"," + CIERRE","")</x:f>
        <x:v>LABORABLE</x:v>
      </x:c>
      <x:c r="I1911" t="str">
        <x:f>TEXT(G1911,"yyyy-mm")</x:f>
        <x:v>2030-03</x:v>
      </x:c>
    </x:row>
    <x:row r="1912">
      <x:c r="A1912" s="2" t="n">
        <x:v>47568</x:v>
      </x:c>
      <x:c r="B1912" t="str">
        <x:f>CHOOSE(WEEKDAY(A1912,2),"Lunes","Martes","Miércoles","Jueves","Viernes","Sábado","Domingo")</x:f>
        <x:v>Martes</x:v>
      </x:c>
      <x:c r="C1912" t="str">
        <x:f>IF(COUNTIF(FERIADOS!$A$2:$A$250,A1912)&gt;0,"SÍ","NO")</x:f>
        <x:v>NO</x:v>
      </x:c>
      <x:c r="D1912" t="str">
        <x:f>IF(AND(WEEKDAY(A1912,2)&lt;=5,C1912="NO"),"SÍ","NO")</x:f>
        <x:v>SÍ</x:v>
      </x:c>
      <x:c r="E1912" s="2" t="n">
        <x:f>WORKDAY.INTL(A1912-1,1,1,FERIADOS!$A$2:$A$250)</x:f>
        <x:v>47568</x:v>
      </x:c>
      <x:c r="F1912" t="str">
        <x:f>IF(E1912&gt;=WORKDAY.INTL(EOMONTH(E1912,0)+1,-2,1,FERIADOS!$A$2:$A$250),"SÍ","NO")</x:f>
        <x:v>NO</x:v>
      </x:c>
      <x:c r="G1912" s="2" t="n">
        <x:f>IF(F1912="SÍ",EOMONTH(E1912,0)+1,DATE(YEAR(E1912),MONTH(E1912),1))</x:f>
        <x:v>47543</x:v>
      </x:c>
      <x:c r="H1912" t="str">
        <x:f>IF(D1912="NO",IF(C1912="SÍ","FERIADO","FIN DE SEMANA"),"LABORABLE")&amp;IF(F1912="SÍ"," + CIERRE","")</x:f>
        <x:v>LABORABLE</x:v>
      </x:c>
      <x:c r="I1912" t="str">
        <x:f>TEXT(G1912,"yyyy-mm")</x:f>
        <x:v>2030-03</x:v>
      </x:c>
    </x:row>
    <x:row r="1913">
      <x:c r="A1913" s="2" t="n">
        <x:v>47569</x:v>
      </x:c>
      <x:c r="B1913" t="str">
        <x:f>CHOOSE(WEEKDAY(A1913,2),"Lunes","Martes","Miércoles","Jueves","Viernes","Sábado","Domingo")</x:f>
        <x:v>Miércoles</x:v>
      </x:c>
      <x:c r="C1913" t="str">
        <x:f>IF(COUNTIF(FERIADOS!$A$2:$A$250,A1913)&gt;0,"SÍ","NO")</x:f>
        <x:v>NO</x:v>
      </x:c>
      <x:c r="D1913" t="str">
        <x:f>IF(AND(WEEKDAY(A1913,2)&lt;=5,C1913="NO"),"SÍ","NO")</x:f>
        <x:v>SÍ</x:v>
      </x:c>
      <x:c r="E1913" s="2" t="n">
        <x:f>WORKDAY.INTL(A1913-1,1,1,FERIADOS!$A$2:$A$250)</x:f>
        <x:v>47569</x:v>
      </x:c>
      <x:c r="F1913" t="str">
        <x:f>IF(E1913&gt;=WORKDAY.INTL(EOMONTH(E1913,0)+1,-2,1,FERIADOS!$A$2:$A$250),"SÍ","NO")</x:f>
        <x:v>NO</x:v>
      </x:c>
      <x:c r="G1913" s="2" t="n">
        <x:f>IF(F1913="SÍ",EOMONTH(E1913,0)+1,DATE(YEAR(E1913),MONTH(E1913),1))</x:f>
        <x:v>47543</x:v>
      </x:c>
      <x:c r="H1913" t="str">
        <x:f>IF(D1913="NO",IF(C1913="SÍ","FERIADO","FIN DE SEMANA"),"LABORABLE")&amp;IF(F1913="SÍ"," + CIERRE","")</x:f>
        <x:v>LABORABLE</x:v>
      </x:c>
      <x:c r="I1913" t="str">
        <x:f>TEXT(G1913,"yyyy-mm")</x:f>
        <x:v>2030-03</x:v>
      </x:c>
    </x:row>
    <x:row r="1914">
      <x:c r="A1914" s="2" t="n">
        <x:v>47570</x:v>
      </x:c>
      <x:c r="B1914" t="str">
        <x:f>CHOOSE(WEEKDAY(A1914,2),"Lunes","Martes","Miércoles","Jueves","Viernes","Sábado","Domingo")</x:f>
        <x:v>Jueves</x:v>
      </x:c>
      <x:c r="C1914" t="str">
        <x:f>IF(COUNTIF(FERIADOS!$A$2:$A$250,A1914)&gt;0,"SÍ","NO")</x:f>
        <x:v>NO</x:v>
      </x:c>
      <x:c r="D1914" t="str">
        <x:f>IF(AND(WEEKDAY(A1914,2)&lt;=5,C1914="NO"),"SÍ","NO")</x:f>
        <x:v>SÍ</x:v>
      </x:c>
      <x:c r="E1914" s="2" t="n">
        <x:f>WORKDAY.INTL(A1914-1,1,1,FERIADOS!$A$2:$A$250)</x:f>
        <x:v>47570</x:v>
      </x:c>
      <x:c r="F1914" t="str">
        <x:f>IF(E1914&gt;=WORKDAY.INTL(EOMONTH(E1914,0)+1,-2,1,FERIADOS!$A$2:$A$250),"SÍ","NO")</x:f>
        <x:v>SÍ</x:v>
      </x:c>
      <x:c r="G1914" s="2" t="n">
        <x:f>IF(F1914="SÍ",EOMONTH(E1914,0)+1,DATE(YEAR(E1914),MONTH(E1914),1))</x:f>
        <x:v>47574</x:v>
      </x:c>
      <x:c r="H1914" t="str">
        <x:f>IF(D1914="NO",IF(C1914="SÍ","FERIADO","FIN DE SEMANA"),"LABORABLE")&amp;IF(F1914="SÍ"," + CIERRE","")</x:f>
        <x:v>LABORABLE + CIERRE</x:v>
      </x:c>
      <x:c r="I1914" t="str">
        <x:f>TEXT(G1914,"yyyy-mm")</x:f>
        <x:v>2030-04</x:v>
      </x:c>
    </x:row>
    <x:row r="1915">
      <x:c r="A1915" s="2" t="n">
        <x:v>47571</x:v>
      </x:c>
      <x:c r="B1915" t="str">
        <x:f>CHOOSE(WEEKDAY(A1915,2),"Lunes","Martes","Miércoles","Jueves","Viernes","Sábado","Domingo")</x:f>
        <x:v>Viernes</x:v>
      </x:c>
      <x:c r="C1915" t="str">
        <x:f>IF(COUNTIF(FERIADOS!$A$2:$A$250,A1915)&gt;0,"SÍ","NO")</x:f>
        <x:v>NO</x:v>
      </x:c>
      <x:c r="D1915" t="str">
        <x:f>IF(AND(WEEKDAY(A1915,2)&lt;=5,C1915="NO"),"SÍ","NO")</x:f>
        <x:v>SÍ</x:v>
      </x:c>
      <x:c r="E1915" s="2" t="n">
        <x:f>WORKDAY.INTL(A1915-1,1,1,FERIADOS!$A$2:$A$250)</x:f>
        <x:v>47571</x:v>
      </x:c>
      <x:c r="F1915" t="str">
        <x:f>IF(E1915&gt;=WORKDAY.INTL(EOMONTH(E1915,0)+1,-2,1,FERIADOS!$A$2:$A$250),"SÍ","NO")</x:f>
        <x:v>SÍ</x:v>
      </x:c>
      <x:c r="G1915" s="2" t="n">
        <x:f>IF(F1915="SÍ",EOMONTH(E1915,0)+1,DATE(YEAR(E1915),MONTH(E1915),1))</x:f>
        <x:v>47574</x:v>
      </x:c>
      <x:c r="H1915" t="str">
        <x:f>IF(D1915="NO",IF(C1915="SÍ","FERIADO","FIN DE SEMANA"),"LABORABLE")&amp;IF(F1915="SÍ"," + CIERRE","")</x:f>
        <x:v>LABORABLE + CIERRE</x:v>
      </x:c>
      <x:c r="I1915" t="str">
        <x:f>TEXT(G1915,"yyyy-mm")</x:f>
        <x:v>2030-04</x:v>
      </x:c>
    </x:row>
    <x:row r="1916">
      <x:c r="A1916" s="2" t="n">
        <x:v>47572</x:v>
      </x:c>
      <x:c r="B1916" t="str">
        <x:f>CHOOSE(WEEKDAY(A1916,2),"Lunes","Martes","Miércoles","Jueves","Viernes","Sábado","Domingo")</x:f>
        <x:v>Sábado</x:v>
      </x:c>
      <x:c r="C1916" t="str">
        <x:f>IF(COUNTIF(FERIADOS!$A$2:$A$250,A1916)&gt;0,"SÍ","NO")</x:f>
        <x:v>NO</x:v>
      </x:c>
      <x:c r="D1916" t="str">
        <x:f>IF(AND(WEEKDAY(A1916,2)&lt;=5,C1916="NO"),"SÍ","NO")</x:f>
        <x:v>NO</x:v>
      </x:c>
      <x:c r="E1916" s="2" t="n">
        <x:f>WORKDAY.INTL(A1916-1,1,1,FERIADOS!$A$2:$A$250)</x:f>
        <x:v>47574</x:v>
      </x:c>
      <x:c r="F1916" t="str">
        <x:f>IF(E1916&gt;=WORKDAY.INTL(EOMONTH(E1916,0)+1,-2,1,FERIADOS!$A$2:$A$250),"SÍ","NO")</x:f>
        <x:v>NO</x:v>
      </x:c>
      <x:c r="G1916" s="2" t="n">
        <x:f>IF(F1916="SÍ",EOMONTH(E1916,0)+1,DATE(YEAR(E1916),MONTH(E1916),1))</x:f>
        <x:v>47574</x:v>
      </x:c>
      <x:c r="H1916" t="str">
        <x:f>IF(D1916="NO",IF(C1916="SÍ","FERIADO","FIN DE SEMANA"),"LABORABLE")&amp;IF(F1916="SÍ"," + CIERRE","")</x:f>
        <x:v>FIN DE SEMANA</x:v>
      </x:c>
      <x:c r="I1916" t="str">
        <x:f>TEXT(G1916,"yyyy-mm")</x:f>
        <x:v>2030-04</x:v>
      </x:c>
    </x:row>
    <x:row r="1917">
      <x:c r="A1917" s="2" t="n">
        <x:v>47573</x:v>
      </x:c>
      <x:c r="B1917" t="str">
        <x:f>CHOOSE(WEEKDAY(A1917,2),"Lunes","Martes","Miércoles","Jueves","Viernes","Sábado","Domingo")</x:f>
        <x:v>Domingo</x:v>
      </x:c>
      <x:c r="C1917" t="str">
        <x:f>IF(COUNTIF(FERIADOS!$A$2:$A$250,A1917)&gt;0,"SÍ","NO")</x:f>
        <x:v>NO</x:v>
      </x:c>
      <x:c r="D1917" t="str">
        <x:f>IF(AND(WEEKDAY(A1917,2)&lt;=5,C1917="NO"),"SÍ","NO")</x:f>
        <x:v>NO</x:v>
      </x:c>
      <x:c r="E1917" s="2" t="n">
        <x:f>WORKDAY.INTL(A1917-1,1,1,FERIADOS!$A$2:$A$250)</x:f>
        <x:v>47574</x:v>
      </x:c>
      <x:c r="F1917" t="str">
        <x:f>IF(E1917&gt;=WORKDAY.INTL(EOMONTH(E1917,0)+1,-2,1,FERIADOS!$A$2:$A$250),"SÍ","NO")</x:f>
        <x:v>NO</x:v>
      </x:c>
      <x:c r="G1917" s="2" t="n">
        <x:f>IF(F1917="SÍ",EOMONTH(E1917,0)+1,DATE(YEAR(E1917),MONTH(E1917),1))</x:f>
        <x:v>47574</x:v>
      </x:c>
      <x:c r="H1917" t="str">
        <x:f>IF(D1917="NO",IF(C1917="SÍ","FERIADO","FIN DE SEMANA"),"LABORABLE")&amp;IF(F1917="SÍ"," + CIERRE","")</x:f>
        <x:v>FIN DE SEMANA</x:v>
      </x:c>
      <x:c r="I1917" t="str">
        <x:f>TEXT(G1917,"yyyy-mm")</x:f>
        <x:v>2030-04</x:v>
      </x:c>
    </x:row>
    <x:row r="1918">
      <x:c r="A1918" s="2" t="n">
        <x:v>47574</x:v>
      </x:c>
      <x:c r="B1918" t="str">
        <x:f>CHOOSE(WEEKDAY(A1918,2),"Lunes","Martes","Miércoles","Jueves","Viernes","Sábado","Domingo")</x:f>
        <x:v>Lunes</x:v>
      </x:c>
      <x:c r="C1918" t="str">
        <x:f>IF(COUNTIF(FERIADOS!$A$2:$A$250,A1918)&gt;0,"SÍ","NO")</x:f>
        <x:v>NO</x:v>
      </x:c>
      <x:c r="D1918" t="str">
        <x:f>IF(AND(WEEKDAY(A1918,2)&lt;=5,C1918="NO"),"SÍ","NO")</x:f>
        <x:v>SÍ</x:v>
      </x:c>
      <x:c r="E1918" s="2" t="n">
        <x:f>WORKDAY.INTL(A1918-1,1,1,FERIADOS!$A$2:$A$250)</x:f>
        <x:v>47574</x:v>
      </x:c>
      <x:c r="F1918" t="str">
        <x:f>IF(E1918&gt;=WORKDAY.INTL(EOMONTH(E1918,0)+1,-2,1,FERIADOS!$A$2:$A$250),"SÍ","NO")</x:f>
        <x:v>NO</x:v>
      </x:c>
      <x:c r="G1918" s="2" t="n">
        <x:f>IF(F1918="SÍ",EOMONTH(E1918,0)+1,DATE(YEAR(E1918),MONTH(E1918),1))</x:f>
        <x:v>47574</x:v>
      </x:c>
      <x:c r="H1918" t="str">
        <x:f>IF(D1918="NO",IF(C1918="SÍ","FERIADO","FIN DE SEMANA"),"LABORABLE")&amp;IF(F1918="SÍ"," + CIERRE","")</x:f>
        <x:v>LABORABLE</x:v>
      </x:c>
      <x:c r="I1918" t="str">
        <x:f>TEXT(G1918,"yyyy-mm")</x:f>
        <x:v>2030-04</x:v>
      </x:c>
    </x:row>
    <x:row r="1919">
      <x:c r="A1919" s="2" t="n">
        <x:v>47575</x:v>
      </x:c>
      <x:c r="B1919" t="str">
        <x:f>CHOOSE(WEEKDAY(A1919,2),"Lunes","Martes","Miércoles","Jueves","Viernes","Sábado","Domingo")</x:f>
        <x:v>Martes</x:v>
      </x:c>
      <x:c r="C1919" t="str">
        <x:f>IF(COUNTIF(FERIADOS!$A$2:$A$250,A1919)&gt;0,"SÍ","NO")</x:f>
        <x:v>NO</x:v>
      </x:c>
      <x:c r="D1919" t="str">
        <x:f>IF(AND(WEEKDAY(A1919,2)&lt;=5,C1919="NO"),"SÍ","NO")</x:f>
        <x:v>SÍ</x:v>
      </x:c>
      <x:c r="E1919" s="2" t="n">
        <x:f>WORKDAY.INTL(A1919-1,1,1,FERIADOS!$A$2:$A$250)</x:f>
        <x:v>47575</x:v>
      </x:c>
      <x:c r="F1919" t="str">
        <x:f>IF(E1919&gt;=WORKDAY.INTL(EOMONTH(E1919,0)+1,-2,1,FERIADOS!$A$2:$A$250),"SÍ","NO")</x:f>
        <x:v>NO</x:v>
      </x:c>
      <x:c r="G1919" s="2" t="n">
        <x:f>IF(F1919="SÍ",EOMONTH(E1919,0)+1,DATE(YEAR(E1919),MONTH(E1919),1))</x:f>
        <x:v>47574</x:v>
      </x:c>
      <x:c r="H1919" t="str">
        <x:f>IF(D1919="NO",IF(C1919="SÍ","FERIADO","FIN DE SEMANA"),"LABORABLE")&amp;IF(F1919="SÍ"," + CIERRE","")</x:f>
        <x:v>LABORABLE</x:v>
      </x:c>
      <x:c r="I1919" t="str">
        <x:f>TEXT(G1919,"yyyy-mm")</x:f>
        <x:v>2030-04</x:v>
      </x:c>
    </x:row>
    <x:row r="1920">
      <x:c r="A1920" s="2" t="n">
        <x:v>47576</x:v>
      </x:c>
      <x:c r="B1920" t="str">
        <x:f>CHOOSE(WEEKDAY(A1920,2),"Lunes","Martes","Miércoles","Jueves","Viernes","Sábado","Domingo")</x:f>
        <x:v>Miércoles</x:v>
      </x:c>
      <x:c r="C1920" t="str">
        <x:f>IF(COUNTIF(FERIADOS!$A$2:$A$250,A1920)&gt;0,"SÍ","NO")</x:f>
        <x:v>NO</x:v>
      </x:c>
      <x:c r="D1920" t="str">
        <x:f>IF(AND(WEEKDAY(A1920,2)&lt;=5,C1920="NO"),"SÍ","NO")</x:f>
        <x:v>SÍ</x:v>
      </x:c>
      <x:c r="E1920" s="2" t="n">
        <x:f>WORKDAY.INTL(A1920-1,1,1,FERIADOS!$A$2:$A$250)</x:f>
        <x:v>47576</x:v>
      </x:c>
      <x:c r="F1920" t="str">
        <x:f>IF(E1920&gt;=WORKDAY.INTL(EOMONTH(E1920,0)+1,-2,1,FERIADOS!$A$2:$A$250),"SÍ","NO")</x:f>
        <x:v>NO</x:v>
      </x:c>
      <x:c r="G1920" s="2" t="n">
        <x:f>IF(F1920="SÍ",EOMONTH(E1920,0)+1,DATE(YEAR(E1920),MONTH(E1920),1))</x:f>
        <x:v>47574</x:v>
      </x:c>
      <x:c r="H1920" t="str">
        <x:f>IF(D1920="NO",IF(C1920="SÍ","FERIADO","FIN DE SEMANA"),"LABORABLE")&amp;IF(F1920="SÍ"," + CIERRE","")</x:f>
        <x:v>LABORABLE</x:v>
      </x:c>
      <x:c r="I1920" t="str">
        <x:f>TEXT(G1920,"yyyy-mm")</x:f>
        <x:v>2030-04</x:v>
      </x:c>
    </x:row>
    <x:row r="1921">
      <x:c r="A1921" s="2" t="n">
        <x:v>47577</x:v>
      </x:c>
      <x:c r="B1921" t="str">
        <x:f>CHOOSE(WEEKDAY(A1921,2),"Lunes","Martes","Miércoles","Jueves","Viernes","Sábado","Domingo")</x:f>
        <x:v>Jueves</x:v>
      </x:c>
      <x:c r="C1921" t="str">
        <x:f>IF(COUNTIF(FERIADOS!$A$2:$A$250,A1921)&gt;0,"SÍ","NO")</x:f>
        <x:v>NO</x:v>
      </x:c>
      <x:c r="D1921" t="str">
        <x:f>IF(AND(WEEKDAY(A1921,2)&lt;=5,C1921="NO"),"SÍ","NO")</x:f>
        <x:v>SÍ</x:v>
      </x:c>
      <x:c r="E1921" s="2" t="n">
        <x:f>WORKDAY.INTL(A1921-1,1,1,FERIADOS!$A$2:$A$250)</x:f>
        <x:v>47577</x:v>
      </x:c>
      <x:c r="F1921" t="str">
        <x:f>IF(E1921&gt;=WORKDAY.INTL(EOMONTH(E1921,0)+1,-2,1,FERIADOS!$A$2:$A$250),"SÍ","NO")</x:f>
        <x:v>NO</x:v>
      </x:c>
      <x:c r="G1921" s="2" t="n">
        <x:f>IF(F1921="SÍ",EOMONTH(E1921,0)+1,DATE(YEAR(E1921),MONTH(E1921),1))</x:f>
        <x:v>47574</x:v>
      </x:c>
      <x:c r="H1921" t="str">
        <x:f>IF(D1921="NO",IF(C1921="SÍ","FERIADO","FIN DE SEMANA"),"LABORABLE")&amp;IF(F1921="SÍ"," + CIERRE","")</x:f>
        <x:v>LABORABLE</x:v>
      </x:c>
      <x:c r="I1921" t="str">
        <x:f>TEXT(G1921,"yyyy-mm")</x:f>
        <x:v>2030-04</x:v>
      </x:c>
    </x:row>
    <x:row r="1922">
      <x:c r="A1922" s="2" t="n">
        <x:v>47578</x:v>
      </x:c>
      <x:c r="B1922" t="str">
        <x:f>CHOOSE(WEEKDAY(A1922,2),"Lunes","Martes","Miércoles","Jueves","Viernes","Sábado","Domingo")</x:f>
        <x:v>Viernes</x:v>
      </x:c>
      <x:c r="C1922" t="str">
        <x:f>IF(COUNTIF(FERIADOS!$A$2:$A$250,A1922)&gt;0,"SÍ","NO")</x:f>
        <x:v>NO</x:v>
      </x:c>
      <x:c r="D1922" t="str">
        <x:f>IF(AND(WEEKDAY(A1922,2)&lt;=5,C1922="NO"),"SÍ","NO")</x:f>
        <x:v>SÍ</x:v>
      </x:c>
      <x:c r="E1922" s="2" t="n">
        <x:f>WORKDAY.INTL(A1922-1,1,1,FERIADOS!$A$2:$A$250)</x:f>
        <x:v>47578</x:v>
      </x:c>
      <x:c r="F1922" t="str">
        <x:f>IF(E1922&gt;=WORKDAY.INTL(EOMONTH(E1922,0)+1,-2,1,FERIADOS!$A$2:$A$250),"SÍ","NO")</x:f>
        <x:v>NO</x:v>
      </x:c>
      <x:c r="G1922" s="2" t="n">
        <x:f>IF(F1922="SÍ",EOMONTH(E1922,0)+1,DATE(YEAR(E1922),MONTH(E1922),1))</x:f>
        <x:v>47574</x:v>
      </x:c>
      <x:c r="H1922" t="str">
        <x:f>IF(D1922="NO",IF(C1922="SÍ","FERIADO","FIN DE SEMANA"),"LABORABLE")&amp;IF(F1922="SÍ"," + CIERRE","")</x:f>
        <x:v>LABORABLE</x:v>
      </x:c>
      <x:c r="I1922" t="str">
        <x:f>TEXT(G1922,"yyyy-mm")</x:f>
        <x:v>2030-04</x:v>
      </x:c>
    </x:row>
    <x:row r="1923">
      <x:c r="A1923" s="2" t="n">
        <x:v>47579</x:v>
      </x:c>
      <x:c r="B1923" t="str">
        <x:f>CHOOSE(WEEKDAY(A1923,2),"Lunes","Martes","Miércoles","Jueves","Viernes","Sábado","Domingo")</x:f>
        <x:v>Sábado</x:v>
      </x:c>
      <x:c r="C1923" t="str">
        <x:f>IF(COUNTIF(FERIADOS!$A$2:$A$250,A1923)&gt;0,"SÍ","NO")</x:f>
        <x:v>NO</x:v>
      </x:c>
      <x:c r="D1923" t="str">
        <x:f>IF(AND(WEEKDAY(A1923,2)&lt;=5,C1923="NO"),"SÍ","NO")</x:f>
        <x:v>NO</x:v>
      </x:c>
      <x:c r="E1923" s="2" t="n">
        <x:f>WORKDAY.INTL(A1923-1,1,1,FERIADOS!$A$2:$A$250)</x:f>
        <x:v>47581</x:v>
      </x:c>
      <x:c r="F1923" t="str">
        <x:f>IF(E1923&gt;=WORKDAY.INTL(EOMONTH(E1923,0)+1,-2,1,FERIADOS!$A$2:$A$250),"SÍ","NO")</x:f>
        <x:v>NO</x:v>
      </x:c>
      <x:c r="G1923" s="2" t="n">
        <x:f>IF(F1923="SÍ",EOMONTH(E1923,0)+1,DATE(YEAR(E1923),MONTH(E1923),1))</x:f>
        <x:v>47574</x:v>
      </x:c>
      <x:c r="H1923" t="str">
        <x:f>IF(D1923="NO",IF(C1923="SÍ","FERIADO","FIN DE SEMANA"),"LABORABLE")&amp;IF(F1923="SÍ"," + CIERRE","")</x:f>
        <x:v>FIN DE SEMANA</x:v>
      </x:c>
      <x:c r="I1923" t="str">
        <x:f>TEXT(G1923,"yyyy-mm")</x:f>
        <x:v>2030-04</x:v>
      </x:c>
    </x:row>
    <x:row r="1924">
      <x:c r="A1924" s="2" t="n">
        <x:v>47580</x:v>
      </x:c>
      <x:c r="B1924" t="str">
        <x:f>CHOOSE(WEEKDAY(A1924,2),"Lunes","Martes","Miércoles","Jueves","Viernes","Sábado","Domingo")</x:f>
        <x:v>Domingo</x:v>
      </x:c>
      <x:c r="C1924" t="str">
        <x:f>IF(COUNTIF(FERIADOS!$A$2:$A$250,A1924)&gt;0,"SÍ","NO")</x:f>
        <x:v>NO</x:v>
      </x:c>
      <x:c r="D1924" t="str">
        <x:f>IF(AND(WEEKDAY(A1924,2)&lt;=5,C1924="NO"),"SÍ","NO")</x:f>
        <x:v>NO</x:v>
      </x:c>
      <x:c r="E1924" s="2" t="n">
        <x:f>WORKDAY.INTL(A1924-1,1,1,FERIADOS!$A$2:$A$250)</x:f>
        <x:v>47581</x:v>
      </x:c>
      <x:c r="F1924" t="str">
        <x:f>IF(E1924&gt;=WORKDAY.INTL(EOMONTH(E1924,0)+1,-2,1,FERIADOS!$A$2:$A$250),"SÍ","NO")</x:f>
        <x:v>NO</x:v>
      </x:c>
      <x:c r="G1924" s="2" t="n">
        <x:f>IF(F1924="SÍ",EOMONTH(E1924,0)+1,DATE(YEAR(E1924),MONTH(E1924),1))</x:f>
        <x:v>47574</x:v>
      </x:c>
      <x:c r="H1924" t="str">
        <x:f>IF(D1924="NO",IF(C1924="SÍ","FERIADO","FIN DE SEMANA"),"LABORABLE")&amp;IF(F1924="SÍ"," + CIERRE","")</x:f>
        <x:v>FIN DE SEMANA</x:v>
      </x:c>
      <x:c r="I1924" t="str">
        <x:f>TEXT(G1924,"yyyy-mm")</x:f>
        <x:v>2030-04</x:v>
      </x:c>
    </x:row>
    <x:row r="1925">
      <x:c r="A1925" s="2" t="n">
        <x:v>47581</x:v>
      </x:c>
      <x:c r="B1925" t="str">
        <x:f>CHOOSE(WEEKDAY(A1925,2),"Lunes","Martes","Miércoles","Jueves","Viernes","Sábado","Domingo")</x:f>
        <x:v>Lunes</x:v>
      </x:c>
      <x:c r="C1925" t="str">
        <x:f>IF(COUNTIF(FERIADOS!$A$2:$A$250,A1925)&gt;0,"SÍ","NO")</x:f>
        <x:v>NO</x:v>
      </x:c>
      <x:c r="D1925" t="str">
        <x:f>IF(AND(WEEKDAY(A1925,2)&lt;=5,C1925="NO"),"SÍ","NO")</x:f>
        <x:v>SÍ</x:v>
      </x:c>
      <x:c r="E1925" s="2" t="n">
        <x:f>WORKDAY.INTL(A1925-1,1,1,FERIADOS!$A$2:$A$250)</x:f>
        <x:v>47581</x:v>
      </x:c>
      <x:c r="F1925" t="str">
        <x:f>IF(E1925&gt;=WORKDAY.INTL(EOMONTH(E1925,0)+1,-2,1,FERIADOS!$A$2:$A$250),"SÍ","NO")</x:f>
        <x:v>NO</x:v>
      </x:c>
      <x:c r="G1925" s="2" t="n">
        <x:f>IF(F1925="SÍ",EOMONTH(E1925,0)+1,DATE(YEAR(E1925),MONTH(E1925),1))</x:f>
        <x:v>47574</x:v>
      </x:c>
      <x:c r="H1925" t="str">
        <x:f>IF(D1925="NO",IF(C1925="SÍ","FERIADO","FIN DE SEMANA"),"LABORABLE")&amp;IF(F1925="SÍ"," + CIERRE","")</x:f>
        <x:v>LABORABLE</x:v>
      </x:c>
      <x:c r="I1925" t="str">
        <x:f>TEXT(G1925,"yyyy-mm")</x:f>
        <x:v>2030-04</x:v>
      </x:c>
    </x:row>
    <x:row r="1926">
      <x:c r="A1926" s="2" t="n">
        <x:v>47582</x:v>
      </x:c>
      <x:c r="B1926" t="str">
        <x:f>CHOOSE(WEEKDAY(A1926,2),"Lunes","Martes","Miércoles","Jueves","Viernes","Sábado","Domingo")</x:f>
        <x:v>Martes</x:v>
      </x:c>
      <x:c r="C1926" t="str">
        <x:f>IF(COUNTIF(FERIADOS!$A$2:$A$250,A1926)&gt;0,"SÍ","NO")</x:f>
        <x:v>NO</x:v>
      </x:c>
      <x:c r="D1926" t="str">
        <x:f>IF(AND(WEEKDAY(A1926,2)&lt;=5,C1926="NO"),"SÍ","NO")</x:f>
        <x:v>SÍ</x:v>
      </x:c>
      <x:c r="E1926" s="2" t="n">
        <x:f>WORKDAY.INTL(A1926-1,1,1,FERIADOS!$A$2:$A$250)</x:f>
        <x:v>47582</x:v>
      </x:c>
      <x:c r="F1926" t="str">
        <x:f>IF(E1926&gt;=WORKDAY.INTL(EOMONTH(E1926,0)+1,-2,1,FERIADOS!$A$2:$A$250),"SÍ","NO")</x:f>
        <x:v>NO</x:v>
      </x:c>
      <x:c r="G1926" s="2" t="n">
        <x:f>IF(F1926="SÍ",EOMONTH(E1926,0)+1,DATE(YEAR(E1926),MONTH(E1926),1))</x:f>
        <x:v>47574</x:v>
      </x:c>
      <x:c r="H1926" t="str">
        <x:f>IF(D1926="NO",IF(C1926="SÍ","FERIADO","FIN DE SEMANA"),"LABORABLE")&amp;IF(F1926="SÍ"," + CIERRE","")</x:f>
        <x:v>LABORABLE</x:v>
      </x:c>
      <x:c r="I1926" t="str">
        <x:f>TEXT(G1926,"yyyy-mm")</x:f>
        <x:v>2030-04</x:v>
      </x:c>
    </x:row>
    <x:row r="1927">
      <x:c r="A1927" s="2" t="n">
        <x:v>47583</x:v>
      </x:c>
      <x:c r="B1927" t="str">
        <x:f>CHOOSE(WEEKDAY(A1927,2),"Lunes","Martes","Miércoles","Jueves","Viernes","Sábado","Domingo")</x:f>
        <x:v>Miércoles</x:v>
      </x:c>
      <x:c r="C1927" t="str">
        <x:f>IF(COUNTIF(FERIADOS!$A$2:$A$250,A1927)&gt;0,"SÍ","NO")</x:f>
        <x:v>NO</x:v>
      </x:c>
      <x:c r="D1927" t="str">
        <x:f>IF(AND(WEEKDAY(A1927,2)&lt;=5,C1927="NO"),"SÍ","NO")</x:f>
        <x:v>SÍ</x:v>
      </x:c>
      <x:c r="E1927" s="2" t="n">
        <x:f>WORKDAY.INTL(A1927-1,1,1,FERIADOS!$A$2:$A$250)</x:f>
        <x:v>47583</x:v>
      </x:c>
      <x:c r="F1927" t="str">
        <x:f>IF(E1927&gt;=WORKDAY.INTL(EOMONTH(E1927,0)+1,-2,1,FERIADOS!$A$2:$A$250),"SÍ","NO")</x:f>
        <x:v>NO</x:v>
      </x:c>
      <x:c r="G1927" s="2" t="n">
        <x:f>IF(F1927="SÍ",EOMONTH(E1927,0)+1,DATE(YEAR(E1927),MONTH(E1927),1))</x:f>
        <x:v>47574</x:v>
      </x:c>
      <x:c r="H1927" t="str">
        <x:f>IF(D1927="NO",IF(C1927="SÍ","FERIADO","FIN DE SEMANA"),"LABORABLE")&amp;IF(F1927="SÍ"," + CIERRE","")</x:f>
        <x:v>LABORABLE</x:v>
      </x:c>
      <x:c r="I1927" t="str">
        <x:f>TEXT(G1927,"yyyy-mm")</x:f>
        <x:v>2030-04</x:v>
      </x:c>
    </x:row>
    <x:row r="1928">
      <x:c r="A1928" s="2" t="n">
        <x:v>47584</x:v>
      </x:c>
      <x:c r="B1928" t="str">
        <x:f>CHOOSE(WEEKDAY(A1928,2),"Lunes","Martes","Miércoles","Jueves","Viernes","Sábado","Domingo")</x:f>
        <x:v>Jueves</x:v>
      </x:c>
      <x:c r="C1928" t="str">
        <x:f>IF(COUNTIF(FERIADOS!$A$2:$A$250,A1928)&gt;0,"SÍ","NO")</x:f>
        <x:v>NO</x:v>
      </x:c>
      <x:c r="D1928" t="str">
        <x:f>IF(AND(WEEKDAY(A1928,2)&lt;=5,C1928="NO"),"SÍ","NO")</x:f>
        <x:v>SÍ</x:v>
      </x:c>
      <x:c r="E1928" s="2" t="n">
        <x:f>WORKDAY.INTL(A1928-1,1,1,FERIADOS!$A$2:$A$250)</x:f>
        <x:v>47584</x:v>
      </x:c>
      <x:c r="F1928" t="str">
        <x:f>IF(E1928&gt;=WORKDAY.INTL(EOMONTH(E1928,0)+1,-2,1,FERIADOS!$A$2:$A$250),"SÍ","NO")</x:f>
        <x:v>NO</x:v>
      </x:c>
      <x:c r="G1928" s="2" t="n">
        <x:f>IF(F1928="SÍ",EOMONTH(E1928,0)+1,DATE(YEAR(E1928),MONTH(E1928),1))</x:f>
        <x:v>47574</x:v>
      </x:c>
      <x:c r="H1928" t="str">
        <x:f>IF(D1928="NO",IF(C1928="SÍ","FERIADO","FIN DE SEMANA"),"LABORABLE")&amp;IF(F1928="SÍ"," + CIERRE","")</x:f>
        <x:v>LABORABLE</x:v>
      </x:c>
      <x:c r="I1928" t="str">
        <x:f>TEXT(G1928,"yyyy-mm")</x:f>
        <x:v>2030-04</x:v>
      </x:c>
    </x:row>
    <x:row r="1929">
      <x:c r="A1929" s="2" t="n">
        <x:v>47585</x:v>
      </x:c>
      <x:c r="B1929" t="str">
        <x:f>CHOOSE(WEEKDAY(A1929,2),"Lunes","Martes","Miércoles","Jueves","Viernes","Sábado","Domingo")</x:f>
        <x:v>Viernes</x:v>
      </x:c>
      <x:c r="C1929" t="str">
        <x:f>IF(COUNTIF(FERIADOS!$A$2:$A$250,A1929)&gt;0,"SÍ","NO")</x:f>
        <x:v>NO</x:v>
      </x:c>
      <x:c r="D1929" t="str">
        <x:f>IF(AND(WEEKDAY(A1929,2)&lt;=5,C1929="NO"),"SÍ","NO")</x:f>
        <x:v>SÍ</x:v>
      </x:c>
      <x:c r="E1929" s="2" t="n">
        <x:f>WORKDAY.INTL(A1929-1,1,1,FERIADOS!$A$2:$A$250)</x:f>
        <x:v>47585</x:v>
      </x:c>
      <x:c r="F1929" t="str">
        <x:f>IF(E1929&gt;=WORKDAY.INTL(EOMONTH(E1929,0)+1,-2,1,FERIADOS!$A$2:$A$250),"SÍ","NO")</x:f>
        <x:v>NO</x:v>
      </x:c>
      <x:c r="G1929" s="2" t="n">
        <x:f>IF(F1929="SÍ",EOMONTH(E1929,0)+1,DATE(YEAR(E1929),MONTH(E1929),1))</x:f>
        <x:v>47574</x:v>
      </x:c>
      <x:c r="H1929" t="str">
        <x:f>IF(D1929="NO",IF(C1929="SÍ","FERIADO","FIN DE SEMANA"),"LABORABLE")&amp;IF(F1929="SÍ"," + CIERRE","")</x:f>
        <x:v>LABORABLE</x:v>
      </x:c>
      <x:c r="I1929" t="str">
        <x:f>TEXT(G1929,"yyyy-mm")</x:f>
        <x:v>2030-04</x:v>
      </x:c>
    </x:row>
    <x:row r="1930">
      <x:c r="A1930" s="2" t="n">
        <x:v>47586</x:v>
      </x:c>
      <x:c r="B1930" t="str">
        <x:f>CHOOSE(WEEKDAY(A1930,2),"Lunes","Martes","Miércoles","Jueves","Viernes","Sábado","Domingo")</x:f>
        <x:v>Sábado</x:v>
      </x:c>
      <x:c r="C1930" t="str">
        <x:f>IF(COUNTIF(FERIADOS!$A$2:$A$250,A1930)&gt;0,"SÍ","NO")</x:f>
        <x:v>NO</x:v>
      </x:c>
      <x:c r="D1930" t="str">
        <x:f>IF(AND(WEEKDAY(A1930,2)&lt;=5,C1930="NO"),"SÍ","NO")</x:f>
        <x:v>NO</x:v>
      </x:c>
      <x:c r="E1930" s="2" t="n">
        <x:f>WORKDAY.INTL(A1930-1,1,1,FERIADOS!$A$2:$A$250)</x:f>
        <x:v>47588</x:v>
      </x:c>
      <x:c r="F1930" t="str">
        <x:f>IF(E1930&gt;=WORKDAY.INTL(EOMONTH(E1930,0)+1,-2,1,FERIADOS!$A$2:$A$250),"SÍ","NO")</x:f>
        <x:v>NO</x:v>
      </x:c>
      <x:c r="G1930" s="2" t="n">
        <x:f>IF(F1930="SÍ",EOMONTH(E1930,0)+1,DATE(YEAR(E1930),MONTH(E1930),1))</x:f>
        <x:v>47574</x:v>
      </x:c>
      <x:c r="H1930" t="str">
        <x:f>IF(D1930="NO",IF(C1930="SÍ","FERIADO","FIN DE SEMANA"),"LABORABLE")&amp;IF(F1930="SÍ"," + CIERRE","")</x:f>
        <x:v>FIN DE SEMANA</x:v>
      </x:c>
      <x:c r="I1930" t="str">
        <x:f>TEXT(G1930,"yyyy-mm")</x:f>
        <x:v>2030-04</x:v>
      </x:c>
    </x:row>
    <x:row r="1931">
      <x:c r="A1931" s="2" t="n">
        <x:v>47587</x:v>
      </x:c>
      <x:c r="B1931" t="str">
        <x:f>CHOOSE(WEEKDAY(A1931,2),"Lunes","Martes","Miércoles","Jueves","Viernes","Sábado","Domingo")</x:f>
        <x:v>Domingo</x:v>
      </x:c>
      <x:c r="C1931" t="str">
        <x:f>IF(COUNTIF(FERIADOS!$A$2:$A$250,A1931)&gt;0,"SÍ","NO")</x:f>
        <x:v>NO</x:v>
      </x:c>
      <x:c r="D1931" t="str">
        <x:f>IF(AND(WEEKDAY(A1931,2)&lt;=5,C1931="NO"),"SÍ","NO")</x:f>
        <x:v>NO</x:v>
      </x:c>
      <x:c r="E1931" s="2" t="n">
        <x:f>WORKDAY.INTL(A1931-1,1,1,FERIADOS!$A$2:$A$250)</x:f>
        <x:v>47588</x:v>
      </x:c>
      <x:c r="F1931" t="str">
        <x:f>IF(E1931&gt;=WORKDAY.INTL(EOMONTH(E1931,0)+1,-2,1,FERIADOS!$A$2:$A$250),"SÍ","NO")</x:f>
        <x:v>NO</x:v>
      </x:c>
      <x:c r="G1931" s="2" t="n">
        <x:f>IF(F1931="SÍ",EOMONTH(E1931,0)+1,DATE(YEAR(E1931),MONTH(E1931),1))</x:f>
        <x:v>47574</x:v>
      </x:c>
      <x:c r="H1931" t="str">
        <x:f>IF(D1931="NO",IF(C1931="SÍ","FERIADO","FIN DE SEMANA"),"LABORABLE")&amp;IF(F1931="SÍ"," + CIERRE","")</x:f>
        <x:v>FIN DE SEMANA</x:v>
      </x:c>
      <x:c r="I1931" t="str">
        <x:f>TEXT(G1931,"yyyy-mm")</x:f>
        <x:v>2030-04</x:v>
      </x:c>
    </x:row>
    <x:row r="1932">
      <x:c r="A1932" s="2" t="n">
        <x:v>47588</x:v>
      </x:c>
      <x:c r="B1932" t="str">
        <x:f>CHOOSE(WEEKDAY(A1932,2),"Lunes","Martes","Miércoles","Jueves","Viernes","Sábado","Domingo")</x:f>
        <x:v>Lunes</x:v>
      </x:c>
      <x:c r="C1932" t="str">
        <x:f>IF(COUNTIF(FERIADOS!$A$2:$A$250,A1932)&gt;0,"SÍ","NO")</x:f>
        <x:v>NO</x:v>
      </x:c>
      <x:c r="D1932" t="str">
        <x:f>IF(AND(WEEKDAY(A1932,2)&lt;=5,C1932="NO"),"SÍ","NO")</x:f>
        <x:v>SÍ</x:v>
      </x:c>
      <x:c r="E1932" s="2" t="n">
        <x:f>WORKDAY.INTL(A1932-1,1,1,FERIADOS!$A$2:$A$250)</x:f>
        <x:v>47588</x:v>
      </x:c>
      <x:c r="F1932" t="str">
        <x:f>IF(E1932&gt;=WORKDAY.INTL(EOMONTH(E1932,0)+1,-2,1,FERIADOS!$A$2:$A$250),"SÍ","NO")</x:f>
        <x:v>NO</x:v>
      </x:c>
      <x:c r="G1932" s="2" t="n">
        <x:f>IF(F1932="SÍ",EOMONTH(E1932,0)+1,DATE(YEAR(E1932),MONTH(E1932),1))</x:f>
        <x:v>47574</x:v>
      </x:c>
      <x:c r="H1932" t="str">
        <x:f>IF(D1932="NO",IF(C1932="SÍ","FERIADO","FIN DE SEMANA"),"LABORABLE")&amp;IF(F1932="SÍ"," + CIERRE","")</x:f>
        <x:v>LABORABLE</x:v>
      </x:c>
      <x:c r="I1932" t="str">
        <x:f>TEXT(G1932,"yyyy-mm")</x:f>
        <x:v>2030-04</x:v>
      </x:c>
    </x:row>
    <x:row r="1933">
      <x:c r="A1933" s="2" t="n">
        <x:v>47589</x:v>
      </x:c>
      <x:c r="B1933" t="str">
        <x:f>CHOOSE(WEEKDAY(A1933,2),"Lunes","Martes","Miércoles","Jueves","Viernes","Sábado","Domingo")</x:f>
        <x:v>Martes</x:v>
      </x:c>
      <x:c r="C1933" t="str">
        <x:f>IF(COUNTIF(FERIADOS!$A$2:$A$250,A1933)&gt;0,"SÍ","NO")</x:f>
        <x:v>NO</x:v>
      </x:c>
      <x:c r="D1933" t="str">
        <x:f>IF(AND(WEEKDAY(A1933,2)&lt;=5,C1933="NO"),"SÍ","NO")</x:f>
        <x:v>SÍ</x:v>
      </x:c>
      <x:c r="E1933" s="2" t="n">
        <x:f>WORKDAY.INTL(A1933-1,1,1,FERIADOS!$A$2:$A$250)</x:f>
        <x:v>47589</x:v>
      </x:c>
      <x:c r="F1933" t="str">
        <x:f>IF(E1933&gt;=WORKDAY.INTL(EOMONTH(E1933,0)+1,-2,1,FERIADOS!$A$2:$A$250),"SÍ","NO")</x:f>
        <x:v>NO</x:v>
      </x:c>
      <x:c r="G1933" s="2" t="n">
        <x:f>IF(F1933="SÍ",EOMONTH(E1933,0)+1,DATE(YEAR(E1933),MONTH(E1933),1))</x:f>
        <x:v>47574</x:v>
      </x:c>
      <x:c r="H1933" t="str">
        <x:f>IF(D1933="NO",IF(C1933="SÍ","FERIADO","FIN DE SEMANA"),"LABORABLE")&amp;IF(F1933="SÍ"," + CIERRE","")</x:f>
        <x:v>LABORABLE</x:v>
      </x:c>
      <x:c r="I1933" t="str">
        <x:f>TEXT(G1933,"yyyy-mm")</x:f>
        <x:v>2030-04</x:v>
      </x:c>
    </x:row>
    <x:row r="1934">
      <x:c r="A1934" s="2" t="n">
        <x:v>47590</x:v>
      </x:c>
      <x:c r="B1934" t="str">
        <x:f>CHOOSE(WEEKDAY(A1934,2),"Lunes","Martes","Miércoles","Jueves","Viernes","Sábado","Domingo")</x:f>
        <x:v>Miércoles</x:v>
      </x:c>
      <x:c r="C1934" t="str">
        <x:f>IF(COUNTIF(FERIADOS!$A$2:$A$250,A1934)&gt;0,"SÍ","NO")</x:f>
        <x:v>NO</x:v>
      </x:c>
      <x:c r="D1934" t="str">
        <x:f>IF(AND(WEEKDAY(A1934,2)&lt;=5,C1934="NO"),"SÍ","NO")</x:f>
        <x:v>SÍ</x:v>
      </x:c>
      <x:c r="E1934" s="2" t="n">
        <x:f>WORKDAY.INTL(A1934-1,1,1,FERIADOS!$A$2:$A$250)</x:f>
        <x:v>47590</x:v>
      </x:c>
      <x:c r="F1934" t="str">
        <x:f>IF(E1934&gt;=WORKDAY.INTL(EOMONTH(E1934,0)+1,-2,1,FERIADOS!$A$2:$A$250),"SÍ","NO")</x:f>
        <x:v>NO</x:v>
      </x:c>
      <x:c r="G1934" s="2" t="n">
        <x:f>IF(F1934="SÍ",EOMONTH(E1934,0)+1,DATE(YEAR(E1934),MONTH(E1934),1))</x:f>
        <x:v>47574</x:v>
      </x:c>
      <x:c r="H1934" t="str">
        <x:f>IF(D1934="NO",IF(C1934="SÍ","FERIADO","FIN DE SEMANA"),"LABORABLE")&amp;IF(F1934="SÍ"," + CIERRE","")</x:f>
        <x:v>LABORABLE</x:v>
      </x:c>
      <x:c r="I1934" t="str">
        <x:f>TEXT(G1934,"yyyy-mm")</x:f>
        <x:v>2030-04</x:v>
      </x:c>
    </x:row>
    <x:row r="1935">
      <x:c r="A1935" s="2" t="n">
        <x:v>47591</x:v>
      </x:c>
      <x:c r="B1935" t="str">
        <x:f>CHOOSE(WEEKDAY(A1935,2),"Lunes","Martes","Miércoles","Jueves","Viernes","Sábado","Domingo")</x:f>
        <x:v>Jueves</x:v>
      </x:c>
      <x:c r="C1935" t="str">
        <x:f>IF(COUNTIF(FERIADOS!$A$2:$A$250,A1935)&gt;0,"SÍ","NO")</x:f>
        <x:v>NO</x:v>
      </x:c>
      <x:c r="D1935" t="str">
        <x:f>IF(AND(WEEKDAY(A1935,2)&lt;=5,C1935="NO"),"SÍ","NO")</x:f>
        <x:v>SÍ</x:v>
      </x:c>
      <x:c r="E1935" s="2" t="n">
        <x:f>WORKDAY.INTL(A1935-1,1,1,FERIADOS!$A$2:$A$250)</x:f>
        <x:v>47591</x:v>
      </x:c>
      <x:c r="F1935" t="str">
        <x:f>IF(E1935&gt;=WORKDAY.INTL(EOMONTH(E1935,0)+1,-2,1,FERIADOS!$A$2:$A$250),"SÍ","NO")</x:f>
        <x:v>NO</x:v>
      </x:c>
      <x:c r="G1935" s="2" t="n">
        <x:f>IF(F1935="SÍ",EOMONTH(E1935,0)+1,DATE(YEAR(E1935),MONTH(E1935),1))</x:f>
        <x:v>47574</x:v>
      </x:c>
      <x:c r="H1935" t="str">
        <x:f>IF(D1935="NO",IF(C1935="SÍ","FERIADO","FIN DE SEMANA"),"LABORABLE")&amp;IF(F1935="SÍ"," + CIERRE","")</x:f>
        <x:v>LABORABLE</x:v>
      </x:c>
      <x:c r="I1935" t="str">
        <x:f>TEXT(G1935,"yyyy-mm")</x:f>
        <x:v>2030-04</x:v>
      </x:c>
    </x:row>
    <x:row r="1936">
      <x:c r="A1936" s="2" t="n">
        <x:v>47592</x:v>
      </x:c>
      <x:c r="B1936" t="str">
        <x:f>CHOOSE(WEEKDAY(A1936,2),"Lunes","Martes","Miércoles","Jueves","Viernes","Sábado","Domingo")</x:f>
        <x:v>Viernes</x:v>
      </x:c>
      <x:c r="C1936" t="str">
        <x:f>IF(COUNTIF(FERIADOS!$A$2:$A$250,A1936)&gt;0,"SÍ","NO")</x:f>
        <x:v>SÍ</x:v>
      </x:c>
      <x:c r="D1936" t="str">
        <x:f>IF(AND(WEEKDAY(A1936,2)&lt;=5,C1936="NO"),"SÍ","NO")</x:f>
        <x:v>NO</x:v>
      </x:c>
      <x:c r="E1936" s="2" t="n">
        <x:f>WORKDAY.INTL(A1936-1,1,1,FERIADOS!$A$2:$A$250)</x:f>
        <x:v>47595</x:v>
      </x:c>
      <x:c r="F1936" t="str">
        <x:f>IF(E1936&gt;=WORKDAY.INTL(EOMONTH(E1936,0)+1,-2,1,FERIADOS!$A$2:$A$250),"SÍ","NO")</x:f>
        <x:v>NO</x:v>
      </x:c>
      <x:c r="G1936" s="2" t="n">
        <x:f>IF(F1936="SÍ",EOMONTH(E1936,0)+1,DATE(YEAR(E1936),MONTH(E1936),1))</x:f>
        <x:v>47574</x:v>
      </x:c>
      <x:c r="H1936" t="str">
        <x:f>IF(D1936="NO",IF(C1936="SÍ","FERIADO","FIN DE SEMANA"),"LABORABLE")&amp;IF(F1936="SÍ"," + CIERRE","")</x:f>
        <x:v>FERIADO</x:v>
      </x:c>
      <x:c r="I1936" t="str">
        <x:f>TEXT(G1936,"yyyy-mm")</x:f>
        <x:v>2030-04</x:v>
      </x:c>
    </x:row>
    <x:row r="1937">
      <x:c r="A1937" s="2" t="n">
        <x:v>47593</x:v>
      </x:c>
      <x:c r="B1937" t="str">
        <x:f>CHOOSE(WEEKDAY(A1937,2),"Lunes","Martes","Miércoles","Jueves","Viernes","Sábado","Domingo")</x:f>
        <x:v>Sábado</x:v>
      </x:c>
      <x:c r="C1937" t="str">
        <x:f>IF(COUNTIF(FERIADOS!$A$2:$A$250,A1937)&gt;0,"SÍ","NO")</x:f>
        <x:v>NO</x:v>
      </x:c>
      <x:c r="D1937" t="str">
        <x:f>IF(AND(WEEKDAY(A1937,2)&lt;=5,C1937="NO"),"SÍ","NO")</x:f>
        <x:v>NO</x:v>
      </x:c>
      <x:c r="E1937" s="2" t="n">
        <x:f>WORKDAY.INTL(A1937-1,1,1,FERIADOS!$A$2:$A$250)</x:f>
        <x:v>47595</x:v>
      </x:c>
      <x:c r="F1937" t="str">
        <x:f>IF(E1937&gt;=WORKDAY.INTL(EOMONTH(E1937,0)+1,-2,1,FERIADOS!$A$2:$A$250),"SÍ","NO")</x:f>
        <x:v>NO</x:v>
      </x:c>
      <x:c r="G1937" s="2" t="n">
        <x:f>IF(F1937="SÍ",EOMONTH(E1937,0)+1,DATE(YEAR(E1937),MONTH(E1937),1))</x:f>
        <x:v>47574</x:v>
      </x:c>
      <x:c r="H1937" t="str">
        <x:f>IF(D1937="NO",IF(C1937="SÍ","FERIADO","FIN DE SEMANA"),"LABORABLE")&amp;IF(F1937="SÍ"," + CIERRE","")</x:f>
        <x:v>FIN DE SEMANA</x:v>
      </x:c>
      <x:c r="I1937" t="str">
        <x:f>TEXT(G1937,"yyyy-mm")</x:f>
        <x:v>2030-04</x:v>
      </x:c>
    </x:row>
    <x:row r="1938">
      <x:c r="A1938" s="2" t="n">
        <x:v>47594</x:v>
      </x:c>
      <x:c r="B1938" t="str">
        <x:f>CHOOSE(WEEKDAY(A1938,2),"Lunes","Martes","Miércoles","Jueves","Viernes","Sábado","Domingo")</x:f>
        <x:v>Domingo</x:v>
      </x:c>
      <x:c r="C1938" t="str">
        <x:f>IF(COUNTIF(FERIADOS!$A$2:$A$250,A1938)&gt;0,"SÍ","NO")</x:f>
        <x:v>NO</x:v>
      </x:c>
      <x:c r="D1938" t="str">
        <x:f>IF(AND(WEEKDAY(A1938,2)&lt;=5,C1938="NO"),"SÍ","NO")</x:f>
        <x:v>NO</x:v>
      </x:c>
      <x:c r="E1938" s="2" t="n">
        <x:f>WORKDAY.INTL(A1938-1,1,1,FERIADOS!$A$2:$A$250)</x:f>
        <x:v>47595</x:v>
      </x:c>
      <x:c r="F1938" t="str">
        <x:f>IF(E1938&gt;=WORKDAY.INTL(EOMONTH(E1938,0)+1,-2,1,FERIADOS!$A$2:$A$250),"SÍ","NO")</x:f>
        <x:v>NO</x:v>
      </x:c>
      <x:c r="G1938" s="2" t="n">
        <x:f>IF(F1938="SÍ",EOMONTH(E1938,0)+1,DATE(YEAR(E1938),MONTH(E1938),1))</x:f>
        <x:v>47574</x:v>
      </x:c>
      <x:c r="H1938" t="str">
        <x:f>IF(D1938="NO",IF(C1938="SÍ","FERIADO","FIN DE SEMANA"),"LABORABLE")&amp;IF(F1938="SÍ"," + CIERRE","")</x:f>
        <x:v>FIN DE SEMANA</x:v>
      </x:c>
      <x:c r="I1938" t="str">
        <x:f>TEXT(G1938,"yyyy-mm")</x:f>
        <x:v>2030-04</x:v>
      </x:c>
    </x:row>
    <x:row r="1939">
      <x:c r="A1939" s="2" t="n">
        <x:v>47595</x:v>
      </x:c>
      <x:c r="B1939" t="str">
        <x:f>CHOOSE(WEEKDAY(A1939,2),"Lunes","Martes","Miércoles","Jueves","Viernes","Sábado","Domingo")</x:f>
        <x:v>Lunes</x:v>
      </x:c>
      <x:c r="C1939" t="str">
        <x:f>IF(COUNTIF(FERIADOS!$A$2:$A$250,A1939)&gt;0,"SÍ","NO")</x:f>
        <x:v>NO</x:v>
      </x:c>
      <x:c r="D1939" t="str">
        <x:f>IF(AND(WEEKDAY(A1939,2)&lt;=5,C1939="NO"),"SÍ","NO")</x:f>
        <x:v>SÍ</x:v>
      </x:c>
      <x:c r="E1939" s="2" t="n">
        <x:f>WORKDAY.INTL(A1939-1,1,1,FERIADOS!$A$2:$A$250)</x:f>
        <x:v>47595</x:v>
      </x:c>
      <x:c r="F1939" t="str">
        <x:f>IF(E1939&gt;=WORKDAY.INTL(EOMONTH(E1939,0)+1,-2,1,FERIADOS!$A$2:$A$250),"SÍ","NO")</x:f>
        <x:v>NO</x:v>
      </x:c>
      <x:c r="G1939" s="2" t="n">
        <x:f>IF(F1939="SÍ",EOMONTH(E1939,0)+1,DATE(YEAR(E1939),MONTH(E1939),1))</x:f>
        <x:v>47574</x:v>
      </x:c>
      <x:c r="H1939" t="str">
        <x:f>IF(D1939="NO",IF(C1939="SÍ","FERIADO","FIN DE SEMANA"),"LABORABLE")&amp;IF(F1939="SÍ"," + CIERRE","")</x:f>
        <x:v>LABORABLE</x:v>
      </x:c>
      <x:c r="I1939" t="str">
        <x:f>TEXT(G1939,"yyyy-mm")</x:f>
        <x:v>2030-04</x:v>
      </x:c>
    </x:row>
    <x:row r="1940">
      <x:c r="A1940" s="2" t="n">
        <x:v>47596</x:v>
      </x:c>
      <x:c r="B1940" t="str">
        <x:f>CHOOSE(WEEKDAY(A1940,2),"Lunes","Martes","Miércoles","Jueves","Viernes","Sábado","Domingo")</x:f>
        <x:v>Martes</x:v>
      </x:c>
      <x:c r="C1940" t="str">
        <x:f>IF(COUNTIF(FERIADOS!$A$2:$A$250,A1940)&gt;0,"SÍ","NO")</x:f>
        <x:v>NO</x:v>
      </x:c>
      <x:c r="D1940" t="str">
        <x:f>IF(AND(WEEKDAY(A1940,2)&lt;=5,C1940="NO"),"SÍ","NO")</x:f>
        <x:v>SÍ</x:v>
      </x:c>
      <x:c r="E1940" s="2" t="n">
        <x:f>WORKDAY.INTL(A1940-1,1,1,FERIADOS!$A$2:$A$250)</x:f>
        <x:v>47596</x:v>
      </x:c>
      <x:c r="F1940" t="str">
        <x:f>IF(E1940&gt;=WORKDAY.INTL(EOMONTH(E1940,0)+1,-2,1,FERIADOS!$A$2:$A$250),"SÍ","NO")</x:f>
        <x:v>NO</x:v>
      </x:c>
      <x:c r="G1940" s="2" t="n">
        <x:f>IF(F1940="SÍ",EOMONTH(E1940,0)+1,DATE(YEAR(E1940),MONTH(E1940),1))</x:f>
        <x:v>47574</x:v>
      </x:c>
      <x:c r="H1940" t="str">
        <x:f>IF(D1940="NO",IF(C1940="SÍ","FERIADO","FIN DE SEMANA"),"LABORABLE")&amp;IF(F1940="SÍ"," + CIERRE","")</x:f>
        <x:v>LABORABLE</x:v>
      </x:c>
      <x:c r="I1940" t="str">
        <x:f>TEXT(G1940,"yyyy-mm")</x:f>
        <x:v>2030-04</x:v>
      </x:c>
    </x:row>
    <x:row r="1941">
      <x:c r="A1941" s="2" t="n">
        <x:v>47597</x:v>
      </x:c>
      <x:c r="B1941" t="str">
        <x:f>CHOOSE(WEEKDAY(A1941,2),"Lunes","Martes","Miércoles","Jueves","Viernes","Sábado","Domingo")</x:f>
        <x:v>Miércoles</x:v>
      </x:c>
      <x:c r="C1941" t="str">
        <x:f>IF(COUNTIF(FERIADOS!$A$2:$A$250,A1941)&gt;0,"SÍ","NO")</x:f>
        <x:v>NO</x:v>
      </x:c>
      <x:c r="D1941" t="str">
        <x:f>IF(AND(WEEKDAY(A1941,2)&lt;=5,C1941="NO"),"SÍ","NO")</x:f>
        <x:v>SÍ</x:v>
      </x:c>
      <x:c r="E1941" s="2" t="n">
        <x:f>WORKDAY.INTL(A1941-1,1,1,FERIADOS!$A$2:$A$250)</x:f>
        <x:v>47597</x:v>
      </x:c>
      <x:c r="F1941" t="str">
        <x:f>IF(E1941&gt;=WORKDAY.INTL(EOMONTH(E1941,0)+1,-2,1,FERIADOS!$A$2:$A$250),"SÍ","NO")</x:f>
        <x:v>NO</x:v>
      </x:c>
      <x:c r="G1941" s="2" t="n">
        <x:f>IF(F1941="SÍ",EOMONTH(E1941,0)+1,DATE(YEAR(E1941),MONTH(E1941),1))</x:f>
        <x:v>47574</x:v>
      </x:c>
      <x:c r="H1941" t="str">
        <x:f>IF(D1941="NO",IF(C1941="SÍ","FERIADO","FIN DE SEMANA"),"LABORABLE")&amp;IF(F1941="SÍ"," + CIERRE","")</x:f>
        <x:v>LABORABLE</x:v>
      </x:c>
      <x:c r="I1941" t="str">
        <x:f>TEXT(G1941,"yyyy-mm")</x:f>
        <x:v>2030-04</x:v>
      </x:c>
    </x:row>
    <x:row r="1942">
      <x:c r="A1942" s="2" t="n">
        <x:v>47598</x:v>
      </x:c>
      <x:c r="B1942" t="str">
        <x:f>CHOOSE(WEEKDAY(A1942,2),"Lunes","Martes","Miércoles","Jueves","Viernes","Sábado","Domingo")</x:f>
        <x:v>Jueves</x:v>
      </x:c>
      <x:c r="C1942" t="str">
        <x:f>IF(COUNTIF(FERIADOS!$A$2:$A$250,A1942)&gt;0,"SÍ","NO")</x:f>
        <x:v>NO</x:v>
      </x:c>
      <x:c r="D1942" t="str">
        <x:f>IF(AND(WEEKDAY(A1942,2)&lt;=5,C1942="NO"),"SÍ","NO")</x:f>
        <x:v>SÍ</x:v>
      </x:c>
      <x:c r="E1942" s="2" t="n">
        <x:f>WORKDAY.INTL(A1942-1,1,1,FERIADOS!$A$2:$A$250)</x:f>
        <x:v>47598</x:v>
      </x:c>
      <x:c r="F1942" t="str">
        <x:f>IF(E1942&gt;=WORKDAY.INTL(EOMONTH(E1942,0)+1,-2,1,FERIADOS!$A$2:$A$250),"SÍ","NO")</x:f>
        <x:v>NO</x:v>
      </x:c>
      <x:c r="G1942" s="2" t="n">
        <x:f>IF(F1942="SÍ",EOMONTH(E1942,0)+1,DATE(YEAR(E1942),MONTH(E1942),1))</x:f>
        <x:v>47574</x:v>
      </x:c>
      <x:c r="H1942" t="str">
        <x:f>IF(D1942="NO",IF(C1942="SÍ","FERIADO","FIN DE SEMANA"),"LABORABLE")&amp;IF(F1942="SÍ"," + CIERRE","")</x:f>
        <x:v>LABORABLE</x:v>
      </x:c>
      <x:c r="I1942" t="str">
        <x:f>TEXT(G1942,"yyyy-mm")</x:f>
        <x:v>2030-04</x:v>
      </x:c>
    </x:row>
    <x:row r="1943">
      <x:c r="A1943" s="2" t="n">
        <x:v>47599</x:v>
      </x:c>
      <x:c r="B1943" t="str">
        <x:f>CHOOSE(WEEKDAY(A1943,2),"Lunes","Martes","Miércoles","Jueves","Viernes","Sábado","Domingo")</x:f>
        <x:v>Viernes</x:v>
      </x:c>
      <x:c r="C1943" t="str">
        <x:f>IF(COUNTIF(FERIADOS!$A$2:$A$250,A1943)&gt;0,"SÍ","NO")</x:f>
        <x:v>NO</x:v>
      </x:c>
      <x:c r="D1943" t="str">
        <x:f>IF(AND(WEEKDAY(A1943,2)&lt;=5,C1943="NO"),"SÍ","NO")</x:f>
        <x:v>SÍ</x:v>
      </x:c>
      <x:c r="E1943" s="2" t="n">
        <x:f>WORKDAY.INTL(A1943-1,1,1,FERIADOS!$A$2:$A$250)</x:f>
        <x:v>47599</x:v>
      </x:c>
      <x:c r="F1943" t="str">
        <x:f>IF(E1943&gt;=WORKDAY.INTL(EOMONTH(E1943,0)+1,-2,1,FERIADOS!$A$2:$A$250),"SÍ","NO")</x:f>
        <x:v>NO</x:v>
      </x:c>
      <x:c r="G1943" s="2" t="n">
        <x:f>IF(F1943="SÍ",EOMONTH(E1943,0)+1,DATE(YEAR(E1943),MONTH(E1943),1))</x:f>
        <x:v>47574</x:v>
      </x:c>
      <x:c r="H1943" t="str">
        <x:f>IF(D1943="NO",IF(C1943="SÍ","FERIADO","FIN DE SEMANA"),"LABORABLE")&amp;IF(F1943="SÍ"," + CIERRE","")</x:f>
        <x:v>LABORABLE</x:v>
      </x:c>
      <x:c r="I1943" t="str">
        <x:f>TEXT(G1943,"yyyy-mm")</x:f>
        <x:v>2030-04</x:v>
      </x:c>
    </x:row>
    <x:row r="1944">
      <x:c r="A1944" s="2" t="n">
        <x:v>47600</x:v>
      </x:c>
      <x:c r="B1944" t="str">
        <x:f>CHOOSE(WEEKDAY(A1944,2),"Lunes","Martes","Miércoles","Jueves","Viernes","Sábado","Domingo")</x:f>
        <x:v>Sábado</x:v>
      </x:c>
      <x:c r="C1944" t="str">
        <x:f>IF(COUNTIF(FERIADOS!$A$2:$A$250,A1944)&gt;0,"SÍ","NO")</x:f>
        <x:v>NO</x:v>
      </x:c>
      <x:c r="D1944" t="str">
        <x:f>IF(AND(WEEKDAY(A1944,2)&lt;=5,C1944="NO"),"SÍ","NO")</x:f>
        <x:v>NO</x:v>
      </x:c>
      <x:c r="E1944" s="2" t="n">
        <x:f>WORKDAY.INTL(A1944-1,1,1,FERIADOS!$A$2:$A$250)</x:f>
        <x:v>47602</x:v>
      </x:c>
      <x:c r="F1944" t="str">
        <x:f>IF(E1944&gt;=WORKDAY.INTL(EOMONTH(E1944,0)+1,-2,1,FERIADOS!$A$2:$A$250),"SÍ","NO")</x:f>
        <x:v>SÍ</x:v>
      </x:c>
      <x:c r="G1944" s="2" t="n">
        <x:f>IF(F1944="SÍ",EOMONTH(E1944,0)+1,DATE(YEAR(E1944),MONTH(E1944),1))</x:f>
        <x:v>47604</x:v>
      </x:c>
      <x:c r="H1944" t="str">
        <x:f>IF(D1944="NO",IF(C1944="SÍ","FERIADO","FIN DE SEMANA"),"LABORABLE")&amp;IF(F1944="SÍ"," + CIERRE","")</x:f>
        <x:v>FIN DE SEMANA + CIERRE</x:v>
      </x:c>
      <x:c r="I1944" t="str">
        <x:f>TEXT(G1944,"yyyy-mm")</x:f>
        <x:v>2030-05</x:v>
      </x:c>
    </x:row>
    <x:row r="1945">
      <x:c r="A1945" s="2" t="n">
        <x:v>47601</x:v>
      </x:c>
      <x:c r="B1945" t="str">
        <x:f>CHOOSE(WEEKDAY(A1945,2),"Lunes","Martes","Miércoles","Jueves","Viernes","Sábado","Domingo")</x:f>
        <x:v>Domingo</x:v>
      </x:c>
      <x:c r="C1945" t="str">
        <x:f>IF(COUNTIF(FERIADOS!$A$2:$A$250,A1945)&gt;0,"SÍ","NO")</x:f>
        <x:v>NO</x:v>
      </x:c>
      <x:c r="D1945" t="str">
        <x:f>IF(AND(WEEKDAY(A1945,2)&lt;=5,C1945="NO"),"SÍ","NO")</x:f>
        <x:v>NO</x:v>
      </x:c>
      <x:c r="E1945" s="2" t="n">
        <x:f>WORKDAY.INTL(A1945-1,1,1,FERIADOS!$A$2:$A$250)</x:f>
        <x:v>47602</x:v>
      </x:c>
      <x:c r="F1945" t="str">
        <x:f>IF(E1945&gt;=WORKDAY.INTL(EOMONTH(E1945,0)+1,-2,1,FERIADOS!$A$2:$A$250),"SÍ","NO")</x:f>
        <x:v>SÍ</x:v>
      </x:c>
      <x:c r="G1945" s="2" t="n">
        <x:f>IF(F1945="SÍ",EOMONTH(E1945,0)+1,DATE(YEAR(E1945),MONTH(E1945),1))</x:f>
        <x:v>47604</x:v>
      </x:c>
      <x:c r="H1945" t="str">
        <x:f>IF(D1945="NO",IF(C1945="SÍ","FERIADO","FIN DE SEMANA"),"LABORABLE")&amp;IF(F1945="SÍ"," + CIERRE","")</x:f>
        <x:v>FIN DE SEMANA + CIERRE</x:v>
      </x:c>
      <x:c r="I1945" t="str">
        <x:f>TEXT(G1945,"yyyy-mm")</x:f>
        <x:v>2030-05</x:v>
      </x:c>
    </x:row>
    <x:row r="1946">
      <x:c r="A1946" s="2" t="n">
        <x:v>47602</x:v>
      </x:c>
      <x:c r="B1946" t="str">
        <x:f>CHOOSE(WEEKDAY(A1946,2),"Lunes","Martes","Miércoles","Jueves","Viernes","Sábado","Domingo")</x:f>
        <x:v>Lunes</x:v>
      </x:c>
      <x:c r="C1946" t="str">
        <x:f>IF(COUNTIF(FERIADOS!$A$2:$A$250,A1946)&gt;0,"SÍ","NO")</x:f>
        <x:v>NO</x:v>
      </x:c>
      <x:c r="D1946" t="str">
        <x:f>IF(AND(WEEKDAY(A1946,2)&lt;=5,C1946="NO"),"SÍ","NO")</x:f>
        <x:v>SÍ</x:v>
      </x:c>
      <x:c r="E1946" s="2" t="n">
        <x:f>WORKDAY.INTL(A1946-1,1,1,FERIADOS!$A$2:$A$250)</x:f>
        <x:v>47602</x:v>
      </x:c>
      <x:c r="F1946" t="str">
        <x:f>IF(E1946&gt;=WORKDAY.INTL(EOMONTH(E1946,0)+1,-2,1,FERIADOS!$A$2:$A$250),"SÍ","NO")</x:f>
        <x:v>SÍ</x:v>
      </x:c>
      <x:c r="G1946" s="2" t="n">
        <x:f>IF(F1946="SÍ",EOMONTH(E1946,0)+1,DATE(YEAR(E1946),MONTH(E1946),1))</x:f>
        <x:v>47604</x:v>
      </x:c>
      <x:c r="H1946" t="str">
        <x:f>IF(D1946="NO",IF(C1946="SÍ","FERIADO","FIN DE SEMANA"),"LABORABLE")&amp;IF(F1946="SÍ"," + CIERRE","")</x:f>
        <x:v>LABORABLE + CIERRE</x:v>
      </x:c>
      <x:c r="I1946" t="str">
        <x:f>TEXT(G1946,"yyyy-mm")</x:f>
        <x:v>2030-05</x:v>
      </x:c>
    </x:row>
    <x:row r="1947">
      <x:c r="A1947" s="2" t="n">
        <x:v>47603</x:v>
      </x:c>
      <x:c r="B1947" t="str">
        <x:f>CHOOSE(WEEKDAY(A1947,2),"Lunes","Martes","Miércoles","Jueves","Viernes","Sábado","Domingo")</x:f>
        <x:v>Martes</x:v>
      </x:c>
      <x:c r="C1947" t="str">
        <x:f>IF(COUNTIF(FERIADOS!$A$2:$A$250,A1947)&gt;0,"SÍ","NO")</x:f>
        <x:v>NO</x:v>
      </x:c>
      <x:c r="D1947" t="str">
        <x:f>IF(AND(WEEKDAY(A1947,2)&lt;=5,C1947="NO"),"SÍ","NO")</x:f>
        <x:v>SÍ</x:v>
      </x:c>
      <x:c r="E1947" s="2" t="n">
        <x:f>WORKDAY.INTL(A1947-1,1,1,FERIADOS!$A$2:$A$250)</x:f>
        <x:v>47603</x:v>
      </x:c>
      <x:c r="F1947" t="str">
        <x:f>IF(E1947&gt;=WORKDAY.INTL(EOMONTH(E1947,0)+1,-2,1,FERIADOS!$A$2:$A$250),"SÍ","NO")</x:f>
        <x:v>SÍ</x:v>
      </x:c>
      <x:c r="G1947" s="2" t="n">
        <x:f>IF(F1947="SÍ",EOMONTH(E1947,0)+1,DATE(YEAR(E1947),MONTH(E1947),1))</x:f>
        <x:v>47604</x:v>
      </x:c>
      <x:c r="H1947" t="str">
        <x:f>IF(D1947="NO",IF(C1947="SÍ","FERIADO","FIN DE SEMANA"),"LABORABLE")&amp;IF(F1947="SÍ"," + CIERRE","")</x:f>
        <x:v>LABORABLE + CIERRE</x:v>
      </x:c>
      <x:c r="I1947" t="str">
        <x:f>TEXT(G1947,"yyyy-mm")</x:f>
        <x:v>2030-05</x:v>
      </x:c>
    </x:row>
    <x:row r="1948">
      <x:c r="A1948" s="2" t="n">
        <x:v>47604</x:v>
      </x:c>
      <x:c r="B1948" t="str">
        <x:f>CHOOSE(WEEKDAY(A1948,2),"Lunes","Martes","Miércoles","Jueves","Viernes","Sábado","Domingo")</x:f>
        <x:v>Miércoles</x:v>
      </x:c>
      <x:c r="C1948" t="str">
        <x:f>IF(COUNTIF(FERIADOS!$A$2:$A$250,A1948)&gt;0,"SÍ","NO")</x:f>
        <x:v>NO</x:v>
      </x:c>
      <x:c r="D1948" t="str">
        <x:f>IF(AND(WEEKDAY(A1948,2)&lt;=5,C1948="NO"),"SÍ","NO")</x:f>
        <x:v>SÍ</x:v>
      </x:c>
      <x:c r="E1948" s="2" t="n">
        <x:f>WORKDAY.INTL(A1948-1,1,1,FERIADOS!$A$2:$A$250)</x:f>
        <x:v>47604</x:v>
      </x:c>
      <x:c r="F1948" t="str">
        <x:f>IF(E1948&gt;=WORKDAY.INTL(EOMONTH(E1948,0)+1,-2,1,FERIADOS!$A$2:$A$250),"SÍ","NO")</x:f>
        <x:v>NO</x:v>
      </x:c>
      <x:c r="G1948" s="2" t="n">
        <x:f>IF(F1948="SÍ",EOMONTH(E1948,0)+1,DATE(YEAR(E1948),MONTH(E1948),1))</x:f>
        <x:v>47604</x:v>
      </x:c>
      <x:c r="H1948" t="str">
        <x:f>IF(D1948="NO",IF(C1948="SÍ","FERIADO","FIN DE SEMANA"),"LABORABLE")&amp;IF(F1948="SÍ"," + CIERRE","")</x:f>
        <x:v>LABORABLE</x:v>
      </x:c>
      <x:c r="I1948" t="str">
        <x:f>TEXT(G1948,"yyyy-mm")</x:f>
        <x:v>2030-05</x:v>
      </x:c>
    </x:row>
    <x:row r="1949">
      <x:c r="A1949" s="2" t="n">
        <x:v>47605</x:v>
      </x:c>
      <x:c r="B1949" t="str">
        <x:f>CHOOSE(WEEKDAY(A1949,2),"Lunes","Martes","Miércoles","Jueves","Viernes","Sábado","Domingo")</x:f>
        <x:v>Jueves</x:v>
      </x:c>
      <x:c r="C1949" t="str">
        <x:f>IF(COUNTIF(FERIADOS!$A$2:$A$250,A1949)&gt;0,"SÍ","NO")</x:f>
        <x:v>NO</x:v>
      </x:c>
      <x:c r="D1949" t="str">
        <x:f>IF(AND(WEEKDAY(A1949,2)&lt;=5,C1949="NO"),"SÍ","NO")</x:f>
        <x:v>SÍ</x:v>
      </x:c>
      <x:c r="E1949" s="2" t="n">
        <x:f>WORKDAY.INTL(A1949-1,1,1,FERIADOS!$A$2:$A$250)</x:f>
        <x:v>47605</x:v>
      </x:c>
      <x:c r="F1949" t="str">
        <x:f>IF(E1949&gt;=WORKDAY.INTL(EOMONTH(E1949,0)+1,-2,1,FERIADOS!$A$2:$A$250),"SÍ","NO")</x:f>
        <x:v>NO</x:v>
      </x:c>
      <x:c r="G1949" s="2" t="n">
        <x:f>IF(F1949="SÍ",EOMONTH(E1949,0)+1,DATE(YEAR(E1949),MONTH(E1949),1))</x:f>
        <x:v>47604</x:v>
      </x:c>
      <x:c r="H1949" t="str">
        <x:f>IF(D1949="NO",IF(C1949="SÍ","FERIADO","FIN DE SEMANA"),"LABORABLE")&amp;IF(F1949="SÍ"," + CIERRE","")</x:f>
        <x:v>LABORABLE</x:v>
      </x:c>
      <x:c r="I1949" t="str">
        <x:f>TEXT(G1949,"yyyy-mm")</x:f>
        <x:v>2030-05</x:v>
      </x:c>
    </x:row>
    <x:row r="1950">
      <x:c r="A1950" s="2" t="n">
        <x:v>47606</x:v>
      </x:c>
      <x:c r="B1950" t="str">
        <x:f>CHOOSE(WEEKDAY(A1950,2),"Lunes","Martes","Miércoles","Jueves","Viernes","Sábado","Domingo")</x:f>
        <x:v>Viernes</x:v>
      </x:c>
      <x:c r="C1950" t="str">
        <x:f>IF(COUNTIF(FERIADOS!$A$2:$A$250,A1950)&gt;0,"SÍ","NO")</x:f>
        <x:v>SÍ</x:v>
      </x:c>
      <x:c r="D1950" t="str">
        <x:f>IF(AND(WEEKDAY(A1950,2)&lt;=5,C1950="NO"),"SÍ","NO")</x:f>
        <x:v>NO</x:v>
      </x:c>
      <x:c r="E1950" s="2" t="n">
        <x:f>WORKDAY.INTL(A1950-1,1,1,FERIADOS!$A$2:$A$250)</x:f>
        <x:v>47609</x:v>
      </x:c>
      <x:c r="F1950" t="str">
        <x:f>IF(E1950&gt;=WORKDAY.INTL(EOMONTH(E1950,0)+1,-2,1,FERIADOS!$A$2:$A$250),"SÍ","NO")</x:f>
        <x:v>NO</x:v>
      </x:c>
      <x:c r="G1950" s="2" t="n">
        <x:f>IF(F1950="SÍ",EOMONTH(E1950,0)+1,DATE(YEAR(E1950),MONTH(E1950),1))</x:f>
        <x:v>47604</x:v>
      </x:c>
      <x:c r="H1950" t="str">
        <x:f>IF(D1950="NO",IF(C1950="SÍ","FERIADO","FIN DE SEMANA"),"LABORABLE")&amp;IF(F1950="SÍ"," + CIERRE","")</x:f>
        <x:v>FERIADO</x:v>
      </x:c>
      <x:c r="I1950" t="str">
        <x:f>TEXT(G1950,"yyyy-mm")</x:f>
        <x:v>2030-05</x:v>
      </x:c>
    </x:row>
    <x:row r="1951">
      <x:c r="A1951" s="2" t="n">
        <x:v>47607</x:v>
      </x:c>
      <x:c r="B1951" t="str">
        <x:f>CHOOSE(WEEKDAY(A1951,2),"Lunes","Martes","Miércoles","Jueves","Viernes","Sábado","Domingo")</x:f>
        <x:v>Sábado</x:v>
      </x:c>
      <x:c r="C1951" t="str">
        <x:f>IF(COUNTIF(FERIADOS!$A$2:$A$250,A1951)&gt;0,"SÍ","NO")</x:f>
        <x:v>NO</x:v>
      </x:c>
      <x:c r="D1951" t="str">
        <x:f>IF(AND(WEEKDAY(A1951,2)&lt;=5,C1951="NO"),"SÍ","NO")</x:f>
        <x:v>NO</x:v>
      </x:c>
      <x:c r="E1951" s="2" t="n">
        <x:f>WORKDAY.INTL(A1951-1,1,1,FERIADOS!$A$2:$A$250)</x:f>
        <x:v>47609</x:v>
      </x:c>
      <x:c r="F1951" t="str">
        <x:f>IF(E1951&gt;=WORKDAY.INTL(EOMONTH(E1951,0)+1,-2,1,FERIADOS!$A$2:$A$250),"SÍ","NO")</x:f>
        <x:v>NO</x:v>
      </x:c>
      <x:c r="G1951" s="2" t="n">
        <x:f>IF(F1951="SÍ",EOMONTH(E1951,0)+1,DATE(YEAR(E1951),MONTH(E1951),1))</x:f>
        <x:v>47604</x:v>
      </x:c>
      <x:c r="H1951" t="str">
        <x:f>IF(D1951="NO",IF(C1951="SÍ","FERIADO","FIN DE SEMANA"),"LABORABLE")&amp;IF(F1951="SÍ"," + CIERRE","")</x:f>
        <x:v>FIN DE SEMANA</x:v>
      </x:c>
      <x:c r="I1951" t="str">
        <x:f>TEXT(G1951,"yyyy-mm")</x:f>
        <x:v>2030-05</x:v>
      </x:c>
    </x:row>
    <x:row r="1952">
      <x:c r="A1952" s="2" t="n">
        <x:v>47608</x:v>
      </x:c>
      <x:c r="B1952" t="str">
        <x:f>CHOOSE(WEEKDAY(A1952,2),"Lunes","Martes","Miércoles","Jueves","Viernes","Sábado","Domingo")</x:f>
        <x:v>Domingo</x:v>
      </x:c>
      <x:c r="C1952" t="str">
        <x:f>IF(COUNTIF(FERIADOS!$A$2:$A$250,A1952)&gt;0,"SÍ","NO")</x:f>
        <x:v>NO</x:v>
      </x:c>
      <x:c r="D1952" t="str">
        <x:f>IF(AND(WEEKDAY(A1952,2)&lt;=5,C1952="NO"),"SÍ","NO")</x:f>
        <x:v>NO</x:v>
      </x:c>
      <x:c r="E1952" s="2" t="n">
        <x:f>WORKDAY.INTL(A1952-1,1,1,FERIADOS!$A$2:$A$250)</x:f>
        <x:v>47609</x:v>
      </x:c>
      <x:c r="F1952" t="str">
        <x:f>IF(E1952&gt;=WORKDAY.INTL(EOMONTH(E1952,0)+1,-2,1,FERIADOS!$A$2:$A$250),"SÍ","NO")</x:f>
        <x:v>NO</x:v>
      </x:c>
      <x:c r="G1952" s="2" t="n">
        <x:f>IF(F1952="SÍ",EOMONTH(E1952,0)+1,DATE(YEAR(E1952),MONTH(E1952),1))</x:f>
        <x:v>47604</x:v>
      </x:c>
      <x:c r="H1952" t="str">
        <x:f>IF(D1952="NO",IF(C1952="SÍ","FERIADO","FIN DE SEMANA"),"LABORABLE")&amp;IF(F1952="SÍ"," + CIERRE","")</x:f>
        <x:v>FIN DE SEMANA</x:v>
      </x:c>
      <x:c r="I1952" t="str">
        <x:f>TEXT(G1952,"yyyy-mm")</x:f>
        <x:v>2030-05</x:v>
      </x:c>
    </x:row>
    <x:row r="1953">
      <x:c r="A1953" s="2" t="n">
        <x:v>47609</x:v>
      </x:c>
      <x:c r="B1953" t="str">
        <x:f>CHOOSE(WEEKDAY(A1953,2),"Lunes","Martes","Miércoles","Jueves","Viernes","Sábado","Domingo")</x:f>
        <x:v>Lunes</x:v>
      </x:c>
      <x:c r="C1953" t="str">
        <x:f>IF(COUNTIF(FERIADOS!$A$2:$A$250,A1953)&gt;0,"SÍ","NO")</x:f>
        <x:v>NO</x:v>
      </x:c>
      <x:c r="D1953" t="str">
        <x:f>IF(AND(WEEKDAY(A1953,2)&lt;=5,C1953="NO"),"SÍ","NO")</x:f>
        <x:v>SÍ</x:v>
      </x:c>
      <x:c r="E1953" s="2" t="n">
        <x:f>WORKDAY.INTL(A1953-1,1,1,FERIADOS!$A$2:$A$250)</x:f>
        <x:v>47609</x:v>
      </x:c>
      <x:c r="F1953" t="str">
        <x:f>IF(E1953&gt;=WORKDAY.INTL(EOMONTH(E1953,0)+1,-2,1,FERIADOS!$A$2:$A$250),"SÍ","NO")</x:f>
        <x:v>NO</x:v>
      </x:c>
      <x:c r="G1953" s="2" t="n">
        <x:f>IF(F1953="SÍ",EOMONTH(E1953,0)+1,DATE(YEAR(E1953),MONTH(E1953),1))</x:f>
        <x:v>47604</x:v>
      </x:c>
      <x:c r="H1953" t="str">
        <x:f>IF(D1953="NO",IF(C1953="SÍ","FERIADO","FIN DE SEMANA"),"LABORABLE")&amp;IF(F1953="SÍ"," + CIERRE","")</x:f>
        <x:v>LABORABLE</x:v>
      </x:c>
      <x:c r="I1953" t="str">
        <x:f>TEXT(G1953,"yyyy-mm")</x:f>
        <x:v>2030-05</x:v>
      </x:c>
    </x:row>
    <x:row r="1954">
      <x:c r="A1954" s="2" t="n">
        <x:v>47610</x:v>
      </x:c>
      <x:c r="B1954" t="str">
        <x:f>CHOOSE(WEEKDAY(A1954,2),"Lunes","Martes","Miércoles","Jueves","Viernes","Sábado","Domingo")</x:f>
        <x:v>Martes</x:v>
      </x:c>
      <x:c r="C1954" t="str">
        <x:f>IF(COUNTIF(FERIADOS!$A$2:$A$250,A1954)&gt;0,"SÍ","NO")</x:f>
        <x:v>NO</x:v>
      </x:c>
      <x:c r="D1954" t="str">
        <x:f>IF(AND(WEEKDAY(A1954,2)&lt;=5,C1954="NO"),"SÍ","NO")</x:f>
        <x:v>SÍ</x:v>
      </x:c>
      <x:c r="E1954" s="2" t="n">
        <x:f>WORKDAY.INTL(A1954-1,1,1,FERIADOS!$A$2:$A$250)</x:f>
        <x:v>47610</x:v>
      </x:c>
      <x:c r="F1954" t="str">
        <x:f>IF(E1954&gt;=WORKDAY.INTL(EOMONTH(E1954,0)+1,-2,1,FERIADOS!$A$2:$A$250),"SÍ","NO")</x:f>
        <x:v>NO</x:v>
      </x:c>
      <x:c r="G1954" s="2" t="n">
        <x:f>IF(F1954="SÍ",EOMONTH(E1954,0)+1,DATE(YEAR(E1954),MONTH(E1954),1))</x:f>
        <x:v>47604</x:v>
      </x:c>
      <x:c r="H1954" t="str">
        <x:f>IF(D1954="NO",IF(C1954="SÍ","FERIADO","FIN DE SEMANA"),"LABORABLE")&amp;IF(F1954="SÍ"," + CIERRE","")</x:f>
        <x:v>LABORABLE</x:v>
      </x:c>
      <x:c r="I1954" t="str">
        <x:f>TEXT(G1954,"yyyy-mm")</x:f>
        <x:v>2030-05</x:v>
      </x:c>
    </x:row>
    <x:row r="1955">
      <x:c r="A1955" s="2" t="n">
        <x:v>47611</x:v>
      </x:c>
      <x:c r="B1955" t="str">
        <x:f>CHOOSE(WEEKDAY(A1955,2),"Lunes","Martes","Miércoles","Jueves","Viernes","Sábado","Domingo")</x:f>
        <x:v>Miércoles</x:v>
      </x:c>
      <x:c r="C1955" t="str">
        <x:f>IF(COUNTIF(FERIADOS!$A$2:$A$250,A1955)&gt;0,"SÍ","NO")</x:f>
        <x:v>NO</x:v>
      </x:c>
      <x:c r="D1955" t="str">
        <x:f>IF(AND(WEEKDAY(A1955,2)&lt;=5,C1955="NO"),"SÍ","NO")</x:f>
        <x:v>SÍ</x:v>
      </x:c>
      <x:c r="E1955" s="2" t="n">
        <x:f>WORKDAY.INTL(A1955-1,1,1,FERIADOS!$A$2:$A$250)</x:f>
        <x:v>47611</x:v>
      </x:c>
      <x:c r="F1955" t="str">
        <x:f>IF(E1955&gt;=WORKDAY.INTL(EOMONTH(E1955,0)+1,-2,1,FERIADOS!$A$2:$A$250),"SÍ","NO")</x:f>
        <x:v>NO</x:v>
      </x:c>
      <x:c r="G1955" s="2" t="n">
        <x:f>IF(F1955="SÍ",EOMONTH(E1955,0)+1,DATE(YEAR(E1955),MONTH(E1955),1))</x:f>
        <x:v>47604</x:v>
      </x:c>
      <x:c r="H1955" t="str">
        <x:f>IF(D1955="NO",IF(C1955="SÍ","FERIADO","FIN DE SEMANA"),"LABORABLE")&amp;IF(F1955="SÍ"," + CIERRE","")</x:f>
        <x:v>LABORABLE</x:v>
      </x:c>
      <x:c r="I1955" t="str">
        <x:f>TEXT(G1955,"yyyy-mm")</x:f>
        <x:v>2030-05</x:v>
      </x:c>
    </x:row>
    <x:row r="1956">
      <x:c r="A1956" s="2" t="n">
        <x:v>47612</x:v>
      </x:c>
      <x:c r="B1956" t="str">
        <x:f>CHOOSE(WEEKDAY(A1956,2),"Lunes","Martes","Miércoles","Jueves","Viernes","Sábado","Domingo")</x:f>
        <x:v>Jueves</x:v>
      </x:c>
      <x:c r="C1956" t="str">
        <x:f>IF(COUNTIF(FERIADOS!$A$2:$A$250,A1956)&gt;0,"SÍ","NO")</x:f>
        <x:v>NO</x:v>
      </x:c>
      <x:c r="D1956" t="str">
        <x:f>IF(AND(WEEKDAY(A1956,2)&lt;=5,C1956="NO"),"SÍ","NO")</x:f>
        <x:v>SÍ</x:v>
      </x:c>
      <x:c r="E1956" s="2" t="n">
        <x:f>WORKDAY.INTL(A1956-1,1,1,FERIADOS!$A$2:$A$250)</x:f>
        <x:v>47612</x:v>
      </x:c>
      <x:c r="F1956" t="str">
        <x:f>IF(E1956&gt;=WORKDAY.INTL(EOMONTH(E1956,0)+1,-2,1,FERIADOS!$A$2:$A$250),"SÍ","NO")</x:f>
        <x:v>NO</x:v>
      </x:c>
      <x:c r="G1956" s="2" t="n">
        <x:f>IF(F1956="SÍ",EOMONTH(E1956,0)+1,DATE(YEAR(E1956),MONTH(E1956),1))</x:f>
        <x:v>47604</x:v>
      </x:c>
      <x:c r="H1956" t="str">
        <x:f>IF(D1956="NO",IF(C1956="SÍ","FERIADO","FIN DE SEMANA"),"LABORABLE")&amp;IF(F1956="SÍ"," + CIERRE","")</x:f>
        <x:v>LABORABLE</x:v>
      </x:c>
      <x:c r="I1956" t="str">
        <x:f>TEXT(G1956,"yyyy-mm")</x:f>
        <x:v>2030-05</x:v>
      </x:c>
    </x:row>
    <x:row r="1957">
      <x:c r="A1957" s="2" t="n">
        <x:v>47613</x:v>
      </x:c>
      <x:c r="B1957" t="str">
        <x:f>CHOOSE(WEEKDAY(A1957,2),"Lunes","Martes","Miércoles","Jueves","Viernes","Sábado","Domingo")</x:f>
        <x:v>Viernes</x:v>
      </x:c>
      <x:c r="C1957" t="str">
        <x:f>IF(COUNTIF(FERIADOS!$A$2:$A$250,A1957)&gt;0,"SÍ","NO")</x:f>
        <x:v>NO</x:v>
      </x:c>
      <x:c r="D1957" t="str">
        <x:f>IF(AND(WEEKDAY(A1957,2)&lt;=5,C1957="NO"),"SÍ","NO")</x:f>
        <x:v>SÍ</x:v>
      </x:c>
      <x:c r="E1957" s="2" t="n">
        <x:f>WORKDAY.INTL(A1957-1,1,1,FERIADOS!$A$2:$A$250)</x:f>
        <x:v>47613</x:v>
      </x:c>
      <x:c r="F1957" t="str">
        <x:f>IF(E1957&gt;=WORKDAY.INTL(EOMONTH(E1957,0)+1,-2,1,FERIADOS!$A$2:$A$250),"SÍ","NO")</x:f>
        <x:v>NO</x:v>
      </x:c>
      <x:c r="G1957" s="2" t="n">
        <x:f>IF(F1957="SÍ",EOMONTH(E1957,0)+1,DATE(YEAR(E1957),MONTH(E1957),1))</x:f>
        <x:v>47604</x:v>
      </x:c>
      <x:c r="H1957" t="str">
        <x:f>IF(D1957="NO",IF(C1957="SÍ","FERIADO","FIN DE SEMANA"),"LABORABLE")&amp;IF(F1957="SÍ"," + CIERRE","")</x:f>
        <x:v>LABORABLE</x:v>
      </x:c>
      <x:c r="I1957" t="str">
        <x:f>TEXT(G1957,"yyyy-mm")</x:f>
        <x:v>2030-05</x:v>
      </x:c>
    </x:row>
    <x:row r="1958">
      <x:c r="A1958" s="2" t="n">
        <x:v>47614</x:v>
      </x:c>
      <x:c r="B1958" t="str">
        <x:f>CHOOSE(WEEKDAY(A1958,2),"Lunes","Martes","Miércoles","Jueves","Viernes","Sábado","Domingo")</x:f>
        <x:v>Sábado</x:v>
      </x:c>
      <x:c r="C1958" t="str">
        <x:f>IF(COUNTIF(FERIADOS!$A$2:$A$250,A1958)&gt;0,"SÍ","NO")</x:f>
        <x:v>NO</x:v>
      </x:c>
      <x:c r="D1958" t="str">
        <x:f>IF(AND(WEEKDAY(A1958,2)&lt;=5,C1958="NO"),"SÍ","NO")</x:f>
        <x:v>NO</x:v>
      </x:c>
      <x:c r="E1958" s="2" t="n">
        <x:f>WORKDAY.INTL(A1958-1,1,1,FERIADOS!$A$2:$A$250)</x:f>
        <x:v>47616</x:v>
      </x:c>
      <x:c r="F1958" t="str">
        <x:f>IF(E1958&gt;=WORKDAY.INTL(EOMONTH(E1958,0)+1,-2,1,FERIADOS!$A$2:$A$250),"SÍ","NO")</x:f>
        <x:v>NO</x:v>
      </x:c>
      <x:c r="G1958" s="2" t="n">
        <x:f>IF(F1958="SÍ",EOMONTH(E1958,0)+1,DATE(YEAR(E1958),MONTH(E1958),1))</x:f>
        <x:v>47604</x:v>
      </x:c>
      <x:c r="H1958" t="str">
        <x:f>IF(D1958="NO",IF(C1958="SÍ","FERIADO","FIN DE SEMANA"),"LABORABLE")&amp;IF(F1958="SÍ"," + CIERRE","")</x:f>
        <x:v>FIN DE SEMANA</x:v>
      </x:c>
      <x:c r="I1958" t="str">
        <x:f>TEXT(G1958,"yyyy-mm")</x:f>
        <x:v>2030-05</x:v>
      </x:c>
    </x:row>
    <x:row r="1959">
      <x:c r="A1959" s="2" t="n">
        <x:v>47615</x:v>
      </x:c>
      <x:c r="B1959" t="str">
        <x:f>CHOOSE(WEEKDAY(A1959,2),"Lunes","Martes","Miércoles","Jueves","Viernes","Sábado","Domingo")</x:f>
        <x:v>Domingo</x:v>
      </x:c>
      <x:c r="C1959" t="str">
        <x:f>IF(COUNTIF(FERIADOS!$A$2:$A$250,A1959)&gt;0,"SÍ","NO")</x:f>
        <x:v>NO</x:v>
      </x:c>
      <x:c r="D1959" t="str">
        <x:f>IF(AND(WEEKDAY(A1959,2)&lt;=5,C1959="NO"),"SÍ","NO")</x:f>
        <x:v>NO</x:v>
      </x:c>
      <x:c r="E1959" s="2" t="n">
        <x:f>WORKDAY.INTL(A1959-1,1,1,FERIADOS!$A$2:$A$250)</x:f>
        <x:v>47616</x:v>
      </x:c>
      <x:c r="F1959" t="str">
        <x:f>IF(E1959&gt;=WORKDAY.INTL(EOMONTH(E1959,0)+1,-2,1,FERIADOS!$A$2:$A$250),"SÍ","NO")</x:f>
        <x:v>NO</x:v>
      </x:c>
      <x:c r="G1959" s="2" t="n">
        <x:f>IF(F1959="SÍ",EOMONTH(E1959,0)+1,DATE(YEAR(E1959),MONTH(E1959),1))</x:f>
        <x:v>47604</x:v>
      </x:c>
      <x:c r="H1959" t="str">
        <x:f>IF(D1959="NO",IF(C1959="SÍ","FERIADO","FIN DE SEMANA"),"LABORABLE")&amp;IF(F1959="SÍ"," + CIERRE","")</x:f>
        <x:v>FIN DE SEMANA</x:v>
      </x:c>
      <x:c r="I1959" t="str">
        <x:f>TEXT(G1959,"yyyy-mm")</x:f>
        <x:v>2030-05</x:v>
      </x:c>
    </x:row>
    <x:row r="1960">
      <x:c r="A1960" s="2" t="n">
        <x:v>47616</x:v>
      </x:c>
      <x:c r="B1960" t="str">
        <x:f>CHOOSE(WEEKDAY(A1960,2),"Lunes","Martes","Miércoles","Jueves","Viernes","Sábado","Domingo")</x:f>
        <x:v>Lunes</x:v>
      </x:c>
      <x:c r="C1960" t="str">
        <x:f>IF(COUNTIF(FERIADOS!$A$2:$A$250,A1960)&gt;0,"SÍ","NO")</x:f>
        <x:v>NO</x:v>
      </x:c>
      <x:c r="D1960" t="str">
        <x:f>IF(AND(WEEKDAY(A1960,2)&lt;=5,C1960="NO"),"SÍ","NO")</x:f>
        <x:v>SÍ</x:v>
      </x:c>
      <x:c r="E1960" s="2" t="n">
        <x:f>WORKDAY.INTL(A1960-1,1,1,FERIADOS!$A$2:$A$250)</x:f>
        <x:v>47616</x:v>
      </x:c>
      <x:c r="F1960" t="str">
        <x:f>IF(E1960&gt;=WORKDAY.INTL(EOMONTH(E1960,0)+1,-2,1,FERIADOS!$A$2:$A$250),"SÍ","NO")</x:f>
        <x:v>NO</x:v>
      </x:c>
      <x:c r="G1960" s="2" t="n">
        <x:f>IF(F1960="SÍ",EOMONTH(E1960,0)+1,DATE(YEAR(E1960),MONTH(E1960),1))</x:f>
        <x:v>47604</x:v>
      </x:c>
      <x:c r="H1960" t="str">
        <x:f>IF(D1960="NO",IF(C1960="SÍ","FERIADO","FIN DE SEMANA"),"LABORABLE")&amp;IF(F1960="SÍ"," + CIERRE","")</x:f>
        <x:v>LABORABLE</x:v>
      </x:c>
      <x:c r="I1960" t="str">
        <x:f>TEXT(G1960,"yyyy-mm")</x:f>
        <x:v>2030-05</x:v>
      </x:c>
    </x:row>
    <x:row r="1961">
      <x:c r="A1961" s="2" t="n">
        <x:v>47617</x:v>
      </x:c>
      <x:c r="B1961" t="str">
        <x:f>CHOOSE(WEEKDAY(A1961,2),"Lunes","Martes","Miércoles","Jueves","Viernes","Sábado","Domingo")</x:f>
        <x:v>Martes</x:v>
      </x:c>
      <x:c r="C1961" t="str">
        <x:f>IF(COUNTIF(FERIADOS!$A$2:$A$250,A1961)&gt;0,"SÍ","NO")</x:f>
        <x:v>NO</x:v>
      </x:c>
      <x:c r="D1961" t="str">
        <x:f>IF(AND(WEEKDAY(A1961,2)&lt;=5,C1961="NO"),"SÍ","NO")</x:f>
        <x:v>SÍ</x:v>
      </x:c>
      <x:c r="E1961" s="2" t="n">
        <x:f>WORKDAY.INTL(A1961-1,1,1,FERIADOS!$A$2:$A$250)</x:f>
        <x:v>47617</x:v>
      </x:c>
      <x:c r="F1961" t="str">
        <x:f>IF(E1961&gt;=WORKDAY.INTL(EOMONTH(E1961,0)+1,-2,1,FERIADOS!$A$2:$A$250),"SÍ","NO")</x:f>
        <x:v>NO</x:v>
      </x:c>
      <x:c r="G1961" s="2" t="n">
        <x:f>IF(F1961="SÍ",EOMONTH(E1961,0)+1,DATE(YEAR(E1961),MONTH(E1961),1))</x:f>
        <x:v>47604</x:v>
      </x:c>
      <x:c r="H1961" t="str">
        <x:f>IF(D1961="NO",IF(C1961="SÍ","FERIADO","FIN DE SEMANA"),"LABORABLE")&amp;IF(F1961="SÍ"," + CIERRE","")</x:f>
        <x:v>LABORABLE</x:v>
      </x:c>
      <x:c r="I1961" t="str">
        <x:f>TEXT(G1961,"yyyy-mm")</x:f>
        <x:v>2030-05</x:v>
      </x:c>
    </x:row>
    <x:row r="1962">
      <x:c r="A1962" s="2" t="n">
        <x:v>47618</x:v>
      </x:c>
      <x:c r="B1962" t="str">
        <x:f>CHOOSE(WEEKDAY(A1962,2),"Lunes","Martes","Miércoles","Jueves","Viernes","Sábado","Domingo")</x:f>
        <x:v>Miércoles</x:v>
      </x:c>
      <x:c r="C1962" t="str">
        <x:f>IF(COUNTIF(FERIADOS!$A$2:$A$250,A1962)&gt;0,"SÍ","NO")</x:f>
        <x:v>NO</x:v>
      </x:c>
      <x:c r="D1962" t="str">
        <x:f>IF(AND(WEEKDAY(A1962,2)&lt;=5,C1962="NO"),"SÍ","NO")</x:f>
        <x:v>SÍ</x:v>
      </x:c>
      <x:c r="E1962" s="2" t="n">
        <x:f>WORKDAY.INTL(A1962-1,1,1,FERIADOS!$A$2:$A$250)</x:f>
        <x:v>47618</x:v>
      </x:c>
      <x:c r="F1962" t="str">
        <x:f>IF(E1962&gt;=WORKDAY.INTL(EOMONTH(E1962,0)+1,-2,1,FERIADOS!$A$2:$A$250),"SÍ","NO")</x:f>
        <x:v>NO</x:v>
      </x:c>
      <x:c r="G1962" s="2" t="n">
        <x:f>IF(F1962="SÍ",EOMONTH(E1962,0)+1,DATE(YEAR(E1962),MONTH(E1962),1))</x:f>
        <x:v>47604</x:v>
      </x:c>
      <x:c r="H1962" t="str">
        <x:f>IF(D1962="NO",IF(C1962="SÍ","FERIADO","FIN DE SEMANA"),"LABORABLE")&amp;IF(F1962="SÍ"," + CIERRE","")</x:f>
        <x:v>LABORABLE</x:v>
      </x:c>
      <x:c r="I1962" t="str">
        <x:f>TEXT(G1962,"yyyy-mm")</x:f>
        <x:v>2030-05</x:v>
      </x:c>
    </x:row>
    <x:row r="1963">
      <x:c r="A1963" s="2" t="n">
        <x:v>47619</x:v>
      </x:c>
      <x:c r="B1963" t="str">
        <x:f>CHOOSE(WEEKDAY(A1963,2),"Lunes","Martes","Miércoles","Jueves","Viernes","Sábado","Domingo")</x:f>
        <x:v>Jueves</x:v>
      </x:c>
      <x:c r="C1963" t="str">
        <x:f>IF(COUNTIF(FERIADOS!$A$2:$A$250,A1963)&gt;0,"SÍ","NO")</x:f>
        <x:v>NO</x:v>
      </x:c>
      <x:c r="D1963" t="str">
        <x:f>IF(AND(WEEKDAY(A1963,2)&lt;=5,C1963="NO"),"SÍ","NO")</x:f>
        <x:v>SÍ</x:v>
      </x:c>
      <x:c r="E1963" s="2" t="n">
        <x:f>WORKDAY.INTL(A1963-1,1,1,FERIADOS!$A$2:$A$250)</x:f>
        <x:v>47619</x:v>
      </x:c>
      <x:c r="F1963" t="str">
        <x:f>IF(E1963&gt;=WORKDAY.INTL(EOMONTH(E1963,0)+1,-2,1,FERIADOS!$A$2:$A$250),"SÍ","NO")</x:f>
        <x:v>NO</x:v>
      </x:c>
      <x:c r="G1963" s="2" t="n">
        <x:f>IF(F1963="SÍ",EOMONTH(E1963,0)+1,DATE(YEAR(E1963),MONTH(E1963),1))</x:f>
        <x:v>47604</x:v>
      </x:c>
      <x:c r="H1963" t="str">
        <x:f>IF(D1963="NO",IF(C1963="SÍ","FERIADO","FIN DE SEMANA"),"LABORABLE")&amp;IF(F1963="SÍ"," + CIERRE","")</x:f>
        <x:v>LABORABLE</x:v>
      </x:c>
      <x:c r="I1963" t="str">
        <x:f>TEXT(G1963,"yyyy-mm")</x:f>
        <x:v>2030-05</x:v>
      </x:c>
    </x:row>
    <x:row r="1964">
      <x:c r="A1964" s="2" t="n">
        <x:v>47620</x:v>
      </x:c>
      <x:c r="B1964" t="str">
        <x:f>CHOOSE(WEEKDAY(A1964,2),"Lunes","Martes","Miércoles","Jueves","Viernes","Sábado","Domingo")</x:f>
        <x:v>Viernes</x:v>
      </x:c>
      <x:c r="C1964" t="str">
        <x:f>IF(COUNTIF(FERIADOS!$A$2:$A$250,A1964)&gt;0,"SÍ","NO")</x:f>
        <x:v>NO</x:v>
      </x:c>
      <x:c r="D1964" t="str">
        <x:f>IF(AND(WEEKDAY(A1964,2)&lt;=5,C1964="NO"),"SÍ","NO")</x:f>
        <x:v>SÍ</x:v>
      </x:c>
      <x:c r="E1964" s="2" t="n">
        <x:f>WORKDAY.INTL(A1964-1,1,1,FERIADOS!$A$2:$A$250)</x:f>
        <x:v>47620</x:v>
      </x:c>
      <x:c r="F1964" t="str">
        <x:f>IF(E1964&gt;=WORKDAY.INTL(EOMONTH(E1964,0)+1,-2,1,FERIADOS!$A$2:$A$250),"SÍ","NO")</x:f>
        <x:v>NO</x:v>
      </x:c>
      <x:c r="G1964" s="2" t="n">
        <x:f>IF(F1964="SÍ",EOMONTH(E1964,0)+1,DATE(YEAR(E1964),MONTH(E1964),1))</x:f>
        <x:v>47604</x:v>
      </x:c>
      <x:c r="H1964" t="str">
        <x:f>IF(D1964="NO",IF(C1964="SÍ","FERIADO","FIN DE SEMANA"),"LABORABLE")&amp;IF(F1964="SÍ"," + CIERRE","")</x:f>
        <x:v>LABORABLE</x:v>
      </x:c>
      <x:c r="I1964" t="str">
        <x:f>TEXT(G1964,"yyyy-mm")</x:f>
        <x:v>2030-05</x:v>
      </x:c>
    </x:row>
    <x:row r="1965">
      <x:c r="A1965" s="2" t="n">
        <x:v>47621</x:v>
      </x:c>
      <x:c r="B1965" t="str">
        <x:f>CHOOSE(WEEKDAY(A1965,2),"Lunes","Martes","Miércoles","Jueves","Viernes","Sábado","Domingo")</x:f>
        <x:v>Sábado</x:v>
      </x:c>
      <x:c r="C1965" t="str">
        <x:f>IF(COUNTIF(FERIADOS!$A$2:$A$250,A1965)&gt;0,"SÍ","NO")</x:f>
        <x:v>NO</x:v>
      </x:c>
      <x:c r="D1965" t="str">
        <x:f>IF(AND(WEEKDAY(A1965,2)&lt;=5,C1965="NO"),"SÍ","NO")</x:f>
        <x:v>NO</x:v>
      </x:c>
      <x:c r="E1965" s="2" t="n">
        <x:f>WORKDAY.INTL(A1965-1,1,1,FERIADOS!$A$2:$A$250)</x:f>
        <x:v>47623</x:v>
      </x:c>
      <x:c r="F1965" t="str">
        <x:f>IF(E1965&gt;=WORKDAY.INTL(EOMONTH(E1965,0)+1,-2,1,FERIADOS!$A$2:$A$250),"SÍ","NO")</x:f>
        <x:v>NO</x:v>
      </x:c>
      <x:c r="G1965" s="2" t="n">
        <x:f>IF(F1965="SÍ",EOMONTH(E1965,0)+1,DATE(YEAR(E1965),MONTH(E1965),1))</x:f>
        <x:v>47604</x:v>
      </x:c>
      <x:c r="H1965" t="str">
        <x:f>IF(D1965="NO",IF(C1965="SÍ","FERIADO","FIN DE SEMANA"),"LABORABLE")&amp;IF(F1965="SÍ"," + CIERRE","")</x:f>
        <x:v>FIN DE SEMANA</x:v>
      </x:c>
      <x:c r="I1965" t="str">
        <x:f>TEXT(G1965,"yyyy-mm")</x:f>
        <x:v>2030-05</x:v>
      </x:c>
    </x:row>
    <x:row r="1966">
      <x:c r="A1966" s="2" t="n">
        <x:v>47622</x:v>
      </x:c>
      <x:c r="B1966" t="str">
        <x:f>CHOOSE(WEEKDAY(A1966,2),"Lunes","Martes","Miércoles","Jueves","Viernes","Sábado","Domingo")</x:f>
        <x:v>Domingo</x:v>
      </x:c>
      <x:c r="C1966" t="str">
        <x:f>IF(COUNTIF(FERIADOS!$A$2:$A$250,A1966)&gt;0,"SÍ","NO")</x:f>
        <x:v>NO</x:v>
      </x:c>
      <x:c r="D1966" t="str">
        <x:f>IF(AND(WEEKDAY(A1966,2)&lt;=5,C1966="NO"),"SÍ","NO")</x:f>
        <x:v>NO</x:v>
      </x:c>
      <x:c r="E1966" s="2" t="n">
        <x:f>WORKDAY.INTL(A1966-1,1,1,FERIADOS!$A$2:$A$250)</x:f>
        <x:v>47623</x:v>
      </x:c>
      <x:c r="F1966" t="str">
        <x:f>IF(E1966&gt;=WORKDAY.INTL(EOMONTH(E1966,0)+1,-2,1,FERIADOS!$A$2:$A$250),"SÍ","NO")</x:f>
        <x:v>NO</x:v>
      </x:c>
      <x:c r="G1966" s="2" t="n">
        <x:f>IF(F1966="SÍ",EOMONTH(E1966,0)+1,DATE(YEAR(E1966),MONTH(E1966),1))</x:f>
        <x:v>47604</x:v>
      </x:c>
      <x:c r="H1966" t="str">
        <x:f>IF(D1966="NO",IF(C1966="SÍ","FERIADO","FIN DE SEMANA"),"LABORABLE")&amp;IF(F1966="SÍ"," + CIERRE","")</x:f>
        <x:v>FIN DE SEMANA</x:v>
      </x:c>
      <x:c r="I1966" t="str">
        <x:f>TEXT(G1966,"yyyy-mm")</x:f>
        <x:v>2030-05</x:v>
      </x:c>
    </x:row>
    <x:row r="1967">
      <x:c r="A1967" s="2" t="n">
        <x:v>47623</x:v>
      </x:c>
      <x:c r="B1967" t="str">
        <x:f>CHOOSE(WEEKDAY(A1967,2),"Lunes","Martes","Miércoles","Jueves","Viernes","Sábado","Domingo")</x:f>
        <x:v>Lunes</x:v>
      </x:c>
      <x:c r="C1967" t="str">
        <x:f>IF(COUNTIF(FERIADOS!$A$2:$A$250,A1967)&gt;0,"SÍ","NO")</x:f>
        <x:v>NO</x:v>
      </x:c>
      <x:c r="D1967" t="str">
        <x:f>IF(AND(WEEKDAY(A1967,2)&lt;=5,C1967="NO"),"SÍ","NO")</x:f>
        <x:v>SÍ</x:v>
      </x:c>
      <x:c r="E1967" s="2" t="n">
        <x:f>WORKDAY.INTL(A1967-1,1,1,FERIADOS!$A$2:$A$250)</x:f>
        <x:v>47623</x:v>
      </x:c>
      <x:c r="F1967" t="str">
        <x:f>IF(E1967&gt;=WORKDAY.INTL(EOMONTH(E1967,0)+1,-2,1,FERIADOS!$A$2:$A$250),"SÍ","NO")</x:f>
        <x:v>NO</x:v>
      </x:c>
      <x:c r="G1967" s="2" t="n">
        <x:f>IF(F1967="SÍ",EOMONTH(E1967,0)+1,DATE(YEAR(E1967),MONTH(E1967),1))</x:f>
        <x:v>47604</x:v>
      </x:c>
      <x:c r="H1967" t="str">
        <x:f>IF(D1967="NO",IF(C1967="SÍ","FERIADO","FIN DE SEMANA"),"LABORABLE")&amp;IF(F1967="SÍ"," + CIERRE","")</x:f>
        <x:v>LABORABLE</x:v>
      </x:c>
      <x:c r="I1967" t="str">
        <x:f>TEXT(G1967,"yyyy-mm")</x:f>
        <x:v>2030-05</x:v>
      </x:c>
    </x:row>
    <x:row r="1968">
      <x:c r="A1968" s="2" t="n">
        <x:v>47624</x:v>
      </x:c>
      <x:c r="B1968" t="str">
        <x:f>CHOOSE(WEEKDAY(A1968,2),"Lunes","Martes","Miércoles","Jueves","Viernes","Sábado","Domingo")</x:f>
        <x:v>Martes</x:v>
      </x:c>
      <x:c r="C1968" t="str">
        <x:f>IF(COUNTIF(FERIADOS!$A$2:$A$250,A1968)&gt;0,"SÍ","NO")</x:f>
        <x:v>NO</x:v>
      </x:c>
      <x:c r="D1968" t="str">
        <x:f>IF(AND(WEEKDAY(A1968,2)&lt;=5,C1968="NO"),"SÍ","NO")</x:f>
        <x:v>SÍ</x:v>
      </x:c>
      <x:c r="E1968" s="2" t="n">
        <x:f>WORKDAY.INTL(A1968-1,1,1,FERIADOS!$A$2:$A$250)</x:f>
        <x:v>47624</x:v>
      </x:c>
      <x:c r="F1968" t="str">
        <x:f>IF(E1968&gt;=WORKDAY.INTL(EOMONTH(E1968,0)+1,-2,1,FERIADOS!$A$2:$A$250),"SÍ","NO")</x:f>
        <x:v>NO</x:v>
      </x:c>
      <x:c r="G1968" s="2" t="n">
        <x:f>IF(F1968="SÍ",EOMONTH(E1968,0)+1,DATE(YEAR(E1968),MONTH(E1968),1))</x:f>
        <x:v>47604</x:v>
      </x:c>
      <x:c r="H1968" t="str">
        <x:f>IF(D1968="NO",IF(C1968="SÍ","FERIADO","FIN DE SEMANA"),"LABORABLE")&amp;IF(F1968="SÍ"," + CIERRE","")</x:f>
        <x:v>LABORABLE</x:v>
      </x:c>
      <x:c r="I1968" t="str">
        <x:f>TEXT(G1968,"yyyy-mm")</x:f>
        <x:v>2030-05</x:v>
      </x:c>
    </x:row>
    <x:row r="1969">
      <x:c r="A1969" s="2" t="n">
        <x:v>47625</x:v>
      </x:c>
      <x:c r="B1969" t="str">
        <x:f>CHOOSE(WEEKDAY(A1969,2),"Lunes","Martes","Miércoles","Jueves","Viernes","Sábado","Domingo")</x:f>
        <x:v>Miércoles</x:v>
      </x:c>
      <x:c r="C1969" t="str">
        <x:f>IF(COUNTIF(FERIADOS!$A$2:$A$250,A1969)&gt;0,"SÍ","NO")</x:f>
        <x:v>NO</x:v>
      </x:c>
      <x:c r="D1969" t="str">
        <x:f>IF(AND(WEEKDAY(A1969,2)&lt;=5,C1969="NO"),"SÍ","NO")</x:f>
        <x:v>SÍ</x:v>
      </x:c>
      <x:c r="E1969" s="2" t="n">
        <x:f>WORKDAY.INTL(A1969-1,1,1,FERIADOS!$A$2:$A$250)</x:f>
        <x:v>47625</x:v>
      </x:c>
      <x:c r="F1969" t="str">
        <x:f>IF(E1969&gt;=WORKDAY.INTL(EOMONTH(E1969,0)+1,-2,1,FERIADOS!$A$2:$A$250),"SÍ","NO")</x:f>
        <x:v>NO</x:v>
      </x:c>
      <x:c r="G1969" s="2" t="n">
        <x:f>IF(F1969="SÍ",EOMONTH(E1969,0)+1,DATE(YEAR(E1969),MONTH(E1969),1))</x:f>
        <x:v>47604</x:v>
      </x:c>
      <x:c r="H1969" t="str">
        <x:f>IF(D1969="NO",IF(C1969="SÍ","FERIADO","FIN DE SEMANA"),"LABORABLE")&amp;IF(F1969="SÍ"," + CIERRE","")</x:f>
        <x:v>LABORABLE</x:v>
      </x:c>
      <x:c r="I1969" t="str">
        <x:f>TEXT(G1969,"yyyy-mm")</x:f>
        <x:v>2030-05</x:v>
      </x:c>
    </x:row>
    <x:row r="1970">
      <x:c r="A1970" s="2" t="n">
        <x:v>47626</x:v>
      </x:c>
      <x:c r="B1970" t="str">
        <x:f>CHOOSE(WEEKDAY(A1970,2),"Lunes","Martes","Miércoles","Jueves","Viernes","Sábado","Domingo")</x:f>
        <x:v>Jueves</x:v>
      </x:c>
      <x:c r="C1970" t="str">
        <x:f>IF(COUNTIF(FERIADOS!$A$2:$A$250,A1970)&gt;0,"SÍ","NO")</x:f>
        <x:v>NO</x:v>
      </x:c>
      <x:c r="D1970" t="str">
        <x:f>IF(AND(WEEKDAY(A1970,2)&lt;=5,C1970="NO"),"SÍ","NO")</x:f>
        <x:v>SÍ</x:v>
      </x:c>
      <x:c r="E1970" s="2" t="n">
        <x:f>WORKDAY.INTL(A1970-1,1,1,FERIADOS!$A$2:$A$250)</x:f>
        <x:v>47626</x:v>
      </x:c>
      <x:c r="F1970" t="str">
        <x:f>IF(E1970&gt;=WORKDAY.INTL(EOMONTH(E1970,0)+1,-2,1,FERIADOS!$A$2:$A$250),"SÍ","NO")</x:f>
        <x:v>NO</x:v>
      </x:c>
      <x:c r="G1970" s="2" t="n">
        <x:f>IF(F1970="SÍ",EOMONTH(E1970,0)+1,DATE(YEAR(E1970),MONTH(E1970),1))</x:f>
        <x:v>47604</x:v>
      </x:c>
      <x:c r="H1970" t="str">
        <x:f>IF(D1970="NO",IF(C1970="SÍ","FERIADO","FIN DE SEMANA"),"LABORABLE")&amp;IF(F1970="SÍ"," + CIERRE","")</x:f>
        <x:v>LABORABLE</x:v>
      </x:c>
      <x:c r="I1970" t="str">
        <x:f>TEXT(G1970,"yyyy-mm")</x:f>
        <x:v>2030-05</x:v>
      </x:c>
    </x:row>
    <x:row r="1971">
      <x:c r="A1971" s="2" t="n">
        <x:v>47627</x:v>
      </x:c>
      <x:c r="B1971" t="str">
        <x:f>CHOOSE(WEEKDAY(A1971,2),"Lunes","Martes","Miércoles","Jueves","Viernes","Sábado","Domingo")</x:f>
        <x:v>Viernes</x:v>
      </x:c>
      <x:c r="C1971" t="str">
        <x:f>IF(COUNTIF(FERIADOS!$A$2:$A$250,A1971)&gt;0,"SÍ","NO")</x:f>
        <x:v>SÍ</x:v>
      </x:c>
      <x:c r="D1971" t="str">
        <x:f>IF(AND(WEEKDAY(A1971,2)&lt;=5,C1971="NO"),"SÍ","NO")</x:f>
        <x:v>NO</x:v>
      </x:c>
      <x:c r="E1971" s="2" t="n">
        <x:f>WORKDAY.INTL(A1971-1,1,1,FERIADOS!$A$2:$A$250)</x:f>
        <x:v>47630</x:v>
      </x:c>
      <x:c r="F1971" t="str">
        <x:f>IF(E1971&gt;=WORKDAY.INTL(EOMONTH(E1971,0)+1,-2,1,FERIADOS!$A$2:$A$250),"SÍ","NO")</x:f>
        <x:v>NO</x:v>
      </x:c>
      <x:c r="G1971" s="2" t="n">
        <x:f>IF(F1971="SÍ",EOMONTH(E1971,0)+1,DATE(YEAR(E1971),MONTH(E1971),1))</x:f>
        <x:v>47604</x:v>
      </x:c>
      <x:c r="H1971" t="str">
        <x:f>IF(D1971="NO",IF(C1971="SÍ","FERIADO","FIN DE SEMANA"),"LABORABLE")&amp;IF(F1971="SÍ"," + CIERRE","")</x:f>
        <x:v>FERIADO</x:v>
      </x:c>
      <x:c r="I1971" t="str">
        <x:f>TEXT(G1971,"yyyy-mm")</x:f>
        <x:v>2030-05</x:v>
      </x:c>
    </x:row>
    <x:row r="1972">
      <x:c r="A1972" s="2" t="n">
        <x:v>47628</x:v>
      </x:c>
      <x:c r="B1972" t="str">
        <x:f>CHOOSE(WEEKDAY(A1972,2),"Lunes","Martes","Miércoles","Jueves","Viernes","Sábado","Domingo")</x:f>
        <x:v>Sábado</x:v>
      </x:c>
      <x:c r="C1972" t="str">
        <x:f>IF(COUNTIF(FERIADOS!$A$2:$A$250,A1972)&gt;0,"SÍ","NO")</x:f>
        <x:v>NO</x:v>
      </x:c>
      <x:c r="D1972" t="str">
        <x:f>IF(AND(WEEKDAY(A1972,2)&lt;=5,C1972="NO"),"SÍ","NO")</x:f>
        <x:v>NO</x:v>
      </x:c>
      <x:c r="E1972" s="2" t="n">
        <x:f>WORKDAY.INTL(A1972-1,1,1,FERIADOS!$A$2:$A$250)</x:f>
        <x:v>47630</x:v>
      </x:c>
      <x:c r="F1972" t="str">
        <x:f>IF(E1972&gt;=WORKDAY.INTL(EOMONTH(E1972,0)+1,-2,1,FERIADOS!$A$2:$A$250),"SÍ","NO")</x:f>
        <x:v>NO</x:v>
      </x:c>
      <x:c r="G1972" s="2" t="n">
        <x:f>IF(F1972="SÍ",EOMONTH(E1972,0)+1,DATE(YEAR(E1972),MONTH(E1972),1))</x:f>
        <x:v>47604</x:v>
      </x:c>
      <x:c r="H1972" t="str">
        <x:f>IF(D1972="NO",IF(C1972="SÍ","FERIADO","FIN DE SEMANA"),"LABORABLE")&amp;IF(F1972="SÍ"," + CIERRE","")</x:f>
        <x:v>FIN DE SEMANA</x:v>
      </x:c>
      <x:c r="I1972" t="str">
        <x:f>TEXT(G1972,"yyyy-mm")</x:f>
        <x:v>2030-05</x:v>
      </x:c>
    </x:row>
    <x:row r="1973">
      <x:c r="A1973" s="2" t="n">
        <x:v>47629</x:v>
      </x:c>
      <x:c r="B1973" t="str">
        <x:f>CHOOSE(WEEKDAY(A1973,2),"Lunes","Martes","Miércoles","Jueves","Viernes","Sábado","Domingo")</x:f>
        <x:v>Domingo</x:v>
      </x:c>
      <x:c r="C1973" t="str">
        <x:f>IF(COUNTIF(FERIADOS!$A$2:$A$250,A1973)&gt;0,"SÍ","NO")</x:f>
        <x:v>NO</x:v>
      </x:c>
      <x:c r="D1973" t="str">
        <x:f>IF(AND(WEEKDAY(A1973,2)&lt;=5,C1973="NO"),"SÍ","NO")</x:f>
        <x:v>NO</x:v>
      </x:c>
      <x:c r="E1973" s="2" t="n">
        <x:f>WORKDAY.INTL(A1973-1,1,1,FERIADOS!$A$2:$A$250)</x:f>
        <x:v>47630</x:v>
      </x:c>
      <x:c r="F1973" t="str">
        <x:f>IF(E1973&gt;=WORKDAY.INTL(EOMONTH(E1973,0)+1,-2,1,FERIADOS!$A$2:$A$250),"SÍ","NO")</x:f>
        <x:v>NO</x:v>
      </x:c>
      <x:c r="G1973" s="2" t="n">
        <x:f>IF(F1973="SÍ",EOMONTH(E1973,0)+1,DATE(YEAR(E1973),MONTH(E1973),1))</x:f>
        <x:v>47604</x:v>
      </x:c>
      <x:c r="H1973" t="str">
        <x:f>IF(D1973="NO",IF(C1973="SÍ","FERIADO","FIN DE SEMANA"),"LABORABLE")&amp;IF(F1973="SÍ"," + CIERRE","")</x:f>
        <x:v>FIN DE SEMANA</x:v>
      </x:c>
      <x:c r="I1973" t="str">
        <x:f>TEXT(G1973,"yyyy-mm")</x:f>
        <x:v>2030-05</x:v>
      </x:c>
    </x:row>
    <x:row r="1974">
      <x:c r="A1974" s="2" t="n">
        <x:v>47630</x:v>
      </x:c>
      <x:c r="B1974" t="str">
        <x:f>CHOOSE(WEEKDAY(A1974,2),"Lunes","Martes","Miércoles","Jueves","Viernes","Sábado","Domingo")</x:f>
        <x:v>Lunes</x:v>
      </x:c>
      <x:c r="C1974" t="str">
        <x:f>IF(COUNTIF(FERIADOS!$A$2:$A$250,A1974)&gt;0,"SÍ","NO")</x:f>
        <x:v>NO</x:v>
      </x:c>
      <x:c r="D1974" t="str">
        <x:f>IF(AND(WEEKDAY(A1974,2)&lt;=5,C1974="NO"),"SÍ","NO")</x:f>
        <x:v>SÍ</x:v>
      </x:c>
      <x:c r="E1974" s="2" t="n">
        <x:f>WORKDAY.INTL(A1974-1,1,1,FERIADOS!$A$2:$A$250)</x:f>
        <x:v>47630</x:v>
      </x:c>
      <x:c r="F1974" t="str">
        <x:f>IF(E1974&gt;=WORKDAY.INTL(EOMONTH(E1974,0)+1,-2,1,FERIADOS!$A$2:$A$250),"SÍ","NO")</x:f>
        <x:v>NO</x:v>
      </x:c>
      <x:c r="G1974" s="2" t="n">
        <x:f>IF(F1974="SÍ",EOMONTH(E1974,0)+1,DATE(YEAR(E1974),MONTH(E1974),1))</x:f>
        <x:v>47604</x:v>
      </x:c>
      <x:c r="H1974" t="str">
        <x:f>IF(D1974="NO",IF(C1974="SÍ","FERIADO","FIN DE SEMANA"),"LABORABLE")&amp;IF(F1974="SÍ"," + CIERRE","")</x:f>
        <x:v>LABORABLE</x:v>
      </x:c>
      <x:c r="I1974" t="str">
        <x:f>TEXT(G1974,"yyyy-mm")</x:f>
        <x:v>2030-05</x:v>
      </x:c>
    </x:row>
    <x:row r="1975">
      <x:c r="A1975" s="2" t="n">
        <x:v>47631</x:v>
      </x:c>
      <x:c r="B1975" t="str">
        <x:f>CHOOSE(WEEKDAY(A1975,2),"Lunes","Martes","Miércoles","Jueves","Viernes","Sábado","Domingo")</x:f>
        <x:v>Martes</x:v>
      </x:c>
      <x:c r="C1975" t="str">
        <x:f>IF(COUNTIF(FERIADOS!$A$2:$A$250,A1975)&gt;0,"SÍ","NO")</x:f>
        <x:v>NO</x:v>
      </x:c>
      <x:c r="D1975" t="str">
        <x:f>IF(AND(WEEKDAY(A1975,2)&lt;=5,C1975="NO"),"SÍ","NO")</x:f>
        <x:v>SÍ</x:v>
      </x:c>
      <x:c r="E1975" s="2" t="n">
        <x:f>WORKDAY.INTL(A1975-1,1,1,FERIADOS!$A$2:$A$250)</x:f>
        <x:v>47631</x:v>
      </x:c>
      <x:c r="F1975" t="str">
        <x:f>IF(E1975&gt;=WORKDAY.INTL(EOMONTH(E1975,0)+1,-2,1,FERIADOS!$A$2:$A$250),"SÍ","NO")</x:f>
        <x:v>NO</x:v>
      </x:c>
      <x:c r="G1975" s="2" t="n">
        <x:f>IF(F1975="SÍ",EOMONTH(E1975,0)+1,DATE(YEAR(E1975),MONTH(E1975),1))</x:f>
        <x:v>47604</x:v>
      </x:c>
      <x:c r="H1975" t="str">
        <x:f>IF(D1975="NO",IF(C1975="SÍ","FERIADO","FIN DE SEMANA"),"LABORABLE")&amp;IF(F1975="SÍ"," + CIERRE","")</x:f>
        <x:v>LABORABLE</x:v>
      </x:c>
      <x:c r="I1975" t="str">
        <x:f>TEXT(G1975,"yyyy-mm")</x:f>
        <x:v>2030-05</x:v>
      </x:c>
    </x:row>
    <x:row r="1976">
      <x:c r="A1976" s="2" t="n">
        <x:v>47632</x:v>
      </x:c>
      <x:c r="B1976" t="str">
        <x:f>CHOOSE(WEEKDAY(A1976,2),"Lunes","Martes","Miércoles","Jueves","Viernes","Sábado","Domingo")</x:f>
        <x:v>Miércoles</x:v>
      </x:c>
      <x:c r="C1976" t="str">
        <x:f>IF(COUNTIF(FERIADOS!$A$2:$A$250,A1976)&gt;0,"SÍ","NO")</x:f>
        <x:v>NO</x:v>
      </x:c>
      <x:c r="D1976" t="str">
        <x:f>IF(AND(WEEKDAY(A1976,2)&lt;=5,C1976="NO"),"SÍ","NO")</x:f>
        <x:v>SÍ</x:v>
      </x:c>
      <x:c r="E1976" s="2" t="n">
        <x:f>WORKDAY.INTL(A1976-1,1,1,FERIADOS!$A$2:$A$250)</x:f>
        <x:v>47632</x:v>
      </x:c>
      <x:c r="F1976" t="str">
        <x:f>IF(E1976&gt;=WORKDAY.INTL(EOMONTH(E1976,0)+1,-2,1,FERIADOS!$A$2:$A$250),"SÍ","NO")</x:f>
        <x:v>NO</x:v>
      </x:c>
      <x:c r="G1976" s="2" t="n">
        <x:f>IF(F1976="SÍ",EOMONTH(E1976,0)+1,DATE(YEAR(E1976),MONTH(E1976),1))</x:f>
        <x:v>47604</x:v>
      </x:c>
      <x:c r="H1976" t="str">
        <x:f>IF(D1976="NO",IF(C1976="SÍ","FERIADO","FIN DE SEMANA"),"LABORABLE")&amp;IF(F1976="SÍ"," + CIERRE","")</x:f>
        <x:v>LABORABLE</x:v>
      </x:c>
      <x:c r="I1976" t="str">
        <x:f>TEXT(G1976,"yyyy-mm")</x:f>
        <x:v>2030-05</x:v>
      </x:c>
    </x:row>
    <x:row r="1977">
      <x:c r="A1977" s="2" t="n">
        <x:v>47633</x:v>
      </x:c>
      <x:c r="B1977" t="str">
        <x:f>CHOOSE(WEEKDAY(A1977,2),"Lunes","Martes","Miércoles","Jueves","Viernes","Sábado","Domingo")</x:f>
        <x:v>Jueves</x:v>
      </x:c>
      <x:c r="C1977" t="str">
        <x:f>IF(COUNTIF(FERIADOS!$A$2:$A$250,A1977)&gt;0,"SÍ","NO")</x:f>
        <x:v>NO</x:v>
      </x:c>
      <x:c r="D1977" t="str">
        <x:f>IF(AND(WEEKDAY(A1977,2)&lt;=5,C1977="NO"),"SÍ","NO")</x:f>
        <x:v>SÍ</x:v>
      </x:c>
      <x:c r="E1977" s="2" t="n">
        <x:f>WORKDAY.INTL(A1977-1,1,1,FERIADOS!$A$2:$A$250)</x:f>
        <x:v>47633</x:v>
      </x:c>
      <x:c r="F1977" t="str">
        <x:f>IF(E1977&gt;=WORKDAY.INTL(EOMONTH(E1977,0)+1,-2,1,FERIADOS!$A$2:$A$250),"SÍ","NO")</x:f>
        <x:v>SÍ</x:v>
      </x:c>
      <x:c r="G1977" s="2" t="n">
        <x:f>IF(F1977="SÍ",EOMONTH(E1977,0)+1,DATE(YEAR(E1977),MONTH(E1977),1))</x:f>
        <x:v>47635</x:v>
      </x:c>
      <x:c r="H1977" t="str">
        <x:f>IF(D1977="NO",IF(C1977="SÍ","FERIADO","FIN DE SEMANA"),"LABORABLE")&amp;IF(F1977="SÍ"," + CIERRE","")</x:f>
        <x:v>LABORABLE + CIERRE</x:v>
      </x:c>
      <x:c r="I1977" t="str">
        <x:f>TEXT(G1977,"yyyy-mm")</x:f>
        <x:v>2030-06</x:v>
      </x:c>
    </x:row>
    <x:row r="1978">
      <x:c r="A1978" s="2" t="n">
        <x:v>47634</x:v>
      </x:c>
      <x:c r="B1978" t="str">
        <x:f>CHOOSE(WEEKDAY(A1978,2),"Lunes","Martes","Miércoles","Jueves","Viernes","Sábado","Domingo")</x:f>
        <x:v>Viernes</x:v>
      </x:c>
      <x:c r="C1978" t="str">
        <x:f>IF(COUNTIF(FERIADOS!$A$2:$A$250,A1978)&gt;0,"SÍ","NO")</x:f>
        <x:v>NO</x:v>
      </x:c>
      <x:c r="D1978" t="str">
        <x:f>IF(AND(WEEKDAY(A1978,2)&lt;=5,C1978="NO"),"SÍ","NO")</x:f>
        <x:v>SÍ</x:v>
      </x:c>
      <x:c r="E1978" s="2" t="n">
        <x:f>WORKDAY.INTL(A1978-1,1,1,FERIADOS!$A$2:$A$250)</x:f>
        <x:v>47634</x:v>
      </x:c>
      <x:c r="F1978" t="str">
        <x:f>IF(E1978&gt;=WORKDAY.INTL(EOMONTH(E1978,0)+1,-2,1,FERIADOS!$A$2:$A$250),"SÍ","NO")</x:f>
        <x:v>SÍ</x:v>
      </x:c>
      <x:c r="G1978" s="2" t="n">
        <x:f>IF(F1978="SÍ",EOMONTH(E1978,0)+1,DATE(YEAR(E1978),MONTH(E1978),1))</x:f>
        <x:v>47635</x:v>
      </x:c>
      <x:c r="H1978" t="str">
        <x:f>IF(D1978="NO",IF(C1978="SÍ","FERIADO","FIN DE SEMANA"),"LABORABLE")&amp;IF(F1978="SÍ"," + CIERRE","")</x:f>
        <x:v>LABORABLE + CIERRE</x:v>
      </x:c>
      <x:c r="I1978" t="str">
        <x:f>TEXT(G1978,"yyyy-mm")</x:f>
        <x:v>2030-06</x:v>
      </x:c>
    </x:row>
    <x:row r="1979">
      <x:c r="A1979" s="2" t="n">
        <x:v>47635</x:v>
      </x:c>
      <x:c r="B1979" t="str">
        <x:f>CHOOSE(WEEKDAY(A1979,2),"Lunes","Martes","Miércoles","Jueves","Viernes","Sábado","Domingo")</x:f>
        <x:v>Sábado</x:v>
      </x:c>
      <x:c r="C1979" t="str">
        <x:f>IF(COUNTIF(FERIADOS!$A$2:$A$250,A1979)&gt;0,"SÍ","NO")</x:f>
        <x:v>NO</x:v>
      </x:c>
      <x:c r="D1979" t="str">
        <x:f>IF(AND(WEEKDAY(A1979,2)&lt;=5,C1979="NO"),"SÍ","NO")</x:f>
        <x:v>NO</x:v>
      </x:c>
      <x:c r="E1979" s="2" t="n">
        <x:f>WORKDAY.INTL(A1979-1,1,1,FERIADOS!$A$2:$A$250)</x:f>
        <x:v>47637</x:v>
      </x:c>
      <x:c r="F1979" t="str">
        <x:f>IF(E1979&gt;=WORKDAY.INTL(EOMONTH(E1979,0)+1,-2,1,FERIADOS!$A$2:$A$250),"SÍ","NO")</x:f>
        <x:v>NO</x:v>
      </x:c>
      <x:c r="G1979" s="2" t="n">
        <x:f>IF(F1979="SÍ",EOMONTH(E1979,0)+1,DATE(YEAR(E1979),MONTH(E1979),1))</x:f>
        <x:v>47635</x:v>
      </x:c>
      <x:c r="H1979" t="str">
        <x:f>IF(D1979="NO",IF(C1979="SÍ","FERIADO","FIN DE SEMANA"),"LABORABLE")&amp;IF(F1979="SÍ"," + CIERRE","")</x:f>
        <x:v>FIN DE SEMANA</x:v>
      </x:c>
      <x:c r="I1979" t="str">
        <x:f>TEXT(G1979,"yyyy-mm")</x:f>
        <x:v>2030-06</x:v>
      </x:c>
    </x:row>
    <x:row r="1980">
      <x:c r="A1980" s="2" t="n">
        <x:v>47636</x:v>
      </x:c>
      <x:c r="B1980" t="str">
        <x:f>CHOOSE(WEEKDAY(A1980,2),"Lunes","Martes","Miércoles","Jueves","Viernes","Sábado","Domingo")</x:f>
        <x:v>Domingo</x:v>
      </x:c>
      <x:c r="C1980" t="str">
        <x:f>IF(COUNTIF(FERIADOS!$A$2:$A$250,A1980)&gt;0,"SÍ","NO")</x:f>
        <x:v>NO</x:v>
      </x:c>
      <x:c r="D1980" t="str">
        <x:f>IF(AND(WEEKDAY(A1980,2)&lt;=5,C1980="NO"),"SÍ","NO")</x:f>
        <x:v>NO</x:v>
      </x:c>
      <x:c r="E1980" s="2" t="n">
        <x:f>WORKDAY.INTL(A1980-1,1,1,FERIADOS!$A$2:$A$250)</x:f>
        <x:v>47637</x:v>
      </x:c>
      <x:c r="F1980" t="str">
        <x:f>IF(E1980&gt;=WORKDAY.INTL(EOMONTH(E1980,0)+1,-2,1,FERIADOS!$A$2:$A$250),"SÍ","NO")</x:f>
        <x:v>NO</x:v>
      </x:c>
      <x:c r="G1980" s="2" t="n">
        <x:f>IF(F1980="SÍ",EOMONTH(E1980,0)+1,DATE(YEAR(E1980),MONTH(E1980),1))</x:f>
        <x:v>47635</x:v>
      </x:c>
      <x:c r="H1980" t="str">
        <x:f>IF(D1980="NO",IF(C1980="SÍ","FERIADO","FIN DE SEMANA"),"LABORABLE")&amp;IF(F1980="SÍ"," + CIERRE","")</x:f>
        <x:v>FIN DE SEMANA</x:v>
      </x:c>
      <x:c r="I1980" t="str">
        <x:f>TEXT(G1980,"yyyy-mm")</x:f>
        <x:v>2030-06</x:v>
      </x:c>
    </x:row>
    <x:row r="1981">
      <x:c r="A1981" s="2" t="n">
        <x:v>47637</x:v>
      </x:c>
      <x:c r="B1981" t="str">
        <x:f>CHOOSE(WEEKDAY(A1981,2),"Lunes","Martes","Miércoles","Jueves","Viernes","Sábado","Domingo")</x:f>
        <x:v>Lunes</x:v>
      </x:c>
      <x:c r="C1981" t="str">
        <x:f>IF(COUNTIF(FERIADOS!$A$2:$A$250,A1981)&gt;0,"SÍ","NO")</x:f>
        <x:v>NO</x:v>
      </x:c>
      <x:c r="D1981" t="str">
        <x:f>IF(AND(WEEKDAY(A1981,2)&lt;=5,C1981="NO"),"SÍ","NO")</x:f>
        <x:v>SÍ</x:v>
      </x:c>
      <x:c r="E1981" s="2" t="n">
        <x:f>WORKDAY.INTL(A1981-1,1,1,FERIADOS!$A$2:$A$250)</x:f>
        <x:v>47637</x:v>
      </x:c>
      <x:c r="F1981" t="str">
        <x:f>IF(E1981&gt;=WORKDAY.INTL(EOMONTH(E1981,0)+1,-2,1,FERIADOS!$A$2:$A$250),"SÍ","NO")</x:f>
        <x:v>NO</x:v>
      </x:c>
      <x:c r="G1981" s="2" t="n">
        <x:f>IF(F1981="SÍ",EOMONTH(E1981,0)+1,DATE(YEAR(E1981),MONTH(E1981),1))</x:f>
        <x:v>47635</x:v>
      </x:c>
      <x:c r="H1981" t="str">
        <x:f>IF(D1981="NO",IF(C1981="SÍ","FERIADO","FIN DE SEMANA"),"LABORABLE")&amp;IF(F1981="SÍ"," + CIERRE","")</x:f>
        <x:v>LABORABLE</x:v>
      </x:c>
      <x:c r="I1981" t="str">
        <x:f>TEXT(G1981,"yyyy-mm")</x:f>
        <x:v>2030-06</x:v>
      </x:c>
    </x:row>
    <x:row r="1982">
      <x:c r="A1982" s="2" t="n">
        <x:v>47638</x:v>
      </x:c>
      <x:c r="B1982" t="str">
        <x:f>CHOOSE(WEEKDAY(A1982,2),"Lunes","Martes","Miércoles","Jueves","Viernes","Sábado","Domingo")</x:f>
        <x:v>Martes</x:v>
      </x:c>
      <x:c r="C1982" t="str">
        <x:f>IF(COUNTIF(FERIADOS!$A$2:$A$250,A1982)&gt;0,"SÍ","NO")</x:f>
        <x:v>NO</x:v>
      </x:c>
      <x:c r="D1982" t="str">
        <x:f>IF(AND(WEEKDAY(A1982,2)&lt;=5,C1982="NO"),"SÍ","NO")</x:f>
        <x:v>SÍ</x:v>
      </x:c>
      <x:c r="E1982" s="2" t="n">
        <x:f>WORKDAY.INTL(A1982-1,1,1,FERIADOS!$A$2:$A$250)</x:f>
        <x:v>47638</x:v>
      </x:c>
      <x:c r="F1982" t="str">
        <x:f>IF(E1982&gt;=WORKDAY.INTL(EOMONTH(E1982,0)+1,-2,1,FERIADOS!$A$2:$A$250),"SÍ","NO")</x:f>
        <x:v>NO</x:v>
      </x:c>
      <x:c r="G1982" s="2" t="n">
        <x:f>IF(F1982="SÍ",EOMONTH(E1982,0)+1,DATE(YEAR(E1982),MONTH(E1982),1))</x:f>
        <x:v>47635</x:v>
      </x:c>
      <x:c r="H1982" t="str">
        <x:f>IF(D1982="NO",IF(C1982="SÍ","FERIADO","FIN DE SEMANA"),"LABORABLE")&amp;IF(F1982="SÍ"," + CIERRE","")</x:f>
        <x:v>LABORABLE</x:v>
      </x:c>
      <x:c r="I1982" t="str">
        <x:f>TEXT(G1982,"yyyy-mm")</x:f>
        <x:v>2030-06</x:v>
      </x:c>
    </x:row>
    <x:row r="1983">
      <x:c r="A1983" s="2" t="n">
        <x:v>47639</x:v>
      </x:c>
      <x:c r="B1983" t="str">
        <x:f>CHOOSE(WEEKDAY(A1983,2),"Lunes","Martes","Miércoles","Jueves","Viernes","Sábado","Domingo")</x:f>
        <x:v>Miércoles</x:v>
      </x:c>
      <x:c r="C1983" t="str">
        <x:f>IF(COUNTIF(FERIADOS!$A$2:$A$250,A1983)&gt;0,"SÍ","NO")</x:f>
        <x:v>NO</x:v>
      </x:c>
      <x:c r="D1983" t="str">
        <x:f>IF(AND(WEEKDAY(A1983,2)&lt;=5,C1983="NO"),"SÍ","NO")</x:f>
        <x:v>SÍ</x:v>
      </x:c>
      <x:c r="E1983" s="2" t="n">
        <x:f>WORKDAY.INTL(A1983-1,1,1,FERIADOS!$A$2:$A$250)</x:f>
        <x:v>47639</x:v>
      </x:c>
      <x:c r="F1983" t="str">
        <x:f>IF(E1983&gt;=WORKDAY.INTL(EOMONTH(E1983,0)+1,-2,1,FERIADOS!$A$2:$A$250),"SÍ","NO")</x:f>
        <x:v>NO</x:v>
      </x:c>
      <x:c r="G1983" s="2" t="n">
        <x:f>IF(F1983="SÍ",EOMONTH(E1983,0)+1,DATE(YEAR(E1983),MONTH(E1983),1))</x:f>
        <x:v>47635</x:v>
      </x:c>
      <x:c r="H1983" t="str">
        <x:f>IF(D1983="NO",IF(C1983="SÍ","FERIADO","FIN DE SEMANA"),"LABORABLE")&amp;IF(F1983="SÍ"," + CIERRE","")</x:f>
        <x:v>LABORABLE</x:v>
      </x:c>
      <x:c r="I1983" t="str">
        <x:f>TEXT(G1983,"yyyy-mm")</x:f>
        <x:v>2030-06</x:v>
      </x:c>
    </x:row>
    <x:row r="1984">
      <x:c r="A1984" s="2" t="n">
        <x:v>47640</x:v>
      </x:c>
      <x:c r="B1984" t="str">
        <x:f>CHOOSE(WEEKDAY(A1984,2),"Lunes","Martes","Miércoles","Jueves","Viernes","Sábado","Domingo")</x:f>
        <x:v>Jueves</x:v>
      </x:c>
      <x:c r="C1984" t="str">
        <x:f>IF(COUNTIF(FERIADOS!$A$2:$A$250,A1984)&gt;0,"SÍ","NO")</x:f>
        <x:v>NO</x:v>
      </x:c>
      <x:c r="D1984" t="str">
        <x:f>IF(AND(WEEKDAY(A1984,2)&lt;=5,C1984="NO"),"SÍ","NO")</x:f>
        <x:v>SÍ</x:v>
      </x:c>
      <x:c r="E1984" s="2" t="n">
        <x:f>WORKDAY.INTL(A1984-1,1,1,FERIADOS!$A$2:$A$250)</x:f>
        <x:v>47640</x:v>
      </x:c>
      <x:c r="F1984" t="str">
        <x:f>IF(E1984&gt;=WORKDAY.INTL(EOMONTH(E1984,0)+1,-2,1,FERIADOS!$A$2:$A$250),"SÍ","NO")</x:f>
        <x:v>NO</x:v>
      </x:c>
      <x:c r="G1984" s="2" t="n">
        <x:f>IF(F1984="SÍ",EOMONTH(E1984,0)+1,DATE(YEAR(E1984),MONTH(E1984),1))</x:f>
        <x:v>47635</x:v>
      </x:c>
      <x:c r="H1984" t="str">
        <x:f>IF(D1984="NO",IF(C1984="SÍ","FERIADO","FIN DE SEMANA"),"LABORABLE")&amp;IF(F1984="SÍ"," + CIERRE","")</x:f>
        <x:v>LABORABLE</x:v>
      </x:c>
      <x:c r="I1984" t="str">
        <x:f>TEXT(G1984,"yyyy-mm")</x:f>
        <x:v>2030-06</x:v>
      </x:c>
    </x:row>
    <x:row r="1985">
      <x:c r="A1985" s="2" t="n">
        <x:v>47641</x:v>
      </x:c>
      <x:c r="B1985" t="str">
        <x:f>CHOOSE(WEEKDAY(A1985,2),"Lunes","Martes","Miércoles","Jueves","Viernes","Sábado","Domingo")</x:f>
        <x:v>Viernes</x:v>
      </x:c>
      <x:c r="C1985" t="str">
        <x:f>IF(COUNTIF(FERIADOS!$A$2:$A$250,A1985)&gt;0,"SÍ","NO")</x:f>
        <x:v>NO</x:v>
      </x:c>
      <x:c r="D1985" t="str">
        <x:f>IF(AND(WEEKDAY(A1985,2)&lt;=5,C1985="NO"),"SÍ","NO")</x:f>
        <x:v>SÍ</x:v>
      </x:c>
      <x:c r="E1985" s="2" t="n">
        <x:f>WORKDAY.INTL(A1985-1,1,1,FERIADOS!$A$2:$A$250)</x:f>
        <x:v>47641</x:v>
      </x:c>
      <x:c r="F1985" t="str">
        <x:f>IF(E1985&gt;=WORKDAY.INTL(EOMONTH(E1985,0)+1,-2,1,FERIADOS!$A$2:$A$250),"SÍ","NO")</x:f>
        <x:v>NO</x:v>
      </x:c>
      <x:c r="G1985" s="2" t="n">
        <x:f>IF(F1985="SÍ",EOMONTH(E1985,0)+1,DATE(YEAR(E1985),MONTH(E1985),1))</x:f>
        <x:v>47635</x:v>
      </x:c>
      <x:c r="H1985" t="str">
        <x:f>IF(D1985="NO",IF(C1985="SÍ","FERIADO","FIN DE SEMANA"),"LABORABLE")&amp;IF(F1985="SÍ"," + CIERRE","")</x:f>
        <x:v>LABORABLE</x:v>
      </x:c>
      <x:c r="I1985" t="str">
        <x:f>TEXT(G1985,"yyyy-mm")</x:f>
        <x:v>2030-06</x:v>
      </x:c>
    </x:row>
    <x:row r="1986">
      <x:c r="A1986" s="2" t="n">
        <x:v>47642</x:v>
      </x:c>
      <x:c r="B1986" t="str">
        <x:f>CHOOSE(WEEKDAY(A1986,2),"Lunes","Martes","Miércoles","Jueves","Viernes","Sábado","Domingo")</x:f>
        <x:v>Sábado</x:v>
      </x:c>
      <x:c r="C1986" t="str">
        <x:f>IF(COUNTIF(FERIADOS!$A$2:$A$250,A1986)&gt;0,"SÍ","NO")</x:f>
        <x:v>NO</x:v>
      </x:c>
      <x:c r="D1986" t="str">
        <x:f>IF(AND(WEEKDAY(A1986,2)&lt;=5,C1986="NO"),"SÍ","NO")</x:f>
        <x:v>NO</x:v>
      </x:c>
      <x:c r="E1986" s="2" t="n">
        <x:f>WORKDAY.INTL(A1986-1,1,1,FERIADOS!$A$2:$A$250)</x:f>
        <x:v>47644</x:v>
      </x:c>
      <x:c r="F1986" t="str">
        <x:f>IF(E1986&gt;=WORKDAY.INTL(EOMONTH(E1986,0)+1,-2,1,FERIADOS!$A$2:$A$250),"SÍ","NO")</x:f>
        <x:v>NO</x:v>
      </x:c>
      <x:c r="G1986" s="2" t="n">
        <x:f>IF(F1986="SÍ",EOMONTH(E1986,0)+1,DATE(YEAR(E1986),MONTH(E1986),1))</x:f>
        <x:v>47635</x:v>
      </x:c>
      <x:c r="H1986" t="str">
        <x:f>IF(D1986="NO",IF(C1986="SÍ","FERIADO","FIN DE SEMANA"),"LABORABLE")&amp;IF(F1986="SÍ"," + CIERRE","")</x:f>
        <x:v>FIN DE SEMANA</x:v>
      </x:c>
      <x:c r="I1986" t="str">
        <x:f>TEXT(G1986,"yyyy-mm")</x:f>
        <x:v>2030-06</x:v>
      </x:c>
    </x:row>
    <x:row r="1987">
      <x:c r="A1987" s="2" t="n">
        <x:v>47643</x:v>
      </x:c>
      <x:c r="B1987" t="str">
        <x:f>CHOOSE(WEEKDAY(A1987,2),"Lunes","Martes","Miércoles","Jueves","Viernes","Sábado","Domingo")</x:f>
        <x:v>Domingo</x:v>
      </x:c>
      <x:c r="C1987" t="str">
        <x:f>IF(COUNTIF(FERIADOS!$A$2:$A$250,A1987)&gt;0,"SÍ","NO")</x:f>
        <x:v>NO</x:v>
      </x:c>
      <x:c r="D1987" t="str">
        <x:f>IF(AND(WEEKDAY(A1987,2)&lt;=5,C1987="NO"),"SÍ","NO")</x:f>
        <x:v>NO</x:v>
      </x:c>
      <x:c r="E1987" s="2" t="n">
        <x:f>WORKDAY.INTL(A1987-1,1,1,FERIADOS!$A$2:$A$250)</x:f>
        <x:v>47644</x:v>
      </x:c>
      <x:c r="F1987" t="str">
        <x:f>IF(E1987&gt;=WORKDAY.INTL(EOMONTH(E1987,0)+1,-2,1,FERIADOS!$A$2:$A$250),"SÍ","NO")</x:f>
        <x:v>NO</x:v>
      </x:c>
      <x:c r="G1987" s="2" t="n">
        <x:f>IF(F1987="SÍ",EOMONTH(E1987,0)+1,DATE(YEAR(E1987),MONTH(E1987),1))</x:f>
        <x:v>47635</x:v>
      </x:c>
      <x:c r="H1987" t="str">
        <x:f>IF(D1987="NO",IF(C1987="SÍ","FERIADO","FIN DE SEMANA"),"LABORABLE")&amp;IF(F1987="SÍ"," + CIERRE","")</x:f>
        <x:v>FIN DE SEMANA</x:v>
      </x:c>
      <x:c r="I1987" t="str">
        <x:f>TEXT(G1987,"yyyy-mm")</x:f>
        <x:v>2030-06</x:v>
      </x:c>
    </x:row>
    <x:row r="1988">
      <x:c r="A1988" s="2" t="n">
        <x:v>47644</x:v>
      </x:c>
      <x:c r="B1988" t="str">
        <x:f>CHOOSE(WEEKDAY(A1988,2),"Lunes","Martes","Miércoles","Jueves","Viernes","Sábado","Domingo")</x:f>
        <x:v>Lunes</x:v>
      </x:c>
      <x:c r="C1988" t="str">
        <x:f>IF(COUNTIF(FERIADOS!$A$2:$A$250,A1988)&gt;0,"SÍ","NO")</x:f>
        <x:v>NO</x:v>
      </x:c>
      <x:c r="D1988" t="str">
        <x:f>IF(AND(WEEKDAY(A1988,2)&lt;=5,C1988="NO"),"SÍ","NO")</x:f>
        <x:v>SÍ</x:v>
      </x:c>
      <x:c r="E1988" s="2" t="n">
        <x:f>WORKDAY.INTL(A1988-1,1,1,FERIADOS!$A$2:$A$250)</x:f>
        <x:v>47644</x:v>
      </x:c>
      <x:c r="F1988" t="str">
        <x:f>IF(E1988&gt;=WORKDAY.INTL(EOMONTH(E1988,0)+1,-2,1,FERIADOS!$A$2:$A$250),"SÍ","NO")</x:f>
        <x:v>NO</x:v>
      </x:c>
      <x:c r="G1988" s="2" t="n">
        <x:f>IF(F1988="SÍ",EOMONTH(E1988,0)+1,DATE(YEAR(E1988),MONTH(E1988),1))</x:f>
        <x:v>47635</x:v>
      </x:c>
      <x:c r="H1988" t="str">
        <x:f>IF(D1988="NO",IF(C1988="SÍ","FERIADO","FIN DE SEMANA"),"LABORABLE")&amp;IF(F1988="SÍ"," + CIERRE","")</x:f>
        <x:v>LABORABLE</x:v>
      </x:c>
      <x:c r="I1988" t="str">
        <x:f>TEXT(G1988,"yyyy-mm")</x:f>
        <x:v>2030-06</x:v>
      </x:c>
    </x:row>
    <x:row r="1989">
      <x:c r="A1989" s="2" t="n">
        <x:v>47645</x:v>
      </x:c>
      <x:c r="B1989" t="str">
        <x:f>CHOOSE(WEEKDAY(A1989,2),"Lunes","Martes","Miércoles","Jueves","Viernes","Sábado","Domingo")</x:f>
        <x:v>Martes</x:v>
      </x:c>
      <x:c r="C1989" t="str">
        <x:f>IF(COUNTIF(FERIADOS!$A$2:$A$250,A1989)&gt;0,"SÍ","NO")</x:f>
        <x:v>NO</x:v>
      </x:c>
      <x:c r="D1989" t="str">
        <x:f>IF(AND(WEEKDAY(A1989,2)&lt;=5,C1989="NO"),"SÍ","NO")</x:f>
        <x:v>SÍ</x:v>
      </x:c>
      <x:c r="E1989" s="2" t="n">
        <x:f>WORKDAY.INTL(A1989-1,1,1,FERIADOS!$A$2:$A$250)</x:f>
        <x:v>47645</x:v>
      </x:c>
      <x:c r="F1989" t="str">
        <x:f>IF(E1989&gt;=WORKDAY.INTL(EOMONTH(E1989,0)+1,-2,1,FERIADOS!$A$2:$A$250),"SÍ","NO")</x:f>
        <x:v>NO</x:v>
      </x:c>
      <x:c r="G1989" s="2" t="n">
        <x:f>IF(F1989="SÍ",EOMONTH(E1989,0)+1,DATE(YEAR(E1989),MONTH(E1989),1))</x:f>
        <x:v>47635</x:v>
      </x:c>
      <x:c r="H1989" t="str">
        <x:f>IF(D1989="NO",IF(C1989="SÍ","FERIADO","FIN DE SEMANA"),"LABORABLE")&amp;IF(F1989="SÍ"," + CIERRE","")</x:f>
        <x:v>LABORABLE</x:v>
      </x:c>
      <x:c r="I1989" t="str">
        <x:f>TEXT(G1989,"yyyy-mm")</x:f>
        <x:v>2030-06</x:v>
      </x:c>
    </x:row>
    <x:row r="1990">
      <x:c r="A1990" s="2" t="n">
        <x:v>47646</x:v>
      </x:c>
      <x:c r="B1990" t="str">
        <x:f>CHOOSE(WEEKDAY(A1990,2),"Lunes","Martes","Miércoles","Jueves","Viernes","Sábado","Domingo")</x:f>
        <x:v>Miércoles</x:v>
      </x:c>
      <x:c r="C1990" t="str">
        <x:f>IF(COUNTIF(FERIADOS!$A$2:$A$250,A1990)&gt;0,"SÍ","NO")</x:f>
        <x:v>NO</x:v>
      </x:c>
      <x:c r="D1990" t="str">
        <x:f>IF(AND(WEEKDAY(A1990,2)&lt;=5,C1990="NO"),"SÍ","NO")</x:f>
        <x:v>SÍ</x:v>
      </x:c>
      <x:c r="E1990" s="2" t="n">
        <x:f>WORKDAY.INTL(A1990-1,1,1,FERIADOS!$A$2:$A$250)</x:f>
        <x:v>47646</x:v>
      </x:c>
      <x:c r="F1990" t="str">
        <x:f>IF(E1990&gt;=WORKDAY.INTL(EOMONTH(E1990,0)+1,-2,1,FERIADOS!$A$2:$A$250),"SÍ","NO")</x:f>
        <x:v>NO</x:v>
      </x:c>
      <x:c r="G1990" s="2" t="n">
        <x:f>IF(F1990="SÍ",EOMONTH(E1990,0)+1,DATE(YEAR(E1990),MONTH(E1990),1))</x:f>
        <x:v>47635</x:v>
      </x:c>
      <x:c r="H1990" t="str">
        <x:f>IF(D1990="NO",IF(C1990="SÍ","FERIADO","FIN DE SEMANA"),"LABORABLE")&amp;IF(F1990="SÍ"," + CIERRE","")</x:f>
        <x:v>LABORABLE</x:v>
      </x:c>
      <x:c r="I1990" t="str">
        <x:f>TEXT(G1990,"yyyy-mm")</x:f>
        <x:v>2030-06</x:v>
      </x:c>
    </x:row>
    <x:row r="1991">
      <x:c r="A1991" s="2" t="n">
        <x:v>47647</x:v>
      </x:c>
      <x:c r="B1991" t="str">
        <x:f>CHOOSE(WEEKDAY(A1991,2),"Lunes","Martes","Miércoles","Jueves","Viernes","Sábado","Domingo")</x:f>
        <x:v>Jueves</x:v>
      </x:c>
      <x:c r="C1991" t="str">
        <x:f>IF(COUNTIF(FERIADOS!$A$2:$A$250,A1991)&gt;0,"SÍ","NO")</x:f>
        <x:v>NO</x:v>
      </x:c>
      <x:c r="D1991" t="str">
        <x:f>IF(AND(WEEKDAY(A1991,2)&lt;=5,C1991="NO"),"SÍ","NO")</x:f>
        <x:v>SÍ</x:v>
      </x:c>
      <x:c r="E1991" s="2" t="n">
        <x:f>WORKDAY.INTL(A1991-1,1,1,FERIADOS!$A$2:$A$250)</x:f>
        <x:v>47647</x:v>
      </x:c>
      <x:c r="F1991" t="str">
        <x:f>IF(E1991&gt;=WORKDAY.INTL(EOMONTH(E1991,0)+1,-2,1,FERIADOS!$A$2:$A$250),"SÍ","NO")</x:f>
        <x:v>NO</x:v>
      </x:c>
      <x:c r="G1991" s="2" t="n">
        <x:f>IF(F1991="SÍ",EOMONTH(E1991,0)+1,DATE(YEAR(E1991),MONTH(E1991),1))</x:f>
        <x:v>47635</x:v>
      </x:c>
      <x:c r="H1991" t="str">
        <x:f>IF(D1991="NO",IF(C1991="SÍ","FERIADO","FIN DE SEMANA"),"LABORABLE")&amp;IF(F1991="SÍ"," + CIERRE","")</x:f>
        <x:v>LABORABLE</x:v>
      </x:c>
      <x:c r="I1991" t="str">
        <x:f>TEXT(G1991,"yyyy-mm")</x:f>
        <x:v>2030-06</x:v>
      </x:c>
    </x:row>
    <x:row r="1992">
      <x:c r="A1992" s="2" t="n">
        <x:v>47648</x:v>
      </x:c>
      <x:c r="B1992" t="str">
        <x:f>CHOOSE(WEEKDAY(A1992,2),"Lunes","Martes","Miércoles","Jueves","Viernes","Sábado","Domingo")</x:f>
        <x:v>Viernes</x:v>
      </x:c>
      <x:c r="C1992" t="str">
        <x:f>IF(COUNTIF(FERIADOS!$A$2:$A$250,A1992)&gt;0,"SÍ","NO")</x:f>
        <x:v>NO</x:v>
      </x:c>
      <x:c r="D1992" t="str">
        <x:f>IF(AND(WEEKDAY(A1992,2)&lt;=5,C1992="NO"),"SÍ","NO")</x:f>
        <x:v>SÍ</x:v>
      </x:c>
      <x:c r="E1992" s="2" t="n">
        <x:f>WORKDAY.INTL(A1992-1,1,1,FERIADOS!$A$2:$A$250)</x:f>
        <x:v>47648</x:v>
      </x:c>
      <x:c r="F1992" t="str">
        <x:f>IF(E1992&gt;=WORKDAY.INTL(EOMONTH(E1992,0)+1,-2,1,FERIADOS!$A$2:$A$250),"SÍ","NO")</x:f>
        <x:v>NO</x:v>
      </x:c>
      <x:c r="G1992" s="2" t="n">
        <x:f>IF(F1992="SÍ",EOMONTH(E1992,0)+1,DATE(YEAR(E1992),MONTH(E1992),1))</x:f>
        <x:v>47635</x:v>
      </x:c>
      <x:c r="H1992" t="str">
        <x:f>IF(D1992="NO",IF(C1992="SÍ","FERIADO","FIN DE SEMANA"),"LABORABLE")&amp;IF(F1992="SÍ"," + CIERRE","")</x:f>
        <x:v>LABORABLE</x:v>
      </x:c>
      <x:c r="I1992" t="str">
        <x:f>TEXT(G1992,"yyyy-mm")</x:f>
        <x:v>2030-06</x:v>
      </x:c>
    </x:row>
    <x:row r="1993">
      <x:c r="A1993" s="2" t="n">
        <x:v>47649</x:v>
      </x:c>
      <x:c r="B1993" t="str">
        <x:f>CHOOSE(WEEKDAY(A1993,2),"Lunes","Martes","Miércoles","Jueves","Viernes","Sábado","Domingo")</x:f>
        <x:v>Sábado</x:v>
      </x:c>
      <x:c r="C1993" t="str">
        <x:f>IF(COUNTIF(FERIADOS!$A$2:$A$250,A1993)&gt;0,"SÍ","NO")</x:f>
        <x:v>NO</x:v>
      </x:c>
      <x:c r="D1993" t="str">
        <x:f>IF(AND(WEEKDAY(A1993,2)&lt;=5,C1993="NO"),"SÍ","NO")</x:f>
        <x:v>NO</x:v>
      </x:c>
      <x:c r="E1993" s="2" t="n">
        <x:f>WORKDAY.INTL(A1993-1,1,1,FERIADOS!$A$2:$A$250)</x:f>
        <x:v>47651</x:v>
      </x:c>
      <x:c r="F1993" t="str">
        <x:f>IF(E1993&gt;=WORKDAY.INTL(EOMONTH(E1993,0)+1,-2,1,FERIADOS!$A$2:$A$250),"SÍ","NO")</x:f>
        <x:v>NO</x:v>
      </x:c>
      <x:c r="G1993" s="2" t="n">
        <x:f>IF(F1993="SÍ",EOMONTH(E1993,0)+1,DATE(YEAR(E1993),MONTH(E1993),1))</x:f>
        <x:v>47635</x:v>
      </x:c>
      <x:c r="H1993" t="str">
        <x:f>IF(D1993="NO",IF(C1993="SÍ","FERIADO","FIN DE SEMANA"),"LABORABLE")&amp;IF(F1993="SÍ"," + CIERRE","")</x:f>
        <x:v>FIN DE SEMANA</x:v>
      </x:c>
      <x:c r="I1993" t="str">
        <x:f>TEXT(G1993,"yyyy-mm")</x:f>
        <x:v>2030-06</x:v>
      </x:c>
    </x:row>
    <x:row r="1994">
      <x:c r="A1994" s="2" t="n">
        <x:v>47650</x:v>
      </x:c>
      <x:c r="B1994" t="str">
        <x:f>CHOOSE(WEEKDAY(A1994,2),"Lunes","Martes","Miércoles","Jueves","Viernes","Sábado","Domingo")</x:f>
        <x:v>Domingo</x:v>
      </x:c>
      <x:c r="C1994" t="str">
        <x:f>IF(COUNTIF(FERIADOS!$A$2:$A$250,A1994)&gt;0,"SÍ","NO")</x:f>
        <x:v>NO</x:v>
      </x:c>
      <x:c r="D1994" t="str">
        <x:f>IF(AND(WEEKDAY(A1994,2)&lt;=5,C1994="NO"),"SÍ","NO")</x:f>
        <x:v>NO</x:v>
      </x:c>
      <x:c r="E1994" s="2" t="n">
        <x:f>WORKDAY.INTL(A1994-1,1,1,FERIADOS!$A$2:$A$250)</x:f>
        <x:v>47651</x:v>
      </x:c>
      <x:c r="F1994" t="str">
        <x:f>IF(E1994&gt;=WORKDAY.INTL(EOMONTH(E1994,0)+1,-2,1,FERIADOS!$A$2:$A$250),"SÍ","NO")</x:f>
        <x:v>NO</x:v>
      </x:c>
      <x:c r="G1994" s="2" t="n">
        <x:f>IF(F1994="SÍ",EOMONTH(E1994,0)+1,DATE(YEAR(E1994),MONTH(E1994),1))</x:f>
        <x:v>47635</x:v>
      </x:c>
      <x:c r="H1994" t="str">
        <x:f>IF(D1994="NO",IF(C1994="SÍ","FERIADO","FIN DE SEMANA"),"LABORABLE")&amp;IF(F1994="SÍ"," + CIERRE","")</x:f>
        <x:v>FIN DE SEMANA</x:v>
      </x:c>
      <x:c r="I1994" t="str">
        <x:f>TEXT(G1994,"yyyy-mm")</x:f>
        <x:v>2030-06</x:v>
      </x:c>
    </x:row>
    <x:row r="1995">
      <x:c r="A1995" s="2" t="n">
        <x:v>47651</x:v>
      </x:c>
      <x:c r="B1995" t="str">
        <x:f>CHOOSE(WEEKDAY(A1995,2),"Lunes","Martes","Miércoles","Jueves","Viernes","Sábado","Domingo")</x:f>
        <x:v>Lunes</x:v>
      </x:c>
      <x:c r="C1995" t="str">
        <x:f>IF(COUNTIF(FERIADOS!$A$2:$A$250,A1995)&gt;0,"SÍ","NO")</x:f>
        <x:v>NO</x:v>
      </x:c>
      <x:c r="D1995" t="str">
        <x:f>IF(AND(WEEKDAY(A1995,2)&lt;=5,C1995="NO"),"SÍ","NO")</x:f>
        <x:v>SÍ</x:v>
      </x:c>
      <x:c r="E1995" s="2" t="n">
        <x:f>WORKDAY.INTL(A1995-1,1,1,FERIADOS!$A$2:$A$250)</x:f>
        <x:v>47651</x:v>
      </x:c>
      <x:c r="F1995" t="str">
        <x:f>IF(E1995&gt;=WORKDAY.INTL(EOMONTH(E1995,0)+1,-2,1,FERIADOS!$A$2:$A$250),"SÍ","NO")</x:f>
        <x:v>NO</x:v>
      </x:c>
      <x:c r="G1995" s="2" t="n">
        <x:f>IF(F1995="SÍ",EOMONTH(E1995,0)+1,DATE(YEAR(E1995),MONTH(E1995),1))</x:f>
        <x:v>47635</x:v>
      </x:c>
      <x:c r="H1995" t="str">
        <x:f>IF(D1995="NO",IF(C1995="SÍ","FERIADO","FIN DE SEMANA"),"LABORABLE")&amp;IF(F1995="SÍ"," + CIERRE","")</x:f>
        <x:v>LABORABLE</x:v>
      </x:c>
      <x:c r="I1995" t="str">
        <x:f>TEXT(G1995,"yyyy-mm")</x:f>
        <x:v>2030-06</x:v>
      </x:c>
    </x:row>
    <x:row r="1996">
      <x:c r="A1996" s="2" t="n">
        <x:v>47652</x:v>
      </x:c>
      <x:c r="B1996" t="str">
        <x:f>CHOOSE(WEEKDAY(A1996,2),"Lunes","Martes","Miércoles","Jueves","Viernes","Sábado","Domingo")</x:f>
        <x:v>Martes</x:v>
      </x:c>
      <x:c r="C1996" t="str">
        <x:f>IF(COUNTIF(FERIADOS!$A$2:$A$250,A1996)&gt;0,"SÍ","NO")</x:f>
        <x:v>NO</x:v>
      </x:c>
      <x:c r="D1996" t="str">
        <x:f>IF(AND(WEEKDAY(A1996,2)&lt;=5,C1996="NO"),"SÍ","NO")</x:f>
        <x:v>SÍ</x:v>
      </x:c>
      <x:c r="E1996" s="2" t="n">
        <x:f>WORKDAY.INTL(A1996-1,1,1,FERIADOS!$A$2:$A$250)</x:f>
        <x:v>47652</x:v>
      </x:c>
      <x:c r="F1996" t="str">
        <x:f>IF(E1996&gt;=WORKDAY.INTL(EOMONTH(E1996,0)+1,-2,1,FERIADOS!$A$2:$A$250),"SÍ","NO")</x:f>
        <x:v>NO</x:v>
      </x:c>
      <x:c r="G1996" s="2" t="n">
        <x:f>IF(F1996="SÍ",EOMONTH(E1996,0)+1,DATE(YEAR(E1996),MONTH(E1996),1))</x:f>
        <x:v>47635</x:v>
      </x:c>
      <x:c r="H1996" t="str">
        <x:f>IF(D1996="NO",IF(C1996="SÍ","FERIADO","FIN DE SEMANA"),"LABORABLE")&amp;IF(F1996="SÍ"," + CIERRE","")</x:f>
        <x:v>LABORABLE</x:v>
      </x:c>
      <x:c r="I1996" t="str">
        <x:f>TEXT(G1996,"yyyy-mm")</x:f>
        <x:v>2030-06</x:v>
      </x:c>
    </x:row>
    <x:row r="1997">
      <x:c r="A1997" s="2" t="n">
        <x:v>47653</x:v>
      </x:c>
      <x:c r="B1997" t="str">
        <x:f>CHOOSE(WEEKDAY(A1997,2),"Lunes","Martes","Miércoles","Jueves","Viernes","Sábado","Domingo")</x:f>
        <x:v>Miércoles</x:v>
      </x:c>
      <x:c r="C1997" t="str">
        <x:f>IF(COUNTIF(FERIADOS!$A$2:$A$250,A1997)&gt;0,"SÍ","NO")</x:f>
        <x:v>NO</x:v>
      </x:c>
      <x:c r="D1997" t="str">
        <x:f>IF(AND(WEEKDAY(A1997,2)&lt;=5,C1997="NO"),"SÍ","NO")</x:f>
        <x:v>SÍ</x:v>
      </x:c>
      <x:c r="E1997" s="2" t="n">
        <x:f>WORKDAY.INTL(A1997-1,1,1,FERIADOS!$A$2:$A$250)</x:f>
        <x:v>47653</x:v>
      </x:c>
      <x:c r="F1997" t="str">
        <x:f>IF(E1997&gt;=WORKDAY.INTL(EOMONTH(E1997,0)+1,-2,1,FERIADOS!$A$2:$A$250),"SÍ","NO")</x:f>
        <x:v>NO</x:v>
      </x:c>
      <x:c r="G1997" s="2" t="n">
        <x:f>IF(F1997="SÍ",EOMONTH(E1997,0)+1,DATE(YEAR(E1997),MONTH(E1997),1))</x:f>
        <x:v>47635</x:v>
      </x:c>
      <x:c r="H1997" t="str">
        <x:f>IF(D1997="NO",IF(C1997="SÍ","FERIADO","FIN DE SEMANA"),"LABORABLE")&amp;IF(F1997="SÍ"," + CIERRE","")</x:f>
        <x:v>LABORABLE</x:v>
      </x:c>
      <x:c r="I1997" t="str">
        <x:f>TEXT(G1997,"yyyy-mm")</x:f>
        <x:v>2030-06</x:v>
      </x:c>
    </x:row>
    <x:row r="1998">
      <x:c r="A1998" s="2" t="n">
        <x:v>47654</x:v>
      </x:c>
      <x:c r="B1998" t="str">
        <x:f>CHOOSE(WEEKDAY(A1998,2),"Lunes","Martes","Miércoles","Jueves","Viernes","Sábado","Domingo")</x:f>
        <x:v>Jueves</x:v>
      </x:c>
      <x:c r="C1998" t="str">
        <x:f>IF(COUNTIF(FERIADOS!$A$2:$A$250,A1998)&gt;0,"SÍ","NO")</x:f>
        <x:v>NO</x:v>
      </x:c>
      <x:c r="D1998" t="str">
        <x:f>IF(AND(WEEKDAY(A1998,2)&lt;=5,C1998="NO"),"SÍ","NO")</x:f>
        <x:v>SÍ</x:v>
      </x:c>
      <x:c r="E1998" s="2" t="n">
        <x:f>WORKDAY.INTL(A1998-1,1,1,FERIADOS!$A$2:$A$250)</x:f>
        <x:v>47654</x:v>
      </x:c>
      <x:c r="F1998" t="str">
        <x:f>IF(E1998&gt;=WORKDAY.INTL(EOMONTH(E1998,0)+1,-2,1,FERIADOS!$A$2:$A$250),"SÍ","NO")</x:f>
        <x:v>NO</x:v>
      </x:c>
      <x:c r="G1998" s="2" t="n">
        <x:f>IF(F1998="SÍ",EOMONTH(E1998,0)+1,DATE(YEAR(E1998),MONTH(E1998),1))</x:f>
        <x:v>47635</x:v>
      </x:c>
      <x:c r="H1998" t="str">
        <x:f>IF(D1998="NO",IF(C1998="SÍ","FERIADO","FIN DE SEMANA"),"LABORABLE")&amp;IF(F1998="SÍ"," + CIERRE","")</x:f>
        <x:v>LABORABLE</x:v>
      </x:c>
      <x:c r="I1998" t="str">
        <x:f>TEXT(G1998,"yyyy-mm")</x:f>
        <x:v>2030-06</x:v>
      </x:c>
    </x:row>
    <x:row r="1999">
      <x:c r="A1999" s="2" t="n">
        <x:v>47655</x:v>
      </x:c>
      <x:c r="B1999" t="str">
        <x:f>CHOOSE(WEEKDAY(A1999,2),"Lunes","Martes","Miércoles","Jueves","Viernes","Sábado","Domingo")</x:f>
        <x:v>Viernes</x:v>
      </x:c>
      <x:c r="C1999" t="str">
        <x:f>IF(COUNTIF(FERIADOS!$A$2:$A$250,A1999)&gt;0,"SÍ","NO")</x:f>
        <x:v>NO</x:v>
      </x:c>
      <x:c r="D1999" t="str">
        <x:f>IF(AND(WEEKDAY(A1999,2)&lt;=5,C1999="NO"),"SÍ","NO")</x:f>
        <x:v>SÍ</x:v>
      </x:c>
      <x:c r="E1999" s="2" t="n">
        <x:f>WORKDAY.INTL(A1999-1,1,1,FERIADOS!$A$2:$A$250)</x:f>
        <x:v>47655</x:v>
      </x:c>
      <x:c r="F1999" t="str">
        <x:f>IF(E1999&gt;=WORKDAY.INTL(EOMONTH(E1999,0)+1,-2,1,FERIADOS!$A$2:$A$250),"SÍ","NO")</x:f>
        <x:v>NO</x:v>
      </x:c>
      <x:c r="G1999" s="2" t="n">
        <x:f>IF(F1999="SÍ",EOMONTH(E1999,0)+1,DATE(YEAR(E1999),MONTH(E1999),1))</x:f>
        <x:v>47635</x:v>
      </x:c>
      <x:c r="H1999" t="str">
        <x:f>IF(D1999="NO",IF(C1999="SÍ","FERIADO","FIN DE SEMANA"),"LABORABLE")&amp;IF(F1999="SÍ"," + CIERRE","")</x:f>
        <x:v>LABORABLE</x:v>
      </x:c>
      <x:c r="I1999" t="str">
        <x:f>TEXT(G1999,"yyyy-mm")</x:f>
        <x:v>2030-06</x:v>
      </x:c>
    </x:row>
    <x:row r="2000">
      <x:c r="A2000" s="2" t="n">
        <x:v>47656</x:v>
      </x:c>
      <x:c r="B2000" t="str">
        <x:f>CHOOSE(WEEKDAY(A2000,2),"Lunes","Martes","Miércoles","Jueves","Viernes","Sábado","Domingo")</x:f>
        <x:v>Sábado</x:v>
      </x:c>
      <x:c r="C2000" t="str">
        <x:f>IF(COUNTIF(FERIADOS!$A$2:$A$250,A2000)&gt;0,"SÍ","NO")</x:f>
        <x:v>NO</x:v>
      </x:c>
      <x:c r="D2000" t="str">
        <x:f>IF(AND(WEEKDAY(A2000,2)&lt;=5,C2000="NO"),"SÍ","NO")</x:f>
        <x:v>NO</x:v>
      </x:c>
      <x:c r="E2000" s="2" t="n">
        <x:f>WORKDAY.INTL(A2000-1,1,1,FERIADOS!$A$2:$A$250)</x:f>
        <x:v>47658</x:v>
      </x:c>
      <x:c r="F2000" t="str">
        <x:f>IF(E2000&gt;=WORKDAY.INTL(EOMONTH(E2000,0)+1,-2,1,FERIADOS!$A$2:$A$250),"SÍ","NO")</x:f>
        <x:v>NO</x:v>
      </x:c>
      <x:c r="G2000" s="2" t="n">
        <x:f>IF(F2000="SÍ",EOMONTH(E2000,0)+1,DATE(YEAR(E2000),MONTH(E2000),1))</x:f>
        <x:v>47635</x:v>
      </x:c>
      <x:c r="H2000" t="str">
        <x:f>IF(D2000="NO",IF(C2000="SÍ","FERIADO","FIN DE SEMANA"),"LABORABLE")&amp;IF(F2000="SÍ"," + CIERRE","")</x:f>
        <x:v>FIN DE SEMANA</x:v>
      </x:c>
      <x:c r="I2000" t="str">
        <x:f>TEXT(G2000,"yyyy-mm")</x:f>
        <x:v>2030-06</x:v>
      </x:c>
    </x:row>
    <x:row r="2001">
      <x:c r="A2001" s="2" t="n">
        <x:v>47657</x:v>
      </x:c>
      <x:c r="B2001" t="str">
        <x:f>CHOOSE(WEEKDAY(A2001,2),"Lunes","Martes","Miércoles","Jueves","Viernes","Sábado","Domingo")</x:f>
        <x:v>Domingo</x:v>
      </x:c>
      <x:c r="C2001" t="str">
        <x:f>IF(COUNTIF(FERIADOS!$A$2:$A$250,A2001)&gt;0,"SÍ","NO")</x:f>
        <x:v>NO</x:v>
      </x:c>
      <x:c r="D2001" t="str">
        <x:f>IF(AND(WEEKDAY(A2001,2)&lt;=5,C2001="NO"),"SÍ","NO")</x:f>
        <x:v>NO</x:v>
      </x:c>
      <x:c r="E2001" s="2" t="n">
        <x:f>WORKDAY.INTL(A2001-1,1,1,FERIADOS!$A$2:$A$250)</x:f>
        <x:v>47658</x:v>
      </x:c>
      <x:c r="F2001" t="str">
        <x:f>IF(E2001&gt;=WORKDAY.INTL(EOMONTH(E2001,0)+1,-2,1,FERIADOS!$A$2:$A$250),"SÍ","NO")</x:f>
        <x:v>NO</x:v>
      </x:c>
      <x:c r="G2001" s="2" t="n">
        <x:f>IF(F2001="SÍ",EOMONTH(E2001,0)+1,DATE(YEAR(E2001),MONTH(E2001),1))</x:f>
        <x:v>47635</x:v>
      </x:c>
      <x:c r="H2001" t="str">
        <x:f>IF(D2001="NO",IF(C2001="SÍ","FERIADO","FIN DE SEMANA"),"LABORABLE")&amp;IF(F2001="SÍ"," + CIERRE","")</x:f>
        <x:v>FIN DE SEMANA</x:v>
      </x:c>
      <x:c r="I2001" t="str">
        <x:f>TEXT(G2001,"yyyy-mm")</x:f>
        <x:v>2030-06</x:v>
      </x:c>
    </x:row>
    <x:row r="2002">
      <x:c r="A2002" s="2" t="n">
        <x:v>47658</x:v>
      </x:c>
      <x:c r="B2002" t="str">
        <x:f>CHOOSE(WEEKDAY(A2002,2),"Lunes","Martes","Miércoles","Jueves","Viernes","Sábado","Domingo")</x:f>
        <x:v>Lunes</x:v>
      </x:c>
      <x:c r="C2002" t="str">
        <x:f>IF(COUNTIF(FERIADOS!$A$2:$A$250,A2002)&gt;0,"SÍ","NO")</x:f>
        <x:v>NO</x:v>
      </x:c>
      <x:c r="D2002" t="str">
        <x:f>IF(AND(WEEKDAY(A2002,2)&lt;=5,C2002="NO"),"SÍ","NO")</x:f>
        <x:v>SÍ</x:v>
      </x:c>
      <x:c r="E2002" s="2" t="n">
        <x:f>WORKDAY.INTL(A2002-1,1,1,FERIADOS!$A$2:$A$250)</x:f>
        <x:v>47658</x:v>
      </x:c>
      <x:c r="F2002" t="str">
        <x:f>IF(E2002&gt;=WORKDAY.INTL(EOMONTH(E2002,0)+1,-2,1,FERIADOS!$A$2:$A$250),"SÍ","NO")</x:f>
        <x:v>NO</x:v>
      </x:c>
      <x:c r="G2002" s="2" t="n">
        <x:f>IF(F2002="SÍ",EOMONTH(E2002,0)+1,DATE(YEAR(E2002),MONTH(E2002),1))</x:f>
        <x:v>47635</x:v>
      </x:c>
      <x:c r="H2002" t="str">
        <x:f>IF(D2002="NO",IF(C2002="SÍ","FERIADO","FIN DE SEMANA"),"LABORABLE")&amp;IF(F2002="SÍ"," + CIERRE","")</x:f>
        <x:v>LABORABLE</x:v>
      </x:c>
      <x:c r="I2002" t="str">
        <x:f>TEXT(G2002,"yyyy-mm")</x:f>
        <x:v>2030-06</x:v>
      </x:c>
    </x:row>
    <x:row r="2003">
      <x:c r="A2003" s="2" t="n">
        <x:v>47659</x:v>
      </x:c>
      <x:c r="B2003" t="str">
        <x:f>CHOOSE(WEEKDAY(A2003,2),"Lunes","Martes","Miércoles","Jueves","Viernes","Sábado","Domingo")</x:f>
        <x:v>Martes</x:v>
      </x:c>
      <x:c r="C2003" t="str">
        <x:f>IF(COUNTIF(FERIADOS!$A$2:$A$250,A2003)&gt;0,"SÍ","NO")</x:f>
        <x:v>NO</x:v>
      </x:c>
      <x:c r="D2003" t="str">
        <x:f>IF(AND(WEEKDAY(A2003,2)&lt;=5,C2003="NO"),"SÍ","NO")</x:f>
        <x:v>SÍ</x:v>
      </x:c>
      <x:c r="E2003" s="2" t="n">
        <x:f>WORKDAY.INTL(A2003-1,1,1,FERIADOS!$A$2:$A$250)</x:f>
        <x:v>47659</x:v>
      </x:c>
      <x:c r="F2003" t="str">
        <x:f>IF(E2003&gt;=WORKDAY.INTL(EOMONTH(E2003,0)+1,-2,1,FERIADOS!$A$2:$A$250),"SÍ","NO")</x:f>
        <x:v>NO</x:v>
      </x:c>
      <x:c r="G2003" s="2" t="n">
        <x:f>IF(F2003="SÍ",EOMONTH(E2003,0)+1,DATE(YEAR(E2003),MONTH(E2003),1))</x:f>
        <x:v>47635</x:v>
      </x:c>
      <x:c r="H2003" t="str">
        <x:f>IF(D2003="NO",IF(C2003="SÍ","FERIADO","FIN DE SEMANA"),"LABORABLE")&amp;IF(F2003="SÍ"," + CIERRE","")</x:f>
        <x:v>LABORABLE</x:v>
      </x:c>
      <x:c r="I2003" t="str">
        <x:f>TEXT(G2003,"yyyy-mm")</x:f>
        <x:v>2030-06</x:v>
      </x:c>
    </x:row>
    <x:row r="2004">
      <x:c r="A2004" s="2" t="n">
        <x:v>47660</x:v>
      </x:c>
      <x:c r="B2004" t="str">
        <x:f>CHOOSE(WEEKDAY(A2004,2),"Lunes","Martes","Miércoles","Jueves","Viernes","Sábado","Domingo")</x:f>
        <x:v>Miércoles</x:v>
      </x:c>
      <x:c r="C2004" t="str">
        <x:f>IF(COUNTIF(FERIADOS!$A$2:$A$250,A2004)&gt;0,"SÍ","NO")</x:f>
        <x:v>NO</x:v>
      </x:c>
      <x:c r="D2004" t="str">
        <x:f>IF(AND(WEEKDAY(A2004,2)&lt;=5,C2004="NO"),"SÍ","NO")</x:f>
        <x:v>SÍ</x:v>
      </x:c>
      <x:c r="E2004" s="2" t="n">
        <x:f>WORKDAY.INTL(A2004-1,1,1,FERIADOS!$A$2:$A$250)</x:f>
        <x:v>47660</x:v>
      </x:c>
      <x:c r="F2004" t="str">
        <x:f>IF(E2004&gt;=WORKDAY.INTL(EOMONTH(E2004,0)+1,-2,1,FERIADOS!$A$2:$A$250),"SÍ","NO")</x:f>
        <x:v>NO</x:v>
      </x:c>
      <x:c r="G2004" s="2" t="n">
        <x:f>IF(F2004="SÍ",EOMONTH(E2004,0)+1,DATE(YEAR(E2004),MONTH(E2004),1))</x:f>
        <x:v>47635</x:v>
      </x:c>
      <x:c r="H2004" t="str">
        <x:f>IF(D2004="NO",IF(C2004="SÍ","FERIADO","FIN DE SEMANA"),"LABORABLE")&amp;IF(F2004="SÍ"," + CIERRE","")</x:f>
        <x:v>LABORABLE</x:v>
      </x:c>
      <x:c r="I2004" t="str">
        <x:f>TEXT(G2004,"yyyy-mm")</x:f>
        <x:v>2030-06</x:v>
      </x:c>
    </x:row>
    <x:row r="2005">
      <x:c r="A2005" s="2" t="n">
        <x:v>47661</x:v>
      </x:c>
      <x:c r="B2005" t="str">
        <x:f>CHOOSE(WEEKDAY(A2005,2),"Lunes","Martes","Miércoles","Jueves","Viernes","Sábado","Domingo")</x:f>
        <x:v>Jueves</x:v>
      </x:c>
      <x:c r="C2005" t="str">
        <x:f>IF(COUNTIF(FERIADOS!$A$2:$A$250,A2005)&gt;0,"SÍ","NO")</x:f>
        <x:v>NO</x:v>
      </x:c>
      <x:c r="D2005" t="str">
        <x:f>IF(AND(WEEKDAY(A2005,2)&lt;=5,C2005="NO"),"SÍ","NO")</x:f>
        <x:v>SÍ</x:v>
      </x:c>
      <x:c r="E2005" s="2" t="n">
        <x:f>WORKDAY.INTL(A2005-1,1,1,FERIADOS!$A$2:$A$250)</x:f>
        <x:v>47661</x:v>
      </x:c>
      <x:c r="F2005" t="str">
        <x:f>IF(E2005&gt;=WORKDAY.INTL(EOMONTH(E2005,0)+1,-2,1,FERIADOS!$A$2:$A$250),"SÍ","NO")</x:f>
        <x:v>SÍ</x:v>
      </x:c>
      <x:c r="G2005" s="2" t="n">
        <x:f>IF(F2005="SÍ",EOMONTH(E2005,0)+1,DATE(YEAR(E2005),MONTH(E2005),1))</x:f>
        <x:v>47665</x:v>
      </x:c>
      <x:c r="H2005" t="str">
        <x:f>IF(D2005="NO",IF(C2005="SÍ","FERIADO","FIN DE SEMANA"),"LABORABLE")&amp;IF(F2005="SÍ"," + CIERRE","")</x:f>
        <x:v>LABORABLE + CIERRE</x:v>
      </x:c>
      <x:c r="I2005" t="str">
        <x:f>TEXT(G2005,"yyyy-mm")</x:f>
        <x:v>2030-07</x:v>
      </x:c>
    </x:row>
    <x:row r="2006">
      <x:c r="A2006" s="2" t="n">
        <x:v>47662</x:v>
      </x:c>
      <x:c r="B2006" t="str">
        <x:f>CHOOSE(WEEKDAY(A2006,2),"Lunes","Martes","Miércoles","Jueves","Viernes","Sábado","Domingo")</x:f>
        <x:v>Viernes</x:v>
      </x:c>
      <x:c r="C2006" t="str">
        <x:f>IF(COUNTIF(FERIADOS!$A$2:$A$250,A2006)&gt;0,"SÍ","NO")</x:f>
        <x:v>NO</x:v>
      </x:c>
      <x:c r="D2006" t="str">
        <x:f>IF(AND(WEEKDAY(A2006,2)&lt;=5,C2006="NO"),"SÍ","NO")</x:f>
        <x:v>SÍ</x:v>
      </x:c>
      <x:c r="E2006" s="2" t="n">
        <x:f>WORKDAY.INTL(A2006-1,1,1,FERIADOS!$A$2:$A$250)</x:f>
        <x:v>47662</x:v>
      </x:c>
      <x:c r="F2006" t="str">
        <x:f>IF(E2006&gt;=WORKDAY.INTL(EOMONTH(E2006,0)+1,-2,1,FERIADOS!$A$2:$A$250),"SÍ","NO")</x:f>
        <x:v>SÍ</x:v>
      </x:c>
      <x:c r="G2006" s="2" t="n">
        <x:f>IF(F2006="SÍ",EOMONTH(E2006,0)+1,DATE(YEAR(E2006),MONTH(E2006),1))</x:f>
        <x:v>47665</x:v>
      </x:c>
      <x:c r="H2006" t="str">
        <x:f>IF(D2006="NO",IF(C2006="SÍ","FERIADO","FIN DE SEMANA"),"LABORABLE")&amp;IF(F2006="SÍ"," + CIERRE","")</x:f>
        <x:v>LABORABLE + CIERRE</x:v>
      </x:c>
      <x:c r="I2006" t="str">
        <x:f>TEXT(G2006,"yyyy-mm")</x:f>
        <x:v>2030-07</x:v>
      </x:c>
    </x:row>
    <x:row r="2007">
      <x:c r="A2007" s="2" t="n">
        <x:v>47663</x:v>
      </x:c>
      <x:c r="B2007" t="str">
        <x:f>CHOOSE(WEEKDAY(A2007,2),"Lunes","Martes","Miércoles","Jueves","Viernes","Sábado","Domingo")</x:f>
        <x:v>Sábado</x:v>
      </x:c>
      <x:c r="C2007" t="str">
        <x:f>IF(COUNTIF(FERIADOS!$A$2:$A$250,A2007)&gt;0,"SÍ","NO")</x:f>
        <x:v>NO</x:v>
      </x:c>
      <x:c r="D2007" t="str">
        <x:f>IF(AND(WEEKDAY(A2007,2)&lt;=5,C2007="NO"),"SÍ","NO")</x:f>
        <x:v>NO</x:v>
      </x:c>
      <x:c r="E2007" s="2" t="n">
        <x:f>WORKDAY.INTL(A2007-1,1,1,FERIADOS!$A$2:$A$250)</x:f>
        <x:v>47665</x:v>
      </x:c>
      <x:c r="F2007" t="str">
        <x:f>IF(E2007&gt;=WORKDAY.INTL(EOMONTH(E2007,0)+1,-2,1,FERIADOS!$A$2:$A$250),"SÍ","NO")</x:f>
        <x:v>NO</x:v>
      </x:c>
      <x:c r="G2007" s="2" t="n">
        <x:f>IF(F2007="SÍ",EOMONTH(E2007,0)+1,DATE(YEAR(E2007),MONTH(E2007),1))</x:f>
        <x:v>47665</x:v>
      </x:c>
      <x:c r="H2007" t="str">
        <x:f>IF(D2007="NO",IF(C2007="SÍ","FERIADO","FIN DE SEMANA"),"LABORABLE")&amp;IF(F2007="SÍ"," + CIERRE","")</x:f>
        <x:v>FIN DE SEMANA</x:v>
      </x:c>
      <x:c r="I2007" t="str">
        <x:f>TEXT(G2007,"yyyy-mm")</x:f>
        <x:v>2030-07</x:v>
      </x:c>
    </x:row>
    <x:row r="2008">
      <x:c r="A2008" s="2" t="n">
        <x:v>47664</x:v>
      </x:c>
      <x:c r="B2008" t="str">
        <x:f>CHOOSE(WEEKDAY(A2008,2),"Lunes","Martes","Miércoles","Jueves","Viernes","Sábado","Domingo")</x:f>
        <x:v>Domingo</x:v>
      </x:c>
      <x:c r="C2008" t="str">
        <x:f>IF(COUNTIF(FERIADOS!$A$2:$A$250,A2008)&gt;0,"SÍ","NO")</x:f>
        <x:v>NO</x:v>
      </x:c>
      <x:c r="D2008" t="str">
        <x:f>IF(AND(WEEKDAY(A2008,2)&lt;=5,C2008="NO"),"SÍ","NO")</x:f>
        <x:v>NO</x:v>
      </x:c>
      <x:c r="E2008" s="2" t="n">
        <x:f>WORKDAY.INTL(A2008-1,1,1,FERIADOS!$A$2:$A$250)</x:f>
        <x:v>47665</x:v>
      </x:c>
      <x:c r="F2008" t="str">
        <x:f>IF(E2008&gt;=WORKDAY.INTL(EOMONTH(E2008,0)+1,-2,1,FERIADOS!$A$2:$A$250),"SÍ","NO")</x:f>
        <x:v>NO</x:v>
      </x:c>
      <x:c r="G2008" s="2" t="n">
        <x:f>IF(F2008="SÍ",EOMONTH(E2008,0)+1,DATE(YEAR(E2008),MONTH(E2008),1))</x:f>
        <x:v>47665</x:v>
      </x:c>
      <x:c r="H2008" t="str">
        <x:f>IF(D2008="NO",IF(C2008="SÍ","FERIADO","FIN DE SEMANA"),"LABORABLE")&amp;IF(F2008="SÍ"," + CIERRE","")</x:f>
        <x:v>FIN DE SEMANA</x:v>
      </x:c>
      <x:c r="I2008" t="str">
        <x:f>TEXT(G2008,"yyyy-mm")</x:f>
        <x:v>2030-07</x:v>
      </x:c>
    </x:row>
    <x:row r="2009">
      <x:c r="A2009" s="2" t="n">
        <x:v>47665</x:v>
      </x:c>
      <x:c r="B2009" t="str">
        <x:f>CHOOSE(WEEKDAY(A2009,2),"Lunes","Martes","Miércoles","Jueves","Viernes","Sábado","Domingo")</x:f>
        <x:v>Lunes</x:v>
      </x:c>
      <x:c r="C2009" t="str">
        <x:f>IF(COUNTIF(FERIADOS!$A$2:$A$250,A2009)&gt;0,"SÍ","NO")</x:f>
        <x:v>NO</x:v>
      </x:c>
      <x:c r="D2009" t="str">
        <x:f>IF(AND(WEEKDAY(A2009,2)&lt;=5,C2009="NO"),"SÍ","NO")</x:f>
        <x:v>SÍ</x:v>
      </x:c>
      <x:c r="E2009" s="2" t="n">
        <x:f>WORKDAY.INTL(A2009-1,1,1,FERIADOS!$A$2:$A$250)</x:f>
        <x:v>47665</x:v>
      </x:c>
      <x:c r="F2009" t="str">
        <x:f>IF(E2009&gt;=WORKDAY.INTL(EOMONTH(E2009,0)+1,-2,1,FERIADOS!$A$2:$A$250),"SÍ","NO")</x:f>
        <x:v>NO</x:v>
      </x:c>
      <x:c r="G2009" s="2" t="n">
        <x:f>IF(F2009="SÍ",EOMONTH(E2009,0)+1,DATE(YEAR(E2009),MONTH(E2009),1))</x:f>
        <x:v>47665</x:v>
      </x:c>
      <x:c r="H2009" t="str">
        <x:f>IF(D2009="NO",IF(C2009="SÍ","FERIADO","FIN DE SEMANA"),"LABORABLE")&amp;IF(F2009="SÍ"," + CIERRE","")</x:f>
        <x:v>LABORABLE</x:v>
      </x:c>
      <x:c r="I2009" t="str">
        <x:f>TEXT(G2009,"yyyy-mm")</x:f>
        <x:v>2030-07</x:v>
      </x:c>
    </x:row>
    <x:row r="2010">
      <x:c r="A2010" s="2" t="n">
        <x:v>47666</x:v>
      </x:c>
      <x:c r="B2010" t="str">
        <x:f>CHOOSE(WEEKDAY(A2010,2),"Lunes","Martes","Miércoles","Jueves","Viernes","Sábado","Domingo")</x:f>
        <x:v>Martes</x:v>
      </x:c>
      <x:c r="C2010" t="str">
        <x:f>IF(COUNTIF(FERIADOS!$A$2:$A$250,A2010)&gt;0,"SÍ","NO")</x:f>
        <x:v>NO</x:v>
      </x:c>
      <x:c r="D2010" t="str">
        <x:f>IF(AND(WEEKDAY(A2010,2)&lt;=5,C2010="NO"),"SÍ","NO")</x:f>
        <x:v>SÍ</x:v>
      </x:c>
      <x:c r="E2010" s="2" t="n">
        <x:f>WORKDAY.INTL(A2010-1,1,1,FERIADOS!$A$2:$A$250)</x:f>
        <x:v>47666</x:v>
      </x:c>
      <x:c r="F2010" t="str">
        <x:f>IF(E2010&gt;=WORKDAY.INTL(EOMONTH(E2010,0)+1,-2,1,FERIADOS!$A$2:$A$250),"SÍ","NO")</x:f>
        <x:v>NO</x:v>
      </x:c>
      <x:c r="G2010" s="2" t="n">
        <x:f>IF(F2010="SÍ",EOMONTH(E2010,0)+1,DATE(YEAR(E2010),MONTH(E2010),1))</x:f>
        <x:v>47665</x:v>
      </x:c>
      <x:c r="H2010" t="str">
        <x:f>IF(D2010="NO",IF(C2010="SÍ","FERIADO","FIN DE SEMANA"),"LABORABLE")&amp;IF(F2010="SÍ"," + CIERRE","")</x:f>
        <x:v>LABORABLE</x:v>
      </x:c>
      <x:c r="I2010" t="str">
        <x:f>TEXT(G2010,"yyyy-mm")</x:f>
        <x:v>2030-07</x:v>
      </x:c>
    </x:row>
    <x:row r="2011">
      <x:c r="A2011" s="2" t="n">
        <x:v>47667</x:v>
      </x:c>
      <x:c r="B2011" t="str">
        <x:f>CHOOSE(WEEKDAY(A2011,2),"Lunes","Martes","Miércoles","Jueves","Viernes","Sábado","Domingo")</x:f>
        <x:v>Miércoles</x:v>
      </x:c>
      <x:c r="C2011" t="str">
        <x:f>IF(COUNTIF(FERIADOS!$A$2:$A$250,A2011)&gt;0,"SÍ","NO")</x:f>
        <x:v>NO</x:v>
      </x:c>
      <x:c r="D2011" t="str">
        <x:f>IF(AND(WEEKDAY(A2011,2)&lt;=5,C2011="NO"),"SÍ","NO")</x:f>
        <x:v>SÍ</x:v>
      </x:c>
      <x:c r="E2011" s="2" t="n">
        <x:f>WORKDAY.INTL(A2011-1,1,1,FERIADOS!$A$2:$A$250)</x:f>
        <x:v>47667</x:v>
      </x:c>
      <x:c r="F2011" t="str">
        <x:f>IF(E2011&gt;=WORKDAY.INTL(EOMONTH(E2011,0)+1,-2,1,FERIADOS!$A$2:$A$250),"SÍ","NO")</x:f>
        <x:v>NO</x:v>
      </x:c>
      <x:c r="G2011" s="2" t="n">
        <x:f>IF(F2011="SÍ",EOMONTH(E2011,0)+1,DATE(YEAR(E2011),MONTH(E2011),1))</x:f>
        <x:v>47665</x:v>
      </x:c>
      <x:c r="H2011" t="str">
        <x:f>IF(D2011="NO",IF(C2011="SÍ","FERIADO","FIN DE SEMANA"),"LABORABLE")&amp;IF(F2011="SÍ"," + CIERRE","")</x:f>
        <x:v>LABORABLE</x:v>
      </x:c>
      <x:c r="I2011" t="str">
        <x:f>TEXT(G2011,"yyyy-mm")</x:f>
        <x:v>2030-07</x:v>
      </x:c>
    </x:row>
    <x:row r="2012">
      <x:c r="A2012" s="2" t="n">
        <x:v>47668</x:v>
      </x:c>
      <x:c r="B2012" t="str">
        <x:f>CHOOSE(WEEKDAY(A2012,2),"Lunes","Martes","Miércoles","Jueves","Viernes","Sábado","Domingo")</x:f>
        <x:v>Jueves</x:v>
      </x:c>
      <x:c r="C2012" t="str">
        <x:f>IF(COUNTIF(FERIADOS!$A$2:$A$250,A2012)&gt;0,"SÍ","NO")</x:f>
        <x:v>NO</x:v>
      </x:c>
      <x:c r="D2012" t="str">
        <x:f>IF(AND(WEEKDAY(A2012,2)&lt;=5,C2012="NO"),"SÍ","NO")</x:f>
        <x:v>SÍ</x:v>
      </x:c>
      <x:c r="E2012" s="2" t="n">
        <x:f>WORKDAY.INTL(A2012-1,1,1,FERIADOS!$A$2:$A$250)</x:f>
        <x:v>47668</x:v>
      </x:c>
      <x:c r="F2012" t="str">
        <x:f>IF(E2012&gt;=WORKDAY.INTL(EOMONTH(E2012,0)+1,-2,1,FERIADOS!$A$2:$A$250),"SÍ","NO")</x:f>
        <x:v>NO</x:v>
      </x:c>
      <x:c r="G2012" s="2" t="n">
        <x:f>IF(F2012="SÍ",EOMONTH(E2012,0)+1,DATE(YEAR(E2012),MONTH(E2012),1))</x:f>
        <x:v>47665</x:v>
      </x:c>
      <x:c r="H2012" t="str">
        <x:f>IF(D2012="NO",IF(C2012="SÍ","FERIADO","FIN DE SEMANA"),"LABORABLE")&amp;IF(F2012="SÍ"," + CIERRE","")</x:f>
        <x:v>LABORABLE</x:v>
      </x:c>
      <x:c r="I2012" t="str">
        <x:f>TEXT(G2012,"yyyy-mm")</x:f>
        <x:v>2030-07</x:v>
      </x:c>
    </x:row>
    <x:row r="2013">
      <x:c r="A2013" s="2" t="n">
        <x:v>47669</x:v>
      </x:c>
      <x:c r="B2013" t="str">
        <x:f>CHOOSE(WEEKDAY(A2013,2),"Lunes","Martes","Miércoles","Jueves","Viernes","Sábado","Domingo")</x:f>
        <x:v>Viernes</x:v>
      </x:c>
      <x:c r="C2013" t="str">
        <x:f>IF(COUNTIF(FERIADOS!$A$2:$A$250,A2013)&gt;0,"SÍ","NO")</x:f>
        <x:v>NO</x:v>
      </x:c>
      <x:c r="D2013" t="str">
        <x:f>IF(AND(WEEKDAY(A2013,2)&lt;=5,C2013="NO"),"SÍ","NO")</x:f>
        <x:v>SÍ</x:v>
      </x:c>
      <x:c r="E2013" s="2" t="n">
        <x:f>WORKDAY.INTL(A2013-1,1,1,FERIADOS!$A$2:$A$250)</x:f>
        <x:v>47669</x:v>
      </x:c>
      <x:c r="F2013" t="str">
        <x:f>IF(E2013&gt;=WORKDAY.INTL(EOMONTH(E2013,0)+1,-2,1,FERIADOS!$A$2:$A$250),"SÍ","NO")</x:f>
        <x:v>NO</x:v>
      </x:c>
      <x:c r="G2013" s="2" t="n">
        <x:f>IF(F2013="SÍ",EOMONTH(E2013,0)+1,DATE(YEAR(E2013),MONTH(E2013),1))</x:f>
        <x:v>47665</x:v>
      </x:c>
      <x:c r="H2013" t="str">
        <x:f>IF(D2013="NO",IF(C2013="SÍ","FERIADO","FIN DE SEMANA"),"LABORABLE")&amp;IF(F2013="SÍ"," + CIERRE","")</x:f>
        <x:v>LABORABLE</x:v>
      </x:c>
      <x:c r="I2013" t="str">
        <x:f>TEXT(G2013,"yyyy-mm")</x:f>
        <x:v>2030-07</x:v>
      </x:c>
    </x:row>
    <x:row r="2014">
      <x:c r="A2014" s="2" t="n">
        <x:v>47670</x:v>
      </x:c>
      <x:c r="B2014" t="str">
        <x:f>CHOOSE(WEEKDAY(A2014,2),"Lunes","Martes","Miércoles","Jueves","Viernes","Sábado","Domingo")</x:f>
        <x:v>Sábado</x:v>
      </x:c>
      <x:c r="C2014" t="str">
        <x:f>IF(COUNTIF(FERIADOS!$A$2:$A$250,A2014)&gt;0,"SÍ","NO")</x:f>
        <x:v>NO</x:v>
      </x:c>
      <x:c r="D2014" t="str">
        <x:f>IF(AND(WEEKDAY(A2014,2)&lt;=5,C2014="NO"),"SÍ","NO")</x:f>
        <x:v>NO</x:v>
      </x:c>
      <x:c r="E2014" s="2" t="n">
        <x:f>WORKDAY.INTL(A2014-1,1,1,FERIADOS!$A$2:$A$250)</x:f>
        <x:v>47672</x:v>
      </x:c>
      <x:c r="F2014" t="str">
        <x:f>IF(E2014&gt;=WORKDAY.INTL(EOMONTH(E2014,0)+1,-2,1,FERIADOS!$A$2:$A$250),"SÍ","NO")</x:f>
        <x:v>NO</x:v>
      </x:c>
      <x:c r="G2014" s="2" t="n">
        <x:f>IF(F2014="SÍ",EOMONTH(E2014,0)+1,DATE(YEAR(E2014),MONTH(E2014),1))</x:f>
        <x:v>47665</x:v>
      </x:c>
      <x:c r="H2014" t="str">
        <x:f>IF(D2014="NO",IF(C2014="SÍ","FERIADO","FIN DE SEMANA"),"LABORABLE")&amp;IF(F2014="SÍ"," + CIERRE","")</x:f>
        <x:v>FIN DE SEMANA</x:v>
      </x:c>
      <x:c r="I2014" t="str">
        <x:f>TEXT(G2014,"yyyy-mm")</x:f>
        <x:v>2030-07</x:v>
      </x:c>
    </x:row>
    <x:row r="2015">
      <x:c r="A2015" s="2" t="n">
        <x:v>47671</x:v>
      </x:c>
      <x:c r="B2015" t="str">
        <x:f>CHOOSE(WEEKDAY(A2015,2),"Lunes","Martes","Miércoles","Jueves","Viernes","Sábado","Domingo")</x:f>
        <x:v>Domingo</x:v>
      </x:c>
      <x:c r="C2015" t="str">
        <x:f>IF(COUNTIF(FERIADOS!$A$2:$A$250,A2015)&gt;0,"SÍ","NO")</x:f>
        <x:v>NO</x:v>
      </x:c>
      <x:c r="D2015" t="str">
        <x:f>IF(AND(WEEKDAY(A2015,2)&lt;=5,C2015="NO"),"SÍ","NO")</x:f>
        <x:v>NO</x:v>
      </x:c>
      <x:c r="E2015" s="2" t="n">
        <x:f>WORKDAY.INTL(A2015-1,1,1,FERIADOS!$A$2:$A$250)</x:f>
        <x:v>47672</x:v>
      </x:c>
      <x:c r="F2015" t="str">
        <x:f>IF(E2015&gt;=WORKDAY.INTL(EOMONTH(E2015,0)+1,-2,1,FERIADOS!$A$2:$A$250),"SÍ","NO")</x:f>
        <x:v>NO</x:v>
      </x:c>
      <x:c r="G2015" s="2" t="n">
        <x:f>IF(F2015="SÍ",EOMONTH(E2015,0)+1,DATE(YEAR(E2015),MONTH(E2015),1))</x:f>
        <x:v>47665</x:v>
      </x:c>
      <x:c r="H2015" t="str">
        <x:f>IF(D2015="NO",IF(C2015="SÍ","FERIADO","FIN DE SEMANA"),"LABORABLE")&amp;IF(F2015="SÍ"," + CIERRE","")</x:f>
        <x:v>FIN DE SEMANA</x:v>
      </x:c>
      <x:c r="I2015" t="str">
        <x:f>TEXT(G2015,"yyyy-mm")</x:f>
        <x:v>2030-07</x:v>
      </x:c>
    </x:row>
    <x:row r="2016">
      <x:c r="A2016" s="2" t="n">
        <x:v>47672</x:v>
      </x:c>
      <x:c r="B2016" t="str">
        <x:f>CHOOSE(WEEKDAY(A2016,2),"Lunes","Martes","Miércoles","Jueves","Viernes","Sábado","Domingo")</x:f>
        <x:v>Lunes</x:v>
      </x:c>
      <x:c r="C2016" t="str">
        <x:f>IF(COUNTIF(FERIADOS!$A$2:$A$250,A2016)&gt;0,"SÍ","NO")</x:f>
        <x:v>NO</x:v>
      </x:c>
      <x:c r="D2016" t="str">
        <x:f>IF(AND(WEEKDAY(A2016,2)&lt;=5,C2016="NO"),"SÍ","NO")</x:f>
        <x:v>SÍ</x:v>
      </x:c>
      <x:c r="E2016" s="2" t="n">
        <x:f>WORKDAY.INTL(A2016-1,1,1,FERIADOS!$A$2:$A$250)</x:f>
        <x:v>47672</x:v>
      </x:c>
      <x:c r="F2016" t="str">
        <x:f>IF(E2016&gt;=WORKDAY.INTL(EOMONTH(E2016,0)+1,-2,1,FERIADOS!$A$2:$A$250),"SÍ","NO")</x:f>
        <x:v>NO</x:v>
      </x:c>
      <x:c r="G2016" s="2" t="n">
        <x:f>IF(F2016="SÍ",EOMONTH(E2016,0)+1,DATE(YEAR(E2016),MONTH(E2016),1))</x:f>
        <x:v>47665</x:v>
      </x:c>
      <x:c r="H2016" t="str">
        <x:f>IF(D2016="NO",IF(C2016="SÍ","FERIADO","FIN DE SEMANA"),"LABORABLE")&amp;IF(F2016="SÍ"," + CIERRE","")</x:f>
        <x:v>LABORABLE</x:v>
      </x:c>
      <x:c r="I2016" t="str">
        <x:f>TEXT(G2016,"yyyy-mm")</x:f>
        <x:v>2030-07</x:v>
      </x:c>
    </x:row>
    <x:row r="2017">
      <x:c r="A2017" s="2" t="n">
        <x:v>47673</x:v>
      </x:c>
      <x:c r="B2017" t="str">
        <x:f>CHOOSE(WEEKDAY(A2017,2),"Lunes","Martes","Miércoles","Jueves","Viernes","Sábado","Domingo")</x:f>
        <x:v>Martes</x:v>
      </x:c>
      <x:c r="C2017" t="str">
        <x:f>IF(COUNTIF(FERIADOS!$A$2:$A$250,A2017)&gt;0,"SÍ","NO")</x:f>
        <x:v>NO</x:v>
      </x:c>
      <x:c r="D2017" t="str">
        <x:f>IF(AND(WEEKDAY(A2017,2)&lt;=5,C2017="NO"),"SÍ","NO")</x:f>
        <x:v>SÍ</x:v>
      </x:c>
      <x:c r="E2017" s="2" t="n">
        <x:f>WORKDAY.INTL(A2017-1,1,1,FERIADOS!$A$2:$A$250)</x:f>
        <x:v>47673</x:v>
      </x:c>
      <x:c r="F2017" t="str">
        <x:f>IF(E2017&gt;=WORKDAY.INTL(EOMONTH(E2017,0)+1,-2,1,FERIADOS!$A$2:$A$250),"SÍ","NO")</x:f>
        <x:v>NO</x:v>
      </x:c>
      <x:c r="G2017" s="2" t="n">
        <x:f>IF(F2017="SÍ",EOMONTH(E2017,0)+1,DATE(YEAR(E2017),MONTH(E2017),1))</x:f>
        <x:v>47665</x:v>
      </x:c>
      <x:c r="H2017" t="str">
        <x:f>IF(D2017="NO",IF(C2017="SÍ","FERIADO","FIN DE SEMANA"),"LABORABLE")&amp;IF(F2017="SÍ"," + CIERRE","")</x:f>
        <x:v>LABORABLE</x:v>
      </x:c>
      <x:c r="I2017" t="str">
        <x:f>TEXT(G2017,"yyyy-mm")</x:f>
        <x:v>2030-07</x:v>
      </x:c>
    </x:row>
    <x:row r="2018">
      <x:c r="A2018" s="2" t="n">
        <x:v>47674</x:v>
      </x:c>
      <x:c r="B2018" t="str">
        <x:f>CHOOSE(WEEKDAY(A2018,2),"Lunes","Martes","Miércoles","Jueves","Viernes","Sábado","Domingo")</x:f>
        <x:v>Miércoles</x:v>
      </x:c>
      <x:c r="C2018" t="str">
        <x:f>IF(COUNTIF(FERIADOS!$A$2:$A$250,A2018)&gt;0,"SÍ","NO")</x:f>
        <x:v>NO</x:v>
      </x:c>
      <x:c r="D2018" t="str">
        <x:f>IF(AND(WEEKDAY(A2018,2)&lt;=5,C2018="NO"),"SÍ","NO")</x:f>
        <x:v>SÍ</x:v>
      </x:c>
      <x:c r="E2018" s="2" t="n">
        <x:f>WORKDAY.INTL(A2018-1,1,1,FERIADOS!$A$2:$A$250)</x:f>
        <x:v>47674</x:v>
      </x:c>
      <x:c r="F2018" t="str">
        <x:f>IF(E2018&gt;=WORKDAY.INTL(EOMONTH(E2018,0)+1,-2,1,FERIADOS!$A$2:$A$250),"SÍ","NO")</x:f>
        <x:v>NO</x:v>
      </x:c>
      <x:c r="G2018" s="2" t="n">
        <x:f>IF(F2018="SÍ",EOMONTH(E2018,0)+1,DATE(YEAR(E2018),MONTH(E2018),1))</x:f>
        <x:v>47665</x:v>
      </x:c>
      <x:c r="H2018" t="str">
        <x:f>IF(D2018="NO",IF(C2018="SÍ","FERIADO","FIN DE SEMANA"),"LABORABLE")&amp;IF(F2018="SÍ"," + CIERRE","")</x:f>
        <x:v>LABORABLE</x:v>
      </x:c>
      <x:c r="I2018" t="str">
        <x:f>TEXT(G2018,"yyyy-mm")</x:f>
        <x:v>2030-07</x:v>
      </x:c>
    </x:row>
    <x:row r="2019">
      <x:c r="A2019" s="2" t="n">
        <x:v>47675</x:v>
      </x:c>
      <x:c r="B2019" t="str">
        <x:f>CHOOSE(WEEKDAY(A2019,2),"Lunes","Martes","Miércoles","Jueves","Viernes","Sábado","Domingo")</x:f>
        <x:v>Jueves</x:v>
      </x:c>
      <x:c r="C2019" t="str">
        <x:f>IF(COUNTIF(FERIADOS!$A$2:$A$250,A2019)&gt;0,"SÍ","NO")</x:f>
        <x:v>NO</x:v>
      </x:c>
      <x:c r="D2019" t="str">
        <x:f>IF(AND(WEEKDAY(A2019,2)&lt;=5,C2019="NO"),"SÍ","NO")</x:f>
        <x:v>SÍ</x:v>
      </x:c>
      <x:c r="E2019" s="2" t="n">
        <x:f>WORKDAY.INTL(A2019-1,1,1,FERIADOS!$A$2:$A$250)</x:f>
        <x:v>47675</x:v>
      </x:c>
      <x:c r="F2019" t="str">
        <x:f>IF(E2019&gt;=WORKDAY.INTL(EOMONTH(E2019,0)+1,-2,1,FERIADOS!$A$2:$A$250),"SÍ","NO")</x:f>
        <x:v>NO</x:v>
      </x:c>
      <x:c r="G2019" s="2" t="n">
        <x:f>IF(F2019="SÍ",EOMONTH(E2019,0)+1,DATE(YEAR(E2019),MONTH(E2019),1))</x:f>
        <x:v>47665</x:v>
      </x:c>
      <x:c r="H2019" t="str">
        <x:f>IF(D2019="NO",IF(C2019="SÍ","FERIADO","FIN DE SEMANA"),"LABORABLE")&amp;IF(F2019="SÍ"," + CIERRE","")</x:f>
        <x:v>LABORABLE</x:v>
      </x:c>
      <x:c r="I2019" t="str">
        <x:f>TEXT(G2019,"yyyy-mm")</x:f>
        <x:v>2030-07</x:v>
      </x:c>
    </x:row>
    <x:row r="2020">
      <x:c r="A2020" s="2" t="n">
        <x:v>47676</x:v>
      </x:c>
      <x:c r="B2020" t="str">
        <x:f>CHOOSE(WEEKDAY(A2020,2),"Lunes","Martes","Miércoles","Jueves","Viernes","Sábado","Domingo")</x:f>
        <x:v>Viernes</x:v>
      </x:c>
      <x:c r="C2020" t="str">
        <x:f>IF(COUNTIF(FERIADOS!$A$2:$A$250,A2020)&gt;0,"SÍ","NO")</x:f>
        <x:v>NO</x:v>
      </x:c>
      <x:c r="D2020" t="str">
        <x:f>IF(AND(WEEKDAY(A2020,2)&lt;=5,C2020="NO"),"SÍ","NO")</x:f>
        <x:v>SÍ</x:v>
      </x:c>
      <x:c r="E2020" s="2" t="n">
        <x:f>WORKDAY.INTL(A2020-1,1,1,FERIADOS!$A$2:$A$250)</x:f>
        <x:v>47676</x:v>
      </x:c>
      <x:c r="F2020" t="str">
        <x:f>IF(E2020&gt;=WORKDAY.INTL(EOMONTH(E2020,0)+1,-2,1,FERIADOS!$A$2:$A$250),"SÍ","NO")</x:f>
        <x:v>NO</x:v>
      </x:c>
      <x:c r="G2020" s="2" t="n">
        <x:f>IF(F2020="SÍ",EOMONTH(E2020,0)+1,DATE(YEAR(E2020),MONTH(E2020),1))</x:f>
        <x:v>47665</x:v>
      </x:c>
      <x:c r="H2020" t="str">
        <x:f>IF(D2020="NO",IF(C2020="SÍ","FERIADO","FIN DE SEMANA"),"LABORABLE")&amp;IF(F2020="SÍ"," + CIERRE","")</x:f>
        <x:v>LABORABLE</x:v>
      </x:c>
      <x:c r="I2020" t="str">
        <x:f>TEXT(G2020,"yyyy-mm")</x:f>
        <x:v>2030-07</x:v>
      </x:c>
    </x:row>
    <x:row r="2021">
      <x:c r="A2021" s="2" t="n">
        <x:v>47677</x:v>
      </x:c>
      <x:c r="B2021" t="str">
        <x:f>CHOOSE(WEEKDAY(A2021,2),"Lunes","Martes","Miércoles","Jueves","Viernes","Sábado","Domingo")</x:f>
        <x:v>Sábado</x:v>
      </x:c>
      <x:c r="C2021" t="str">
        <x:f>IF(COUNTIF(FERIADOS!$A$2:$A$250,A2021)&gt;0,"SÍ","NO")</x:f>
        <x:v>NO</x:v>
      </x:c>
      <x:c r="D2021" t="str">
        <x:f>IF(AND(WEEKDAY(A2021,2)&lt;=5,C2021="NO"),"SÍ","NO")</x:f>
        <x:v>NO</x:v>
      </x:c>
      <x:c r="E2021" s="2" t="n">
        <x:f>WORKDAY.INTL(A2021-1,1,1,FERIADOS!$A$2:$A$250)</x:f>
        <x:v>47679</x:v>
      </x:c>
      <x:c r="F2021" t="str">
        <x:f>IF(E2021&gt;=WORKDAY.INTL(EOMONTH(E2021,0)+1,-2,1,FERIADOS!$A$2:$A$250),"SÍ","NO")</x:f>
        <x:v>NO</x:v>
      </x:c>
      <x:c r="G2021" s="2" t="n">
        <x:f>IF(F2021="SÍ",EOMONTH(E2021,0)+1,DATE(YEAR(E2021),MONTH(E2021),1))</x:f>
        <x:v>47665</x:v>
      </x:c>
      <x:c r="H2021" t="str">
        <x:f>IF(D2021="NO",IF(C2021="SÍ","FERIADO","FIN DE SEMANA"),"LABORABLE")&amp;IF(F2021="SÍ"," + CIERRE","")</x:f>
        <x:v>FIN DE SEMANA</x:v>
      </x:c>
      <x:c r="I2021" t="str">
        <x:f>TEXT(G2021,"yyyy-mm")</x:f>
        <x:v>2030-07</x:v>
      </x:c>
    </x:row>
    <x:row r="2022">
      <x:c r="A2022" s="2" t="n">
        <x:v>47678</x:v>
      </x:c>
      <x:c r="B2022" t="str">
        <x:f>CHOOSE(WEEKDAY(A2022,2),"Lunes","Martes","Miércoles","Jueves","Viernes","Sábado","Domingo")</x:f>
        <x:v>Domingo</x:v>
      </x:c>
      <x:c r="C2022" t="str">
        <x:f>IF(COUNTIF(FERIADOS!$A$2:$A$250,A2022)&gt;0,"SÍ","NO")</x:f>
        <x:v>NO</x:v>
      </x:c>
      <x:c r="D2022" t="str">
        <x:f>IF(AND(WEEKDAY(A2022,2)&lt;=5,C2022="NO"),"SÍ","NO")</x:f>
        <x:v>NO</x:v>
      </x:c>
      <x:c r="E2022" s="2" t="n">
        <x:f>WORKDAY.INTL(A2022-1,1,1,FERIADOS!$A$2:$A$250)</x:f>
        <x:v>47679</x:v>
      </x:c>
      <x:c r="F2022" t="str">
        <x:f>IF(E2022&gt;=WORKDAY.INTL(EOMONTH(E2022,0)+1,-2,1,FERIADOS!$A$2:$A$250),"SÍ","NO")</x:f>
        <x:v>NO</x:v>
      </x:c>
      <x:c r="G2022" s="2" t="n">
        <x:f>IF(F2022="SÍ",EOMONTH(E2022,0)+1,DATE(YEAR(E2022),MONTH(E2022),1))</x:f>
        <x:v>47665</x:v>
      </x:c>
      <x:c r="H2022" t="str">
        <x:f>IF(D2022="NO",IF(C2022="SÍ","FERIADO","FIN DE SEMANA"),"LABORABLE")&amp;IF(F2022="SÍ"," + CIERRE","")</x:f>
        <x:v>FIN DE SEMANA</x:v>
      </x:c>
      <x:c r="I2022" t="str">
        <x:f>TEXT(G2022,"yyyy-mm")</x:f>
        <x:v>2030-07</x:v>
      </x:c>
    </x:row>
    <x:row r="2023">
      <x:c r="A2023" s="2" t="n">
        <x:v>47679</x:v>
      </x:c>
      <x:c r="B2023" t="str">
        <x:f>CHOOSE(WEEKDAY(A2023,2),"Lunes","Martes","Miércoles","Jueves","Viernes","Sábado","Domingo")</x:f>
        <x:v>Lunes</x:v>
      </x:c>
      <x:c r="C2023" t="str">
        <x:f>IF(COUNTIF(FERIADOS!$A$2:$A$250,A2023)&gt;0,"SÍ","NO")</x:f>
        <x:v>NO</x:v>
      </x:c>
      <x:c r="D2023" t="str">
        <x:f>IF(AND(WEEKDAY(A2023,2)&lt;=5,C2023="NO"),"SÍ","NO")</x:f>
        <x:v>SÍ</x:v>
      </x:c>
      <x:c r="E2023" s="2" t="n">
        <x:f>WORKDAY.INTL(A2023-1,1,1,FERIADOS!$A$2:$A$250)</x:f>
        <x:v>47679</x:v>
      </x:c>
      <x:c r="F2023" t="str">
        <x:f>IF(E2023&gt;=WORKDAY.INTL(EOMONTH(E2023,0)+1,-2,1,FERIADOS!$A$2:$A$250),"SÍ","NO")</x:f>
        <x:v>NO</x:v>
      </x:c>
      <x:c r="G2023" s="2" t="n">
        <x:f>IF(F2023="SÍ",EOMONTH(E2023,0)+1,DATE(YEAR(E2023),MONTH(E2023),1))</x:f>
        <x:v>47665</x:v>
      </x:c>
      <x:c r="H2023" t="str">
        <x:f>IF(D2023="NO",IF(C2023="SÍ","FERIADO","FIN DE SEMANA"),"LABORABLE")&amp;IF(F2023="SÍ"," + CIERRE","")</x:f>
        <x:v>LABORABLE</x:v>
      </x:c>
      <x:c r="I2023" t="str">
        <x:f>TEXT(G2023,"yyyy-mm")</x:f>
        <x:v>2030-07</x:v>
      </x:c>
    </x:row>
    <x:row r="2024">
      <x:c r="A2024" s="2" t="n">
        <x:v>47680</x:v>
      </x:c>
      <x:c r="B2024" t="str">
        <x:f>CHOOSE(WEEKDAY(A2024,2),"Lunes","Martes","Miércoles","Jueves","Viernes","Sábado","Domingo")</x:f>
        <x:v>Martes</x:v>
      </x:c>
      <x:c r="C2024" t="str">
        <x:f>IF(COUNTIF(FERIADOS!$A$2:$A$250,A2024)&gt;0,"SÍ","NO")</x:f>
        <x:v>NO</x:v>
      </x:c>
      <x:c r="D2024" t="str">
        <x:f>IF(AND(WEEKDAY(A2024,2)&lt;=5,C2024="NO"),"SÍ","NO")</x:f>
        <x:v>SÍ</x:v>
      </x:c>
      <x:c r="E2024" s="2" t="n">
        <x:f>WORKDAY.INTL(A2024-1,1,1,FERIADOS!$A$2:$A$250)</x:f>
        <x:v>47680</x:v>
      </x:c>
      <x:c r="F2024" t="str">
        <x:f>IF(E2024&gt;=WORKDAY.INTL(EOMONTH(E2024,0)+1,-2,1,FERIADOS!$A$2:$A$250),"SÍ","NO")</x:f>
        <x:v>NO</x:v>
      </x:c>
      <x:c r="G2024" s="2" t="n">
        <x:f>IF(F2024="SÍ",EOMONTH(E2024,0)+1,DATE(YEAR(E2024),MONTH(E2024),1))</x:f>
        <x:v>47665</x:v>
      </x:c>
      <x:c r="H2024" t="str">
        <x:f>IF(D2024="NO",IF(C2024="SÍ","FERIADO","FIN DE SEMANA"),"LABORABLE")&amp;IF(F2024="SÍ"," + CIERRE","")</x:f>
        <x:v>LABORABLE</x:v>
      </x:c>
      <x:c r="I2024" t="str">
        <x:f>TEXT(G2024,"yyyy-mm")</x:f>
        <x:v>2030-07</x:v>
      </x:c>
    </x:row>
    <x:row r="2025">
      <x:c r="A2025" s="2" t="n">
        <x:v>47681</x:v>
      </x:c>
      <x:c r="B2025" t="str">
        <x:f>CHOOSE(WEEKDAY(A2025,2),"Lunes","Martes","Miércoles","Jueves","Viernes","Sábado","Domingo")</x:f>
        <x:v>Miércoles</x:v>
      </x:c>
      <x:c r="C2025" t="str">
        <x:f>IF(COUNTIF(FERIADOS!$A$2:$A$250,A2025)&gt;0,"SÍ","NO")</x:f>
        <x:v>NO</x:v>
      </x:c>
      <x:c r="D2025" t="str">
        <x:f>IF(AND(WEEKDAY(A2025,2)&lt;=5,C2025="NO"),"SÍ","NO")</x:f>
        <x:v>SÍ</x:v>
      </x:c>
      <x:c r="E2025" s="2" t="n">
        <x:f>WORKDAY.INTL(A2025-1,1,1,FERIADOS!$A$2:$A$250)</x:f>
        <x:v>47681</x:v>
      </x:c>
      <x:c r="F2025" t="str">
        <x:f>IF(E2025&gt;=WORKDAY.INTL(EOMONTH(E2025,0)+1,-2,1,FERIADOS!$A$2:$A$250),"SÍ","NO")</x:f>
        <x:v>NO</x:v>
      </x:c>
      <x:c r="G2025" s="2" t="n">
        <x:f>IF(F2025="SÍ",EOMONTH(E2025,0)+1,DATE(YEAR(E2025),MONTH(E2025),1))</x:f>
        <x:v>47665</x:v>
      </x:c>
      <x:c r="H2025" t="str">
        <x:f>IF(D2025="NO",IF(C2025="SÍ","FERIADO","FIN DE SEMANA"),"LABORABLE")&amp;IF(F2025="SÍ"," + CIERRE","")</x:f>
        <x:v>LABORABLE</x:v>
      </x:c>
      <x:c r="I2025" t="str">
        <x:f>TEXT(G2025,"yyyy-mm")</x:f>
        <x:v>2030-07</x:v>
      </x:c>
    </x:row>
    <x:row r="2026">
      <x:c r="A2026" s="2" t="n">
        <x:v>47682</x:v>
      </x:c>
      <x:c r="B2026" t="str">
        <x:f>CHOOSE(WEEKDAY(A2026,2),"Lunes","Martes","Miércoles","Jueves","Viernes","Sábado","Domingo")</x:f>
        <x:v>Jueves</x:v>
      </x:c>
      <x:c r="C2026" t="str">
        <x:f>IF(COUNTIF(FERIADOS!$A$2:$A$250,A2026)&gt;0,"SÍ","NO")</x:f>
        <x:v>NO</x:v>
      </x:c>
      <x:c r="D2026" t="str">
        <x:f>IF(AND(WEEKDAY(A2026,2)&lt;=5,C2026="NO"),"SÍ","NO")</x:f>
        <x:v>SÍ</x:v>
      </x:c>
      <x:c r="E2026" s="2" t="n">
        <x:f>WORKDAY.INTL(A2026-1,1,1,FERIADOS!$A$2:$A$250)</x:f>
        <x:v>47682</x:v>
      </x:c>
      <x:c r="F2026" t="str">
        <x:f>IF(E2026&gt;=WORKDAY.INTL(EOMONTH(E2026,0)+1,-2,1,FERIADOS!$A$2:$A$250),"SÍ","NO")</x:f>
        <x:v>NO</x:v>
      </x:c>
      <x:c r="G2026" s="2" t="n">
        <x:f>IF(F2026="SÍ",EOMONTH(E2026,0)+1,DATE(YEAR(E2026),MONTH(E2026),1))</x:f>
        <x:v>47665</x:v>
      </x:c>
      <x:c r="H2026" t="str">
        <x:f>IF(D2026="NO",IF(C2026="SÍ","FERIADO","FIN DE SEMANA"),"LABORABLE")&amp;IF(F2026="SÍ"," + CIERRE","")</x:f>
        <x:v>LABORABLE</x:v>
      </x:c>
      <x:c r="I2026" t="str">
        <x:f>TEXT(G2026,"yyyy-mm")</x:f>
        <x:v>2030-07</x:v>
      </x:c>
    </x:row>
    <x:row r="2027">
      <x:c r="A2027" s="2" t="n">
        <x:v>47683</x:v>
      </x:c>
      <x:c r="B2027" t="str">
        <x:f>CHOOSE(WEEKDAY(A2027,2),"Lunes","Martes","Miércoles","Jueves","Viernes","Sábado","Domingo")</x:f>
        <x:v>Viernes</x:v>
      </x:c>
      <x:c r="C2027" t="str">
        <x:f>IF(COUNTIF(FERIADOS!$A$2:$A$250,A2027)&gt;0,"SÍ","NO")</x:f>
        <x:v>NO</x:v>
      </x:c>
      <x:c r="D2027" t="str">
        <x:f>IF(AND(WEEKDAY(A2027,2)&lt;=5,C2027="NO"),"SÍ","NO")</x:f>
        <x:v>SÍ</x:v>
      </x:c>
      <x:c r="E2027" s="2" t="n">
        <x:f>WORKDAY.INTL(A2027-1,1,1,FERIADOS!$A$2:$A$250)</x:f>
        <x:v>47683</x:v>
      </x:c>
      <x:c r="F2027" t="str">
        <x:f>IF(E2027&gt;=WORKDAY.INTL(EOMONTH(E2027,0)+1,-2,1,FERIADOS!$A$2:$A$250),"SÍ","NO")</x:f>
        <x:v>NO</x:v>
      </x:c>
      <x:c r="G2027" s="2" t="n">
        <x:f>IF(F2027="SÍ",EOMONTH(E2027,0)+1,DATE(YEAR(E2027),MONTH(E2027),1))</x:f>
        <x:v>47665</x:v>
      </x:c>
      <x:c r="H2027" t="str">
        <x:f>IF(D2027="NO",IF(C2027="SÍ","FERIADO","FIN DE SEMANA"),"LABORABLE")&amp;IF(F2027="SÍ"," + CIERRE","")</x:f>
        <x:v>LABORABLE</x:v>
      </x:c>
      <x:c r="I2027" t="str">
        <x:f>TEXT(G2027,"yyyy-mm")</x:f>
        <x:v>2030-07</x:v>
      </x:c>
    </x:row>
    <x:row r="2028">
      <x:c r="A2028" s="2" t="n">
        <x:v>47684</x:v>
      </x:c>
      <x:c r="B2028" t="str">
        <x:f>CHOOSE(WEEKDAY(A2028,2),"Lunes","Martes","Miércoles","Jueves","Viernes","Sábado","Domingo")</x:f>
        <x:v>Sábado</x:v>
      </x:c>
      <x:c r="C2028" t="str">
        <x:f>IF(COUNTIF(FERIADOS!$A$2:$A$250,A2028)&gt;0,"SÍ","NO")</x:f>
        <x:v>NO</x:v>
      </x:c>
      <x:c r="D2028" t="str">
        <x:f>IF(AND(WEEKDAY(A2028,2)&lt;=5,C2028="NO"),"SÍ","NO")</x:f>
        <x:v>NO</x:v>
      </x:c>
      <x:c r="E2028" s="2" t="n">
        <x:f>WORKDAY.INTL(A2028-1,1,1,FERIADOS!$A$2:$A$250)</x:f>
        <x:v>47686</x:v>
      </x:c>
      <x:c r="F2028" t="str">
        <x:f>IF(E2028&gt;=WORKDAY.INTL(EOMONTH(E2028,0)+1,-2,1,FERIADOS!$A$2:$A$250),"SÍ","NO")</x:f>
        <x:v>NO</x:v>
      </x:c>
      <x:c r="G2028" s="2" t="n">
        <x:f>IF(F2028="SÍ",EOMONTH(E2028,0)+1,DATE(YEAR(E2028),MONTH(E2028),1))</x:f>
        <x:v>47665</x:v>
      </x:c>
      <x:c r="H2028" t="str">
        <x:f>IF(D2028="NO",IF(C2028="SÍ","FERIADO","FIN DE SEMANA"),"LABORABLE")&amp;IF(F2028="SÍ"," + CIERRE","")</x:f>
        <x:v>FIN DE SEMANA</x:v>
      </x:c>
      <x:c r="I2028" t="str">
        <x:f>TEXT(G2028,"yyyy-mm")</x:f>
        <x:v>2030-07</x:v>
      </x:c>
    </x:row>
    <x:row r="2029">
      <x:c r="A2029" s="2" t="n">
        <x:v>47685</x:v>
      </x:c>
      <x:c r="B2029" t="str">
        <x:f>CHOOSE(WEEKDAY(A2029,2),"Lunes","Martes","Miércoles","Jueves","Viernes","Sábado","Domingo")</x:f>
        <x:v>Domingo</x:v>
      </x:c>
      <x:c r="C2029" t="str">
        <x:f>IF(COUNTIF(FERIADOS!$A$2:$A$250,A2029)&gt;0,"SÍ","NO")</x:f>
        <x:v>NO</x:v>
      </x:c>
      <x:c r="D2029" t="str">
        <x:f>IF(AND(WEEKDAY(A2029,2)&lt;=5,C2029="NO"),"SÍ","NO")</x:f>
        <x:v>NO</x:v>
      </x:c>
      <x:c r="E2029" s="2" t="n">
        <x:f>WORKDAY.INTL(A2029-1,1,1,FERIADOS!$A$2:$A$250)</x:f>
        <x:v>47686</x:v>
      </x:c>
      <x:c r="F2029" t="str">
        <x:f>IF(E2029&gt;=WORKDAY.INTL(EOMONTH(E2029,0)+1,-2,1,FERIADOS!$A$2:$A$250),"SÍ","NO")</x:f>
        <x:v>NO</x:v>
      </x:c>
      <x:c r="G2029" s="2" t="n">
        <x:f>IF(F2029="SÍ",EOMONTH(E2029,0)+1,DATE(YEAR(E2029),MONTH(E2029),1))</x:f>
        <x:v>47665</x:v>
      </x:c>
      <x:c r="H2029" t="str">
        <x:f>IF(D2029="NO",IF(C2029="SÍ","FERIADO","FIN DE SEMANA"),"LABORABLE")&amp;IF(F2029="SÍ"," + CIERRE","")</x:f>
        <x:v>FIN DE SEMANA</x:v>
      </x:c>
      <x:c r="I2029" t="str">
        <x:f>TEXT(G2029,"yyyy-mm")</x:f>
        <x:v>2030-07</x:v>
      </x:c>
    </x:row>
    <x:row r="2030">
      <x:c r="A2030" s="2" t="n">
        <x:v>47686</x:v>
      </x:c>
      <x:c r="B2030" t="str">
        <x:f>CHOOSE(WEEKDAY(A2030,2),"Lunes","Martes","Miércoles","Jueves","Viernes","Sábado","Domingo")</x:f>
        <x:v>Lunes</x:v>
      </x:c>
      <x:c r="C2030" t="str">
        <x:f>IF(COUNTIF(FERIADOS!$A$2:$A$250,A2030)&gt;0,"SÍ","NO")</x:f>
        <x:v>NO</x:v>
      </x:c>
      <x:c r="D2030" t="str">
        <x:f>IF(AND(WEEKDAY(A2030,2)&lt;=5,C2030="NO"),"SÍ","NO")</x:f>
        <x:v>SÍ</x:v>
      </x:c>
      <x:c r="E2030" s="2" t="n">
        <x:f>WORKDAY.INTL(A2030-1,1,1,FERIADOS!$A$2:$A$250)</x:f>
        <x:v>47686</x:v>
      </x:c>
      <x:c r="F2030" t="str">
        <x:f>IF(E2030&gt;=WORKDAY.INTL(EOMONTH(E2030,0)+1,-2,1,FERIADOS!$A$2:$A$250),"SÍ","NO")</x:f>
        <x:v>NO</x:v>
      </x:c>
      <x:c r="G2030" s="2" t="n">
        <x:f>IF(F2030="SÍ",EOMONTH(E2030,0)+1,DATE(YEAR(E2030),MONTH(E2030),1))</x:f>
        <x:v>47665</x:v>
      </x:c>
      <x:c r="H2030" t="str">
        <x:f>IF(D2030="NO",IF(C2030="SÍ","FERIADO","FIN DE SEMANA"),"LABORABLE")&amp;IF(F2030="SÍ"," + CIERRE","")</x:f>
        <x:v>LABORABLE</x:v>
      </x:c>
      <x:c r="I2030" t="str">
        <x:f>TEXT(G2030,"yyyy-mm")</x:f>
        <x:v>2030-07</x:v>
      </x:c>
    </x:row>
    <x:row r="2031">
      <x:c r="A2031" s="2" t="n">
        <x:v>47687</x:v>
      </x:c>
      <x:c r="B2031" t="str">
        <x:f>CHOOSE(WEEKDAY(A2031,2),"Lunes","Martes","Miércoles","Jueves","Viernes","Sábado","Domingo")</x:f>
        <x:v>Martes</x:v>
      </x:c>
      <x:c r="C2031" t="str">
        <x:f>IF(COUNTIF(FERIADOS!$A$2:$A$250,A2031)&gt;0,"SÍ","NO")</x:f>
        <x:v>NO</x:v>
      </x:c>
      <x:c r="D2031" t="str">
        <x:f>IF(AND(WEEKDAY(A2031,2)&lt;=5,C2031="NO"),"SÍ","NO")</x:f>
        <x:v>SÍ</x:v>
      </x:c>
      <x:c r="E2031" s="2" t="n">
        <x:f>WORKDAY.INTL(A2031-1,1,1,FERIADOS!$A$2:$A$250)</x:f>
        <x:v>47687</x:v>
      </x:c>
      <x:c r="F2031" t="str">
        <x:f>IF(E2031&gt;=WORKDAY.INTL(EOMONTH(E2031,0)+1,-2,1,FERIADOS!$A$2:$A$250),"SÍ","NO")</x:f>
        <x:v>NO</x:v>
      </x:c>
      <x:c r="G2031" s="2" t="n">
        <x:f>IF(F2031="SÍ",EOMONTH(E2031,0)+1,DATE(YEAR(E2031),MONTH(E2031),1))</x:f>
        <x:v>47665</x:v>
      </x:c>
      <x:c r="H2031" t="str">
        <x:f>IF(D2031="NO",IF(C2031="SÍ","FERIADO","FIN DE SEMANA"),"LABORABLE")&amp;IF(F2031="SÍ"," + CIERRE","")</x:f>
        <x:v>LABORABLE</x:v>
      </x:c>
      <x:c r="I2031" t="str">
        <x:f>TEXT(G2031,"yyyy-mm")</x:f>
        <x:v>2030-07</x:v>
      </x:c>
    </x:row>
    <x:row r="2032">
      <x:c r="A2032" s="2" t="n">
        <x:v>47688</x:v>
      </x:c>
      <x:c r="B2032" t="str">
        <x:f>CHOOSE(WEEKDAY(A2032,2),"Lunes","Martes","Miércoles","Jueves","Viernes","Sábado","Domingo")</x:f>
        <x:v>Miércoles</x:v>
      </x:c>
      <x:c r="C2032" t="str">
        <x:f>IF(COUNTIF(FERIADOS!$A$2:$A$250,A2032)&gt;0,"SÍ","NO")</x:f>
        <x:v>NO</x:v>
      </x:c>
      <x:c r="D2032" t="str">
        <x:f>IF(AND(WEEKDAY(A2032,2)&lt;=5,C2032="NO"),"SÍ","NO")</x:f>
        <x:v>SÍ</x:v>
      </x:c>
      <x:c r="E2032" s="2" t="n">
        <x:f>WORKDAY.INTL(A2032-1,1,1,FERIADOS!$A$2:$A$250)</x:f>
        <x:v>47688</x:v>
      </x:c>
      <x:c r="F2032" t="str">
        <x:f>IF(E2032&gt;=WORKDAY.INTL(EOMONTH(E2032,0)+1,-2,1,FERIADOS!$A$2:$A$250),"SÍ","NO")</x:f>
        <x:v>NO</x:v>
      </x:c>
      <x:c r="G2032" s="2" t="n">
        <x:f>IF(F2032="SÍ",EOMONTH(E2032,0)+1,DATE(YEAR(E2032),MONTH(E2032),1))</x:f>
        <x:v>47665</x:v>
      </x:c>
      <x:c r="H2032" t="str">
        <x:f>IF(D2032="NO",IF(C2032="SÍ","FERIADO","FIN DE SEMANA"),"LABORABLE")&amp;IF(F2032="SÍ"," + CIERRE","")</x:f>
        <x:v>LABORABLE</x:v>
      </x:c>
      <x:c r="I2032" t="str">
        <x:f>TEXT(G2032,"yyyy-mm")</x:f>
        <x:v>2030-07</x:v>
      </x:c>
    </x:row>
    <x:row r="2033">
      <x:c r="A2033" s="2" t="n">
        <x:v>47689</x:v>
      </x:c>
      <x:c r="B2033" t="str">
        <x:f>CHOOSE(WEEKDAY(A2033,2),"Lunes","Martes","Miércoles","Jueves","Viernes","Sábado","Domingo")</x:f>
        <x:v>Jueves</x:v>
      </x:c>
      <x:c r="C2033" t="str">
        <x:f>IF(COUNTIF(FERIADOS!$A$2:$A$250,A2033)&gt;0,"SÍ","NO")</x:f>
        <x:v>NO</x:v>
      </x:c>
      <x:c r="D2033" t="str">
        <x:f>IF(AND(WEEKDAY(A2033,2)&lt;=5,C2033="NO"),"SÍ","NO")</x:f>
        <x:v>SÍ</x:v>
      </x:c>
      <x:c r="E2033" s="2" t="n">
        <x:f>WORKDAY.INTL(A2033-1,1,1,FERIADOS!$A$2:$A$250)</x:f>
        <x:v>47689</x:v>
      </x:c>
      <x:c r="F2033" t="str">
        <x:f>IF(E2033&gt;=WORKDAY.INTL(EOMONTH(E2033,0)+1,-2,1,FERIADOS!$A$2:$A$250),"SÍ","NO")</x:f>
        <x:v>NO</x:v>
      </x:c>
      <x:c r="G2033" s="2" t="n">
        <x:f>IF(F2033="SÍ",EOMONTH(E2033,0)+1,DATE(YEAR(E2033),MONTH(E2033),1))</x:f>
        <x:v>47665</x:v>
      </x:c>
      <x:c r="H2033" t="str">
        <x:f>IF(D2033="NO",IF(C2033="SÍ","FERIADO","FIN DE SEMANA"),"LABORABLE")&amp;IF(F2033="SÍ"," + CIERRE","")</x:f>
        <x:v>LABORABLE</x:v>
      </x:c>
      <x:c r="I2033" t="str">
        <x:f>TEXT(G2033,"yyyy-mm")</x:f>
        <x:v>2030-07</x:v>
      </x:c>
    </x:row>
    <x:row r="2034">
      <x:c r="A2034" s="2" t="n">
        <x:v>47690</x:v>
      </x:c>
      <x:c r="B2034" t="str">
        <x:f>CHOOSE(WEEKDAY(A2034,2),"Lunes","Martes","Miércoles","Jueves","Viernes","Sábado","Domingo")</x:f>
        <x:v>Viernes</x:v>
      </x:c>
      <x:c r="C2034" t="str">
        <x:f>IF(COUNTIF(FERIADOS!$A$2:$A$250,A2034)&gt;0,"SÍ","NO")</x:f>
        <x:v>NO</x:v>
      </x:c>
      <x:c r="D2034" t="str">
        <x:f>IF(AND(WEEKDAY(A2034,2)&lt;=5,C2034="NO"),"SÍ","NO")</x:f>
        <x:v>SÍ</x:v>
      </x:c>
      <x:c r="E2034" s="2" t="n">
        <x:f>WORKDAY.INTL(A2034-1,1,1,FERIADOS!$A$2:$A$250)</x:f>
        <x:v>47690</x:v>
      </x:c>
      <x:c r="F2034" t="str">
        <x:f>IF(E2034&gt;=WORKDAY.INTL(EOMONTH(E2034,0)+1,-2,1,FERIADOS!$A$2:$A$250),"SÍ","NO")</x:f>
        <x:v>NO</x:v>
      </x:c>
      <x:c r="G2034" s="2" t="n">
        <x:f>IF(F2034="SÍ",EOMONTH(E2034,0)+1,DATE(YEAR(E2034),MONTH(E2034),1))</x:f>
        <x:v>47665</x:v>
      </x:c>
      <x:c r="H2034" t="str">
        <x:f>IF(D2034="NO",IF(C2034="SÍ","FERIADO","FIN DE SEMANA"),"LABORABLE")&amp;IF(F2034="SÍ"," + CIERRE","")</x:f>
        <x:v>LABORABLE</x:v>
      </x:c>
      <x:c r="I2034" t="str">
        <x:f>TEXT(G2034,"yyyy-mm")</x:f>
        <x:v>2030-07</x:v>
      </x:c>
    </x:row>
    <x:row r="2035">
      <x:c r="A2035" s="2" t="n">
        <x:v>47691</x:v>
      </x:c>
      <x:c r="B2035" t="str">
        <x:f>CHOOSE(WEEKDAY(A2035,2),"Lunes","Martes","Miércoles","Jueves","Viernes","Sábado","Domingo")</x:f>
        <x:v>Sábado</x:v>
      </x:c>
      <x:c r="C2035" t="str">
        <x:f>IF(COUNTIF(FERIADOS!$A$2:$A$250,A2035)&gt;0,"SÍ","NO")</x:f>
        <x:v>NO</x:v>
      </x:c>
      <x:c r="D2035" t="str">
        <x:f>IF(AND(WEEKDAY(A2035,2)&lt;=5,C2035="NO"),"SÍ","NO")</x:f>
        <x:v>NO</x:v>
      </x:c>
      <x:c r="E2035" s="2" t="n">
        <x:f>WORKDAY.INTL(A2035-1,1,1,FERIADOS!$A$2:$A$250)</x:f>
        <x:v>47693</x:v>
      </x:c>
      <x:c r="F2035" t="str">
        <x:f>IF(E2035&gt;=WORKDAY.INTL(EOMONTH(E2035,0)+1,-2,1,FERIADOS!$A$2:$A$250),"SÍ","NO")</x:f>
        <x:v>NO</x:v>
      </x:c>
      <x:c r="G2035" s="2" t="n">
        <x:f>IF(F2035="SÍ",EOMONTH(E2035,0)+1,DATE(YEAR(E2035),MONTH(E2035),1))</x:f>
        <x:v>47665</x:v>
      </x:c>
      <x:c r="H2035" t="str">
        <x:f>IF(D2035="NO",IF(C2035="SÍ","FERIADO","FIN DE SEMANA"),"LABORABLE")&amp;IF(F2035="SÍ"," + CIERRE","")</x:f>
        <x:v>FIN DE SEMANA</x:v>
      </x:c>
      <x:c r="I2035" t="str">
        <x:f>TEXT(G2035,"yyyy-mm")</x:f>
        <x:v>2030-07</x:v>
      </x:c>
    </x:row>
    <x:row r="2036">
      <x:c r="A2036" s="2" t="n">
        <x:v>47692</x:v>
      </x:c>
      <x:c r="B2036" t="str">
        <x:f>CHOOSE(WEEKDAY(A2036,2),"Lunes","Martes","Miércoles","Jueves","Viernes","Sábado","Domingo")</x:f>
        <x:v>Domingo</x:v>
      </x:c>
      <x:c r="C2036" t="str">
        <x:f>IF(COUNTIF(FERIADOS!$A$2:$A$250,A2036)&gt;0,"SÍ","NO")</x:f>
        <x:v>NO</x:v>
      </x:c>
      <x:c r="D2036" t="str">
        <x:f>IF(AND(WEEKDAY(A2036,2)&lt;=5,C2036="NO"),"SÍ","NO")</x:f>
        <x:v>NO</x:v>
      </x:c>
      <x:c r="E2036" s="2" t="n">
        <x:f>WORKDAY.INTL(A2036-1,1,1,FERIADOS!$A$2:$A$250)</x:f>
        <x:v>47693</x:v>
      </x:c>
      <x:c r="F2036" t="str">
        <x:f>IF(E2036&gt;=WORKDAY.INTL(EOMONTH(E2036,0)+1,-2,1,FERIADOS!$A$2:$A$250),"SÍ","NO")</x:f>
        <x:v>NO</x:v>
      </x:c>
      <x:c r="G2036" s="2" t="n">
        <x:f>IF(F2036="SÍ",EOMONTH(E2036,0)+1,DATE(YEAR(E2036),MONTH(E2036),1))</x:f>
        <x:v>47665</x:v>
      </x:c>
      <x:c r="H2036" t="str">
        <x:f>IF(D2036="NO",IF(C2036="SÍ","FERIADO","FIN DE SEMANA"),"LABORABLE")&amp;IF(F2036="SÍ"," + CIERRE","")</x:f>
        <x:v>FIN DE SEMANA</x:v>
      </x:c>
      <x:c r="I2036" t="str">
        <x:f>TEXT(G2036,"yyyy-mm")</x:f>
        <x:v>2030-07</x:v>
      </x:c>
    </x:row>
    <x:row r="2037">
      <x:c r="A2037" s="2" t="n">
        <x:v>47693</x:v>
      </x:c>
      <x:c r="B2037" t="str">
        <x:f>CHOOSE(WEEKDAY(A2037,2),"Lunes","Martes","Miércoles","Jueves","Viernes","Sábado","Domingo")</x:f>
        <x:v>Lunes</x:v>
      </x:c>
      <x:c r="C2037" t="str">
        <x:f>IF(COUNTIF(FERIADOS!$A$2:$A$250,A2037)&gt;0,"SÍ","NO")</x:f>
        <x:v>NO</x:v>
      </x:c>
      <x:c r="D2037" t="str">
        <x:f>IF(AND(WEEKDAY(A2037,2)&lt;=5,C2037="NO"),"SÍ","NO")</x:f>
        <x:v>SÍ</x:v>
      </x:c>
      <x:c r="E2037" s="2" t="n">
        <x:f>WORKDAY.INTL(A2037-1,1,1,FERIADOS!$A$2:$A$250)</x:f>
        <x:v>47693</x:v>
      </x:c>
      <x:c r="F2037" t="str">
        <x:f>IF(E2037&gt;=WORKDAY.INTL(EOMONTH(E2037,0)+1,-2,1,FERIADOS!$A$2:$A$250),"SÍ","NO")</x:f>
        <x:v>NO</x:v>
      </x:c>
      <x:c r="G2037" s="2" t="n">
        <x:f>IF(F2037="SÍ",EOMONTH(E2037,0)+1,DATE(YEAR(E2037),MONTH(E2037),1))</x:f>
        <x:v>47665</x:v>
      </x:c>
      <x:c r="H2037" t="str">
        <x:f>IF(D2037="NO",IF(C2037="SÍ","FERIADO","FIN DE SEMANA"),"LABORABLE")&amp;IF(F2037="SÍ"," + CIERRE","")</x:f>
        <x:v>LABORABLE</x:v>
      </x:c>
      <x:c r="I2037" t="str">
        <x:f>TEXT(G2037,"yyyy-mm")</x:f>
        <x:v>2030-07</x:v>
      </x:c>
    </x:row>
    <x:row r="2038">
      <x:c r="A2038" s="2" t="n">
        <x:v>47694</x:v>
      </x:c>
      <x:c r="B2038" t="str">
        <x:f>CHOOSE(WEEKDAY(A2038,2),"Lunes","Martes","Miércoles","Jueves","Viernes","Sábado","Domingo")</x:f>
        <x:v>Martes</x:v>
      </x:c>
      <x:c r="C2038" t="str">
        <x:f>IF(COUNTIF(FERIADOS!$A$2:$A$250,A2038)&gt;0,"SÍ","NO")</x:f>
        <x:v>NO</x:v>
      </x:c>
      <x:c r="D2038" t="str">
        <x:f>IF(AND(WEEKDAY(A2038,2)&lt;=5,C2038="NO"),"SÍ","NO")</x:f>
        <x:v>SÍ</x:v>
      </x:c>
      <x:c r="E2038" s="2" t="n">
        <x:f>WORKDAY.INTL(A2038-1,1,1,FERIADOS!$A$2:$A$250)</x:f>
        <x:v>47694</x:v>
      </x:c>
      <x:c r="F2038" t="str">
        <x:f>IF(E2038&gt;=WORKDAY.INTL(EOMONTH(E2038,0)+1,-2,1,FERIADOS!$A$2:$A$250),"SÍ","NO")</x:f>
        <x:v>SÍ</x:v>
      </x:c>
      <x:c r="G2038" s="2" t="n">
        <x:f>IF(F2038="SÍ",EOMONTH(E2038,0)+1,DATE(YEAR(E2038),MONTH(E2038),1))</x:f>
        <x:v>47696</x:v>
      </x:c>
      <x:c r="H2038" t="str">
        <x:f>IF(D2038="NO",IF(C2038="SÍ","FERIADO","FIN DE SEMANA"),"LABORABLE")&amp;IF(F2038="SÍ"," + CIERRE","")</x:f>
        <x:v>LABORABLE + CIERRE</x:v>
      </x:c>
      <x:c r="I2038" t="str">
        <x:f>TEXT(G2038,"yyyy-mm")</x:f>
        <x:v>2030-08</x:v>
      </x:c>
    </x:row>
    <x:row r="2039">
      <x:c r="A2039" s="2" t="n">
        <x:v>47695</x:v>
      </x:c>
      <x:c r="B2039" t="str">
        <x:f>CHOOSE(WEEKDAY(A2039,2),"Lunes","Martes","Miércoles","Jueves","Viernes","Sábado","Domingo")</x:f>
        <x:v>Miércoles</x:v>
      </x:c>
      <x:c r="C2039" t="str">
        <x:f>IF(COUNTIF(FERIADOS!$A$2:$A$250,A2039)&gt;0,"SÍ","NO")</x:f>
        <x:v>NO</x:v>
      </x:c>
      <x:c r="D2039" t="str">
        <x:f>IF(AND(WEEKDAY(A2039,2)&lt;=5,C2039="NO"),"SÍ","NO")</x:f>
        <x:v>SÍ</x:v>
      </x:c>
      <x:c r="E2039" s="2" t="n">
        <x:f>WORKDAY.INTL(A2039-1,1,1,FERIADOS!$A$2:$A$250)</x:f>
        <x:v>47695</x:v>
      </x:c>
      <x:c r="F2039" t="str">
        <x:f>IF(E2039&gt;=WORKDAY.INTL(EOMONTH(E2039,0)+1,-2,1,FERIADOS!$A$2:$A$250),"SÍ","NO")</x:f>
        <x:v>SÍ</x:v>
      </x:c>
      <x:c r="G2039" s="2" t="n">
        <x:f>IF(F2039="SÍ",EOMONTH(E2039,0)+1,DATE(YEAR(E2039),MONTH(E2039),1))</x:f>
        <x:v>47696</x:v>
      </x:c>
      <x:c r="H2039" t="str">
        <x:f>IF(D2039="NO",IF(C2039="SÍ","FERIADO","FIN DE SEMANA"),"LABORABLE")&amp;IF(F2039="SÍ"," + CIERRE","")</x:f>
        <x:v>LABORABLE + CIERRE</x:v>
      </x:c>
      <x:c r="I2039" t="str">
        <x:f>TEXT(G2039,"yyyy-mm")</x:f>
        <x:v>2030-08</x:v>
      </x:c>
    </x:row>
    <x:row r="2040">
      <x:c r="A2040" s="2" t="n">
        <x:v>47696</x:v>
      </x:c>
      <x:c r="B2040" t="str">
        <x:f>CHOOSE(WEEKDAY(A2040,2),"Lunes","Martes","Miércoles","Jueves","Viernes","Sábado","Domingo")</x:f>
        <x:v>Jueves</x:v>
      </x:c>
      <x:c r="C2040" t="str">
        <x:f>IF(COUNTIF(FERIADOS!$A$2:$A$250,A2040)&gt;0,"SÍ","NO")</x:f>
        <x:v>NO</x:v>
      </x:c>
      <x:c r="D2040" t="str">
        <x:f>IF(AND(WEEKDAY(A2040,2)&lt;=5,C2040="NO"),"SÍ","NO")</x:f>
        <x:v>SÍ</x:v>
      </x:c>
      <x:c r="E2040" s="2" t="n">
        <x:f>WORKDAY.INTL(A2040-1,1,1,FERIADOS!$A$2:$A$250)</x:f>
        <x:v>47696</x:v>
      </x:c>
      <x:c r="F2040" t="str">
        <x:f>IF(E2040&gt;=WORKDAY.INTL(EOMONTH(E2040,0)+1,-2,1,FERIADOS!$A$2:$A$250),"SÍ","NO")</x:f>
        <x:v>NO</x:v>
      </x:c>
      <x:c r="G2040" s="2" t="n">
        <x:f>IF(F2040="SÍ",EOMONTH(E2040,0)+1,DATE(YEAR(E2040),MONTH(E2040),1))</x:f>
        <x:v>47696</x:v>
      </x:c>
      <x:c r="H2040" t="str">
        <x:f>IF(D2040="NO",IF(C2040="SÍ","FERIADO","FIN DE SEMANA"),"LABORABLE")&amp;IF(F2040="SÍ"," + CIERRE","")</x:f>
        <x:v>LABORABLE</x:v>
      </x:c>
      <x:c r="I2040" t="str">
        <x:f>TEXT(G2040,"yyyy-mm")</x:f>
        <x:v>2030-08</x:v>
      </x:c>
    </x:row>
    <x:row r="2041">
      <x:c r="A2041" s="2" t="n">
        <x:v>47697</x:v>
      </x:c>
      <x:c r="B2041" t="str">
        <x:f>CHOOSE(WEEKDAY(A2041,2),"Lunes","Martes","Miércoles","Jueves","Viernes","Sábado","Domingo")</x:f>
        <x:v>Viernes</x:v>
      </x:c>
      <x:c r="C2041" t="str">
        <x:f>IF(COUNTIF(FERIADOS!$A$2:$A$250,A2041)&gt;0,"SÍ","NO")</x:f>
        <x:v>NO</x:v>
      </x:c>
      <x:c r="D2041" t="str">
        <x:f>IF(AND(WEEKDAY(A2041,2)&lt;=5,C2041="NO"),"SÍ","NO")</x:f>
        <x:v>SÍ</x:v>
      </x:c>
      <x:c r="E2041" s="2" t="n">
        <x:f>WORKDAY.INTL(A2041-1,1,1,FERIADOS!$A$2:$A$250)</x:f>
        <x:v>47697</x:v>
      </x:c>
      <x:c r="F2041" t="str">
        <x:f>IF(E2041&gt;=WORKDAY.INTL(EOMONTH(E2041,0)+1,-2,1,FERIADOS!$A$2:$A$250),"SÍ","NO")</x:f>
        <x:v>NO</x:v>
      </x:c>
      <x:c r="G2041" s="2" t="n">
        <x:f>IF(F2041="SÍ",EOMONTH(E2041,0)+1,DATE(YEAR(E2041),MONTH(E2041),1))</x:f>
        <x:v>47696</x:v>
      </x:c>
      <x:c r="H2041" t="str">
        <x:f>IF(D2041="NO",IF(C2041="SÍ","FERIADO","FIN DE SEMANA"),"LABORABLE")&amp;IF(F2041="SÍ"," + CIERRE","")</x:f>
        <x:v>LABORABLE</x:v>
      </x:c>
      <x:c r="I2041" t="str">
        <x:f>TEXT(G2041,"yyyy-mm")</x:f>
        <x:v>2030-08</x:v>
      </x:c>
    </x:row>
    <x:row r="2042">
      <x:c r="A2042" s="2" t="n">
        <x:v>47698</x:v>
      </x:c>
      <x:c r="B2042" t="str">
        <x:f>CHOOSE(WEEKDAY(A2042,2),"Lunes","Martes","Miércoles","Jueves","Viernes","Sábado","Domingo")</x:f>
        <x:v>Sábado</x:v>
      </x:c>
      <x:c r="C2042" t="str">
        <x:f>IF(COUNTIF(FERIADOS!$A$2:$A$250,A2042)&gt;0,"SÍ","NO")</x:f>
        <x:v>NO</x:v>
      </x:c>
      <x:c r="D2042" t="str">
        <x:f>IF(AND(WEEKDAY(A2042,2)&lt;=5,C2042="NO"),"SÍ","NO")</x:f>
        <x:v>NO</x:v>
      </x:c>
      <x:c r="E2042" s="2" t="n">
        <x:f>WORKDAY.INTL(A2042-1,1,1,FERIADOS!$A$2:$A$250)</x:f>
        <x:v>47700</x:v>
      </x:c>
      <x:c r="F2042" t="str">
        <x:f>IF(E2042&gt;=WORKDAY.INTL(EOMONTH(E2042,0)+1,-2,1,FERIADOS!$A$2:$A$250),"SÍ","NO")</x:f>
        <x:v>NO</x:v>
      </x:c>
      <x:c r="G2042" s="2" t="n">
        <x:f>IF(F2042="SÍ",EOMONTH(E2042,0)+1,DATE(YEAR(E2042),MONTH(E2042),1))</x:f>
        <x:v>47696</x:v>
      </x:c>
      <x:c r="H2042" t="str">
        <x:f>IF(D2042="NO",IF(C2042="SÍ","FERIADO","FIN DE SEMANA"),"LABORABLE")&amp;IF(F2042="SÍ"," + CIERRE","")</x:f>
        <x:v>FIN DE SEMANA</x:v>
      </x:c>
      <x:c r="I2042" t="str">
        <x:f>TEXT(G2042,"yyyy-mm")</x:f>
        <x:v>2030-08</x:v>
      </x:c>
    </x:row>
    <x:row r="2043">
      <x:c r="A2043" s="2" t="n">
        <x:v>47699</x:v>
      </x:c>
      <x:c r="B2043" t="str">
        <x:f>CHOOSE(WEEKDAY(A2043,2),"Lunes","Martes","Miércoles","Jueves","Viernes","Sábado","Domingo")</x:f>
        <x:v>Domingo</x:v>
      </x:c>
      <x:c r="C2043" t="str">
        <x:f>IF(COUNTIF(FERIADOS!$A$2:$A$250,A2043)&gt;0,"SÍ","NO")</x:f>
        <x:v>NO</x:v>
      </x:c>
      <x:c r="D2043" t="str">
        <x:f>IF(AND(WEEKDAY(A2043,2)&lt;=5,C2043="NO"),"SÍ","NO")</x:f>
        <x:v>NO</x:v>
      </x:c>
      <x:c r="E2043" s="2" t="n">
        <x:f>WORKDAY.INTL(A2043-1,1,1,FERIADOS!$A$2:$A$250)</x:f>
        <x:v>47700</x:v>
      </x:c>
      <x:c r="F2043" t="str">
        <x:f>IF(E2043&gt;=WORKDAY.INTL(EOMONTH(E2043,0)+1,-2,1,FERIADOS!$A$2:$A$250),"SÍ","NO")</x:f>
        <x:v>NO</x:v>
      </x:c>
      <x:c r="G2043" s="2" t="n">
        <x:f>IF(F2043="SÍ",EOMONTH(E2043,0)+1,DATE(YEAR(E2043),MONTH(E2043),1))</x:f>
        <x:v>47696</x:v>
      </x:c>
      <x:c r="H2043" t="str">
        <x:f>IF(D2043="NO",IF(C2043="SÍ","FERIADO","FIN DE SEMANA"),"LABORABLE")&amp;IF(F2043="SÍ"," + CIERRE","")</x:f>
        <x:v>FIN DE SEMANA</x:v>
      </x:c>
      <x:c r="I2043" t="str">
        <x:f>TEXT(G2043,"yyyy-mm")</x:f>
        <x:v>2030-08</x:v>
      </x:c>
    </x:row>
    <x:row r="2044">
      <x:c r="A2044" s="2" t="n">
        <x:v>47700</x:v>
      </x:c>
      <x:c r="B2044" t="str">
        <x:f>CHOOSE(WEEKDAY(A2044,2),"Lunes","Martes","Miércoles","Jueves","Viernes","Sábado","Domingo")</x:f>
        <x:v>Lunes</x:v>
      </x:c>
      <x:c r="C2044" t="str">
        <x:f>IF(COUNTIF(FERIADOS!$A$2:$A$250,A2044)&gt;0,"SÍ","NO")</x:f>
        <x:v>NO</x:v>
      </x:c>
      <x:c r="D2044" t="str">
        <x:f>IF(AND(WEEKDAY(A2044,2)&lt;=5,C2044="NO"),"SÍ","NO")</x:f>
        <x:v>SÍ</x:v>
      </x:c>
      <x:c r="E2044" s="2" t="n">
        <x:f>WORKDAY.INTL(A2044-1,1,1,FERIADOS!$A$2:$A$250)</x:f>
        <x:v>47700</x:v>
      </x:c>
      <x:c r="F2044" t="str">
        <x:f>IF(E2044&gt;=WORKDAY.INTL(EOMONTH(E2044,0)+1,-2,1,FERIADOS!$A$2:$A$250),"SÍ","NO")</x:f>
        <x:v>NO</x:v>
      </x:c>
      <x:c r="G2044" s="2" t="n">
        <x:f>IF(F2044="SÍ",EOMONTH(E2044,0)+1,DATE(YEAR(E2044),MONTH(E2044),1))</x:f>
        <x:v>47696</x:v>
      </x:c>
      <x:c r="H2044" t="str">
        <x:f>IF(D2044="NO",IF(C2044="SÍ","FERIADO","FIN DE SEMANA"),"LABORABLE")&amp;IF(F2044="SÍ"," + CIERRE","")</x:f>
        <x:v>LABORABLE</x:v>
      </x:c>
      <x:c r="I2044" t="str">
        <x:f>TEXT(G2044,"yyyy-mm")</x:f>
        <x:v>2030-08</x:v>
      </x:c>
    </x:row>
    <x:row r="2045">
      <x:c r="A2045" s="2" t="n">
        <x:v>47701</x:v>
      </x:c>
      <x:c r="B2045" t="str">
        <x:f>CHOOSE(WEEKDAY(A2045,2),"Lunes","Martes","Miércoles","Jueves","Viernes","Sábado","Domingo")</x:f>
        <x:v>Martes</x:v>
      </x:c>
      <x:c r="C2045" t="str">
        <x:f>IF(COUNTIF(FERIADOS!$A$2:$A$250,A2045)&gt;0,"SÍ","NO")</x:f>
        <x:v>NO</x:v>
      </x:c>
      <x:c r="D2045" t="str">
        <x:f>IF(AND(WEEKDAY(A2045,2)&lt;=5,C2045="NO"),"SÍ","NO")</x:f>
        <x:v>SÍ</x:v>
      </x:c>
      <x:c r="E2045" s="2" t="n">
        <x:f>WORKDAY.INTL(A2045-1,1,1,FERIADOS!$A$2:$A$250)</x:f>
        <x:v>47701</x:v>
      </x:c>
      <x:c r="F2045" t="str">
        <x:f>IF(E2045&gt;=WORKDAY.INTL(EOMONTH(E2045,0)+1,-2,1,FERIADOS!$A$2:$A$250),"SÍ","NO")</x:f>
        <x:v>NO</x:v>
      </x:c>
      <x:c r="G2045" s="2" t="n">
        <x:f>IF(F2045="SÍ",EOMONTH(E2045,0)+1,DATE(YEAR(E2045),MONTH(E2045),1))</x:f>
        <x:v>47696</x:v>
      </x:c>
      <x:c r="H2045" t="str">
        <x:f>IF(D2045="NO",IF(C2045="SÍ","FERIADO","FIN DE SEMANA"),"LABORABLE")&amp;IF(F2045="SÍ"," + CIERRE","")</x:f>
        <x:v>LABORABLE</x:v>
      </x:c>
      <x:c r="I2045" t="str">
        <x:f>TEXT(G2045,"yyyy-mm")</x:f>
        <x:v>2030-08</x:v>
      </x:c>
    </x:row>
    <x:row r="2046">
      <x:c r="A2046" s="2" t="n">
        <x:v>47702</x:v>
      </x:c>
      <x:c r="B2046" t="str">
        <x:f>CHOOSE(WEEKDAY(A2046,2),"Lunes","Martes","Miércoles","Jueves","Viernes","Sábado","Domingo")</x:f>
        <x:v>Miércoles</x:v>
      </x:c>
      <x:c r="C2046" t="str">
        <x:f>IF(COUNTIF(FERIADOS!$A$2:$A$250,A2046)&gt;0,"SÍ","NO")</x:f>
        <x:v>NO</x:v>
      </x:c>
      <x:c r="D2046" t="str">
        <x:f>IF(AND(WEEKDAY(A2046,2)&lt;=5,C2046="NO"),"SÍ","NO")</x:f>
        <x:v>SÍ</x:v>
      </x:c>
      <x:c r="E2046" s="2" t="n">
        <x:f>WORKDAY.INTL(A2046-1,1,1,FERIADOS!$A$2:$A$250)</x:f>
        <x:v>47702</x:v>
      </x:c>
      <x:c r="F2046" t="str">
        <x:f>IF(E2046&gt;=WORKDAY.INTL(EOMONTH(E2046,0)+1,-2,1,FERIADOS!$A$2:$A$250),"SÍ","NO")</x:f>
        <x:v>NO</x:v>
      </x:c>
      <x:c r="G2046" s="2" t="n">
        <x:f>IF(F2046="SÍ",EOMONTH(E2046,0)+1,DATE(YEAR(E2046),MONTH(E2046),1))</x:f>
        <x:v>47696</x:v>
      </x:c>
      <x:c r="H2046" t="str">
        <x:f>IF(D2046="NO",IF(C2046="SÍ","FERIADO","FIN DE SEMANA"),"LABORABLE")&amp;IF(F2046="SÍ"," + CIERRE","")</x:f>
        <x:v>LABORABLE</x:v>
      </x:c>
      <x:c r="I2046" t="str">
        <x:f>TEXT(G2046,"yyyy-mm")</x:f>
        <x:v>2030-08</x:v>
      </x:c>
    </x:row>
    <x:row r="2047">
      <x:c r="A2047" s="2" t="n">
        <x:v>47703</x:v>
      </x:c>
      <x:c r="B2047" t="str">
        <x:f>CHOOSE(WEEKDAY(A2047,2),"Lunes","Martes","Miércoles","Jueves","Viernes","Sábado","Domingo")</x:f>
        <x:v>Jueves</x:v>
      </x:c>
      <x:c r="C2047" t="str">
        <x:f>IF(COUNTIF(FERIADOS!$A$2:$A$250,A2047)&gt;0,"SÍ","NO")</x:f>
        <x:v>NO</x:v>
      </x:c>
      <x:c r="D2047" t="str">
        <x:f>IF(AND(WEEKDAY(A2047,2)&lt;=5,C2047="NO"),"SÍ","NO")</x:f>
        <x:v>SÍ</x:v>
      </x:c>
      <x:c r="E2047" s="2" t="n">
        <x:f>WORKDAY.INTL(A2047-1,1,1,FERIADOS!$A$2:$A$250)</x:f>
        <x:v>47703</x:v>
      </x:c>
      <x:c r="F2047" t="str">
        <x:f>IF(E2047&gt;=WORKDAY.INTL(EOMONTH(E2047,0)+1,-2,1,FERIADOS!$A$2:$A$250),"SÍ","NO")</x:f>
        <x:v>NO</x:v>
      </x:c>
      <x:c r="G2047" s="2" t="n">
        <x:f>IF(F2047="SÍ",EOMONTH(E2047,0)+1,DATE(YEAR(E2047),MONTH(E2047),1))</x:f>
        <x:v>47696</x:v>
      </x:c>
      <x:c r="H2047" t="str">
        <x:f>IF(D2047="NO",IF(C2047="SÍ","FERIADO","FIN DE SEMANA"),"LABORABLE")&amp;IF(F2047="SÍ"," + CIERRE","")</x:f>
        <x:v>LABORABLE</x:v>
      </x:c>
      <x:c r="I2047" t="str">
        <x:f>TEXT(G2047,"yyyy-mm")</x:f>
        <x:v>2030-08</x:v>
      </x:c>
    </x:row>
    <x:row r="2048">
      <x:c r="A2048" s="2" t="n">
        <x:v>47704</x:v>
      </x:c>
      <x:c r="B2048" t="str">
        <x:f>CHOOSE(WEEKDAY(A2048,2),"Lunes","Martes","Miércoles","Jueves","Viernes","Sábado","Domingo")</x:f>
        <x:v>Viernes</x:v>
      </x:c>
      <x:c r="C2048" t="str">
        <x:f>IF(COUNTIF(FERIADOS!$A$2:$A$250,A2048)&gt;0,"SÍ","NO")</x:f>
        <x:v>SÍ</x:v>
      </x:c>
      <x:c r="D2048" t="str">
        <x:f>IF(AND(WEEKDAY(A2048,2)&lt;=5,C2048="NO"),"SÍ","NO")</x:f>
        <x:v>NO</x:v>
      </x:c>
      <x:c r="E2048" s="2" t="n">
        <x:f>WORKDAY.INTL(A2048-1,1,1,FERIADOS!$A$2:$A$250)</x:f>
        <x:v>47707</x:v>
      </x:c>
      <x:c r="F2048" t="str">
        <x:f>IF(E2048&gt;=WORKDAY.INTL(EOMONTH(E2048,0)+1,-2,1,FERIADOS!$A$2:$A$250),"SÍ","NO")</x:f>
        <x:v>NO</x:v>
      </x:c>
      <x:c r="G2048" s="2" t="n">
        <x:f>IF(F2048="SÍ",EOMONTH(E2048,0)+1,DATE(YEAR(E2048),MONTH(E2048),1))</x:f>
        <x:v>47696</x:v>
      </x:c>
      <x:c r="H2048" t="str">
        <x:f>IF(D2048="NO",IF(C2048="SÍ","FERIADO","FIN DE SEMANA"),"LABORABLE")&amp;IF(F2048="SÍ"," + CIERRE","")</x:f>
        <x:v>FERIADO</x:v>
      </x:c>
      <x:c r="I2048" t="str">
        <x:f>TEXT(G2048,"yyyy-mm")</x:f>
        <x:v>2030-08</x:v>
      </x:c>
    </x:row>
    <x:row r="2049">
      <x:c r="A2049" s="2" t="n">
        <x:v>47705</x:v>
      </x:c>
      <x:c r="B2049" t="str">
        <x:f>CHOOSE(WEEKDAY(A2049,2),"Lunes","Martes","Miércoles","Jueves","Viernes","Sábado","Domingo")</x:f>
        <x:v>Sábado</x:v>
      </x:c>
      <x:c r="C2049" t="str">
        <x:f>IF(COUNTIF(FERIADOS!$A$2:$A$250,A2049)&gt;0,"SÍ","NO")</x:f>
        <x:v>NO</x:v>
      </x:c>
      <x:c r="D2049" t="str">
        <x:f>IF(AND(WEEKDAY(A2049,2)&lt;=5,C2049="NO"),"SÍ","NO")</x:f>
        <x:v>NO</x:v>
      </x:c>
      <x:c r="E2049" s="2" t="n">
        <x:f>WORKDAY.INTL(A2049-1,1,1,FERIADOS!$A$2:$A$250)</x:f>
        <x:v>47707</x:v>
      </x:c>
      <x:c r="F2049" t="str">
        <x:f>IF(E2049&gt;=WORKDAY.INTL(EOMONTH(E2049,0)+1,-2,1,FERIADOS!$A$2:$A$250),"SÍ","NO")</x:f>
        <x:v>NO</x:v>
      </x:c>
      <x:c r="G2049" s="2" t="n">
        <x:f>IF(F2049="SÍ",EOMONTH(E2049,0)+1,DATE(YEAR(E2049),MONTH(E2049),1))</x:f>
        <x:v>47696</x:v>
      </x:c>
      <x:c r="H2049" t="str">
        <x:f>IF(D2049="NO",IF(C2049="SÍ","FERIADO","FIN DE SEMANA"),"LABORABLE")&amp;IF(F2049="SÍ"," + CIERRE","")</x:f>
        <x:v>FIN DE SEMANA</x:v>
      </x:c>
      <x:c r="I2049" t="str">
        <x:f>TEXT(G2049,"yyyy-mm")</x:f>
        <x:v>2030-08</x:v>
      </x:c>
    </x:row>
    <x:row r="2050">
      <x:c r="A2050" s="2" t="n">
        <x:v>47706</x:v>
      </x:c>
      <x:c r="B2050" t="str">
        <x:f>CHOOSE(WEEKDAY(A2050,2),"Lunes","Martes","Miércoles","Jueves","Viernes","Sábado","Domingo")</x:f>
        <x:v>Domingo</x:v>
      </x:c>
      <x:c r="C2050" t="str">
        <x:f>IF(COUNTIF(FERIADOS!$A$2:$A$250,A2050)&gt;0,"SÍ","NO")</x:f>
        <x:v>NO</x:v>
      </x:c>
      <x:c r="D2050" t="str">
        <x:f>IF(AND(WEEKDAY(A2050,2)&lt;=5,C2050="NO"),"SÍ","NO")</x:f>
        <x:v>NO</x:v>
      </x:c>
      <x:c r="E2050" s="2" t="n">
        <x:f>WORKDAY.INTL(A2050-1,1,1,FERIADOS!$A$2:$A$250)</x:f>
        <x:v>47707</x:v>
      </x:c>
      <x:c r="F2050" t="str">
        <x:f>IF(E2050&gt;=WORKDAY.INTL(EOMONTH(E2050,0)+1,-2,1,FERIADOS!$A$2:$A$250),"SÍ","NO")</x:f>
        <x:v>NO</x:v>
      </x:c>
      <x:c r="G2050" s="2" t="n">
        <x:f>IF(F2050="SÍ",EOMONTH(E2050,0)+1,DATE(YEAR(E2050),MONTH(E2050),1))</x:f>
        <x:v>47696</x:v>
      </x:c>
      <x:c r="H2050" t="str">
        <x:f>IF(D2050="NO",IF(C2050="SÍ","FERIADO","FIN DE SEMANA"),"LABORABLE")&amp;IF(F2050="SÍ"," + CIERRE","")</x:f>
        <x:v>FIN DE SEMANA</x:v>
      </x:c>
      <x:c r="I2050" t="str">
        <x:f>TEXT(G2050,"yyyy-mm")</x:f>
        <x:v>2030-08</x:v>
      </x:c>
    </x:row>
    <x:row r="2051">
      <x:c r="A2051" s="2" t="n">
        <x:v>47707</x:v>
      </x:c>
      <x:c r="B2051" t="str">
        <x:f>CHOOSE(WEEKDAY(A2051,2),"Lunes","Martes","Miércoles","Jueves","Viernes","Sábado","Domingo")</x:f>
        <x:v>Lunes</x:v>
      </x:c>
      <x:c r="C2051" t="str">
        <x:f>IF(COUNTIF(FERIADOS!$A$2:$A$250,A2051)&gt;0,"SÍ","NO")</x:f>
        <x:v>NO</x:v>
      </x:c>
      <x:c r="D2051" t="str">
        <x:f>IF(AND(WEEKDAY(A2051,2)&lt;=5,C2051="NO"),"SÍ","NO")</x:f>
        <x:v>SÍ</x:v>
      </x:c>
      <x:c r="E2051" s="2" t="n">
        <x:f>WORKDAY.INTL(A2051-1,1,1,FERIADOS!$A$2:$A$250)</x:f>
        <x:v>47707</x:v>
      </x:c>
      <x:c r="F2051" t="str">
        <x:f>IF(E2051&gt;=WORKDAY.INTL(EOMONTH(E2051,0)+1,-2,1,FERIADOS!$A$2:$A$250),"SÍ","NO")</x:f>
        <x:v>NO</x:v>
      </x:c>
      <x:c r="G2051" s="2" t="n">
        <x:f>IF(F2051="SÍ",EOMONTH(E2051,0)+1,DATE(YEAR(E2051),MONTH(E2051),1))</x:f>
        <x:v>47696</x:v>
      </x:c>
      <x:c r="H2051" t="str">
        <x:f>IF(D2051="NO",IF(C2051="SÍ","FERIADO","FIN DE SEMANA"),"LABORABLE")&amp;IF(F2051="SÍ"," + CIERRE","")</x:f>
        <x:v>LABORABLE</x:v>
      </x:c>
      <x:c r="I2051" t="str">
        <x:f>TEXT(G2051,"yyyy-mm")</x:f>
        <x:v>2030-08</x:v>
      </x:c>
    </x:row>
    <x:row r="2052">
      <x:c r="A2052" s="2" t="n">
        <x:v>47708</x:v>
      </x:c>
      <x:c r="B2052" t="str">
        <x:f>CHOOSE(WEEKDAY(A2052,2),"Lunes","Martes","Miércoles","Jueves","Viernes","Sábado","Domingo")</x:f>
        <x:v>Martes</x:v>
      </x:c>
      <x:c r="C2052" t="str">
        <x:f>IF(COUNTIF(FERIADOS!$A$2:$A$250,A2052)&gt;0,"SÍ","NO")</x:f>
        <x:v>NO</x:v>
      </x:c>
      <x:c r="D2052" t="str">
        <x:f>IF(AND(WEEKDAY(A2052,2)&lt;=5,C2052="NO"),"SÍ","NO")</x:f>
        <x:v>SÍ</x:v>
      </x:c>
      <x:c r="E2052" s="2" t="n">
        <x:f>WORKDAY.INTL(A2052-1,1,1,FERIADOS!$A$2:$A$250)</x:f>
        <x:v>47708</x:v>
      </x:c>
      <x:c r="F2052" t="str">
        <x:f>IF(E2052&gt;=WORKDAY.INTL(EOMONTH(E2052,0)+1,-2,1,FERIADOS!$A$2:$A$250),"SÍ","NO")</x:f>
        <x:v>NO</x:v>
      </x:c>
      <x:c r="G2052" s="2" t="n">
        <x:f>IF(F2052="SÍ",EOMONTH(E2052,0)+1,DATE(YEAR(E2052),MONTH(E2052),1))</x:f>
        <x:v>47696</x:v>
      </x:c>
      <x:c r="H2052" t="str">
        <x:f>IF(D2052="NO",IF(C2052="SÍ","FERIADO","FIN DE SEMANA"),"LABORABLE")&amp;IF(F2052="SÍ"," + CIERRE","")</x:f>
        <x:v>LABORABLE</x:v>
      </x:c>
      <x:c r="I2052" t="str">
        <x:f>TEXT(G2052,"yyyy-mm")</x:f>
        <x:v>2030-08</x:v>
      </x:c>
    </x:row>
    <x:row r="2053">
      <x:c r="A2053" s="2" t="n">
        <x:v>47709</x:v>
      </x:c>
      <x:c r="B2053" t="str">
        <x:f>CHOOSE(WEEKDAY(A2053,2),"Lunes","Martes","Miércoles","Jueves","Viernes","Sábado","Domingo")</x:f>
        <x:v>Miércoles</x:v>
      </x:c>
      <x:c r="C2053" t="str">
        <x:f>IF(COUNTIF(FERIADOS!$A$2:$A$250,A2053)&gt;0,"SÍ","NO")</x:f>
        <x:v>NO</x:v>
      </x:c>
      <x:c r="D2053" t="str">
        <x:f>IF(AND(WEEKDAY(A2053,2)&lt;=5,C2053="NO"),"SÍ","NO")</x:f>
        <x:v>SÍ</x:v>
      </x:c>
      <x:c r="E2053" s="2" t="n">
        <x:f>WORKDAY.INTL(A2053-1,1,1,FERIADOS!$A$2:$A$250)</x:f>
        <x:v>47709</x:v>
      </x:c>
      <x:c r="F2053" t="str">
        <x:f>IF(E2053&gt;=WORKDAY.INTL(EOMONTH(E2053,0)+1,-2,1,FERIADOS!$A$2:$A$250),"SÍ","NO")</x:f>
        <x:v>NO</x:v>
      </x:c>
      <x:c r="G2053" s="2" t="n">
        <x:f>IF(F2053="SÍ",EOMONTH(E2053,0)+1,DATE(YEAR(E2053),MONTH(E2053),1))</x:f>
        <x:v>47696</x:v>
      </x:c>
      <x:c r="H2053" t="str">
        <x:f>IF(D2053="NO",IF(C2053="SÍ","FERIADO","FIN DE SEMANA"),"LABORABLE")&amp;IF(F2053="SÍ"," + CIERRE","")</x:f>
        <x:v>LABORABLE</x:v>
      </x:c>
      <x:c r="I2053" t="str">
        <x:f>TEXT(G2053,"yyyy-mm")</x:f>
        <x:v>2030-08</x:v>
      </x:c>
    </x:row>
    <x:row r="2054">
      <x:c r="A2054" s="2" t="n">
        <x:v>47710</x:v>
      </x:c>
      <x:c r="B2054" t="str">
        <x:f>CHOOSE(WEEKDAY(A2054,2),"Lunes","Martes","Miércoles","Jueves","Viernes","Sábado","Domingo")</x:f>
        <x:v>Jueves</x:v>
      </x:c>
      <x:c r="C2054" t="str">
        <x:f>IF(COUNTIF(FERIADOS!$A$2:$A$250,A2054)&gt;0,"SÍ","NO")</x:f>
        <x:v>NO</x:v>
      </x:c>
      <x:c r="D2054" t="str">
        <x:f>IF(AND(WEEKDAY(A2054,2)&lt;=5,C2054="NO"),"SÍ","NO")</x:f>
        <x:v>SÍ</x:v>
      </x:c>
      <x:c r="E2054" s="2" t="n">
        <x:f>WORKDAY.INTL(A2054-1,1,1,FERIADOS!$A$2:$A$250)</x:f>
        <x:v>47710</x:v>
      </x:c>
      <x:c r="F2054" t="str">
        <x:f>IF(E2054&gt;=WORKDAY.INTL(EOMONTH(E2054,0)+1,-2,1,FERIADOS!$A$2:$A$250),"SÍ","NO")</x:f>
        <x:v>NO</x:v>
      </x:c>
      <x:c r="G2054" s="2" t="n">
        <x:f>IF(F2054="SÍ",EOMONTH(E2054,0)+1,DATE(YEAR(E2054),MONTH(E2054),1))</x:f>
        <x:v>47696</x:v>
      </x:c>
      <x:c r="H2054" t="str">
        <x:f>IF(D2054="NO",IF(C2054="SÍ","FERIADO","FIN DE SEMANA"),"LABORABLE")&amp;IF(F2054="SÍ"," + CIERRE","")</x:f>
        <x:v>LABORABLE</x:v>
      </x:c>
      <x:c r="I2054" t="str">
        <x:f>TEXT(G2054,"yyyy-mm")</x:f>
        <x:v>2030-08</x:v>
      </x:c>
    </x:row>
    <x:row r="2055">
      <x:c r="A2055" s="2" t="n">
        <x:v>47711</x:v>
      </x:c>
      <x:c r="B2055" t="str">
        <x:f>CHOOSE(WEEKDAY(A2055,2),"Lunes","Martes","Miércoles","Jueves","Viernes","Sábado","Domingo")</x:f>
        <x:v>Viernes</x:v>
      </x:c>
      <x:c r="C2055" t="str">
        <x:f>IF(COUNTIF(FERIADOS!$A$2:$A$250,A2055)&gt;0,"SÍ","NO")</x:f>
        <x:v>NO</x:v>
      </x:c>
      <x:c r="D2055" t="str">
        <x:f>IF(AND(WEEKDAY(A2055,2)&lt;=5,C2055="NO"),"SÍ","NO")</x:f>
        <x:v>SÍ</x:v>
      </x:c>
      <x:c r="E2055" s="2" t="n">
        <x:f>WORKDAY.INTL(A2055-1,1,1,FERIADOS!$A$2:$A$250)</x:f>
        <x:v>47711</x:v>
      </x:c>
      <x:c r="F2055" t="str">
        <x:f>IF(E2055&gt;=WORKDAY.INTL(EOMONTH(E2055,0)+1,-2,1,FERIADOS!$A$2:$A$250),"SÍ","NO")</x:f>
        <x:v>NO</x:v>
      </x:c>
      <x:c r="G2055" s="2" t="n">
        <x:f>IF(F2055="SÍ",EOMONTH(E2055,0)+1,DATE(YEAR(E2055),MONTH(E2055),1))</x:f>
        <x:v>47696</x:v>
      </x:c>
      <x:c r="H2055" t="str">
        <x:f>IF(D2055="NO",IF(C2055="SÍ","FERIADO","FIN DE SEMANA"),"LABORABLE")&amp;IF(F2055="SÍ"," + CIERRE","")</x:f>
        <x:v>LABORABLE</x:v>
      </x:c>
      <x:c r="I2055" t="str">
        <x:f>TEXT(G2055,"yyyy-mm")</x:f>
        <x:v>2030-08</x:v>
      </x:c>
    </x:row>
    <x:row r="2056">
      <x:c r="A2056" s="2" t="n">
        <x:v>47712</x:v>
      </x:c>
      <x:c r="B2056" t="str">
        <x:f>CHOOSE(WEEKDAY(A2056,2),"Lunes","Martes","Miércoles","Jueves","Viernes","Sábado","Domingo")</x:f>
        <x:v>Sábado</x:v>
      </x:c>
      <x:c r="C2056" t="str">
        <x:f>IF(COUNTIF(FERIADOS!$A$2:$A$250,A2056)&gt;0,"SÍ","NO")</x:f>
        <x:v>NO</x:v>
      </x:c>
      <x:c r="D2056" t="str">
        <x:f>IF(AND(WEEKDAY(A2056,2)&lt;=5,C2056="NO"),"SÍ","NO")</x:f>
        <x:v>NO</x:v>
      </x:c>
      <x:c r="E2056" s="2" t="n">
        <x:f>WORKDAY.INTL(A2056-1,1,1,FERIADOS!$A$2:$A$250)</x:f>
        <x:v>47714</x:v>
      </x:c>
      <x:c r="F2056" t="str">
        <x:f>IF(E2056&gt;=WORKDAY.INTL(EOMONTH(E2056,0)+1,-2,1,FERIADOS!$A$2:$A$250),"SÍ","NO")</x:f>
        <x:v>NO</x:v>
      </x:c>
      <x:c r="G2056" s="2" t="n">
        <x:f>IF(F2056="SÍ",EOMONTH(E2056,0)+1,DATE(YEAR(E2056),MONTH(E2056),1))</x:f>
        <x:v>47696</x:v>
      </x:c>
      <x:c r="H2056" t="str">
        <x:f>IF(D2056="NO",IF(C2056="SÍ","FERIADO","FIN DE SEMANA"),"LABORABLE")&amp;IF(F2056="SÍ"," + CIERRE","")</x:f>
        <x:v>FIN DE SEMANA</x:v>
      </x:c>
      <x:c r="I2056" t="str">
        <x:f>TEXT(G2056,"yyyy-mm")</x:f>
        <x:v>2030-08</x:v>
      </x:c>
    </x:row>
    <x:row r="2057">
      <x:c r="A2057" s="2" t="n">
        <x:v>47713</x:v>
      </x:c>
      <x:c r="B2057" t="str">
        <x:f>CHOOSE(WEEKDAY(A2057,2),"Lunes","Martes","Miércoles","Jueves","Viernes","Sábado","Domingo")</x:f>
        <x:v>Domingo</x:v>
      </x:c>
      <x:c r="C2057" t="str">
        <x:f>IF(COUNTIF(FERIADOS!$A$2:$A$250,A2057)&gt;0,"SÍ","NO")</x:f>
        <x:v>NO</x:v>
      </x:c>
      <x:c r="D2057" t="str">
        <x:f>IF(AND(WEEKDAY(A2057,2)&lt;=5,C2057="NO"),"SÍ","NO")</x:f>
        <x:v>NO</x:v>
      </x:c>
      <x:c r="E2057" s="2" t="n">
        <x:f>WORKDAY.INTL(A2057-1,1,1,FERIADOS!$A$2:$A$250)</x:f>
        <x:v>47714</x:v>
      </x:c>
      <x:c r="F2057" t="str">
        <x:f>IF(E2057&gt;=WORKDAY.INTL(EOMONTH(E2057,0)+1,-2,1,FERIADOS!$A$2:$A$250),"SÍ","NO")</x:f>
        <x:v>NO</x:v>
      </x:c>
      <x:c r="G2057" s="2" t="n">
        <x:f>IF(F2057="SÍ",EOMONTH(E2057,0)+1,DATE(YEAR(E2057),MONTH(E2057),1))</x:f>
        <x:v>47696</x:v>
      </x:c>
      <x:c r="H2057" t="str">
        <x:f>IF(D2057="NO",IF(C2057="SÍ","FERIADO","FIN DE SEMANA"),"LABORABLE")&amp;IF(F2057="SÍ"," + CIERRE","")</x:f>
        <x:v>FIN DE SEMANA</x:v>
      </x:c>
      <x:c r="I2057" t="str">
        <x:f>TEXT(G2057,"yyyy-mm")</x:f>
        <x:v>2030-08</x:v>
      </x:c>
    </x:row>
    <x:row r="2058">
      <x:c r="A2058" s="2" t="n">
        <x:v>47714</x:v>
      </x:c>
      <x:c r="B2058" t="str">
        <x:f>CHOOSE(WEEKDAY(A2058,2),"Lunes","Martes","Miércoles","Jueves","Viernes","Sábado","Domingo")</x:f>
        <x:v>Lunes</x:v>
      </x:c>
      <x:c r="C2058" t="str">
        <x:f>IF(COUNTIF(FERIADOS!$A$2:$A$250,A2058)&gt;0,"SÍ","NO")</x:f>
        <x:v>NO</x:v>
      </x:c>
      <x:c r="D2058" t="str">
        <x:f>IF(AND(WEEKDAY(A2058,2)&lt;=5,C2058="NO"),"SÍ","NO")</x:f>
        <x:v>SÍ</x:v>
      </x:c>
      <x:c r="E2058" s="2" t="n">
        <x:f>WORKDAY.INTL(A2058-1,1,1,FERIADOS!$A$2:$A$250)</x:f>
        <x:v>47714</x:v>
      </x:c>
      <x:c r="F2058" t="str">
        <x:f>IF(E2058&gt;=WORKDAY.INTL(EOMONTH(E2058,0)+1,-2,1,FERIADOS!$A$2:$A$250),"SÍ","NO")</x:f>
        <x:v>NO</x:v>
      </x:c>
      <x:c r="G2058" s="2" t="n">
        <x:f>IF(F2058="SÍ",EOMONTH(E2058,0)+1,DATE(YEAR(E2058),MONTH(E2058),1))</x:f>
        <x:v>47696</x:v>
      </x:c>
      <x:c r="H2058" t="str">
        <x:f>IF(D2058="NO",IF(C2058="SÍ","FERIADO","FIN DE SEMANA"),"LABORABLE")&amp;IF(F2058="SÍ"," + CIERRE","")</x:f>
        <x:v>LABORABLE</x:v>
      </x:c>
      <x:c r="I2058" t="str">
        <x:f>TEXT(G2058,"yyyy-mm")</x:f>
        <x:v>2030-08</x:v>
      </x:c>
    </x:row>
    <x:row r="2059">
      <x:c r="A2059" s="2" t="n">
        <x:v>47715</x:v>
      </x:c>
      <x:c r="B2059" t="str">
        <x:f>CHOOSE(WEEKDAY(A2059,2),"Lunes","Martes","Miércoles","Jueves","Viernes","Sábado","Domingo")</x:f>
        <x:v>Martes</x:v>
      </x:c>
      <x:c r="C2059" t="str">
        <x:f>IF(COUNTIF(FERIADOS!$A$2:$A$250,A2059)&gt;0,"SÍ","NO")</x:f>
        <x:v>NO</x:v>
      </x:c>
      <x:c r="D2059" t="str">
        <x:f>IF(AND(WEEKDAY(A2059,2)&lt;=5,C2059="NO"),"SÍ","NO")</x:f>
        <x:v>SÍ</x:v>
      </x:c>
      <x:c r="E2059" s="2" t="n">
        <x:f>WORKDAY.INTL(A2059-1,1,1,FERIADOS!$A$2:$A$250)</x:f>
        <x:v>47715</x:v>
      </x:c>
      <x:c r="F2059" t="str">
        <x:f>IF(E2059&gt;=WORKDAY.INTL(EOMONTH(E2059,0)+1,-2,1,FERIADOS!$A$2:$A$250),"SÍ","NO")</x:f>
        <x:v>NO</x:v>
      </x:c>
      <x:c r="G2059" s="2" t="n">
        <x:f>IF(F2059="SÍ",EOMONTH(E2059,0)+1,DATE(YEAR(E2059),MONTH(E2059),1))</x:f>
        <x:v>47696</x:v>
      </x:c>
      <x:c r="H2059" t="str">
        <x:f>IF(D2059="NO",IF(C2059="SÍ","FERIADO","FIN DE SEMANA"),"LABORABLE")&amp;IF(F2059="SÍ"," + CIERRE","")</x:f>
        <x:v>LABORABLE</x:v>
      </x:c>
      <x:c r="I2059" t="str">
        <x:f>TEXT(G2059,"yyyy-mm")</x:f>
        <x:v>2030-08</x:v>
      </x:c>
    </x:row>
    <x:row r="2060">
      <x:c r="A2060" s="2" t="n">
        <x:v>47716</x:v>
      </x:c>
      <x:c r="B2060" t="str">
        <x:f>CHOOSE(WEEKDAY(A2060,2),"Lunes","Martes","Miércoles","Jueves","Viernes","Sábado","Domingo")</x:f>
        <x:v>Miércoles</x:v>
      </x:c>
      <x:c r="C2060" t="str">
        <x:f>IF(COUNTIF(FERIADOS!$A$2:$A$250,A2060)&gt;0,"SÍ","NO")</x:f>
        <x:v>NO</x:v>
      </x:c>
      <x:c r="D2060" t="str">
        <x:f>IF(AND(WEEKDAY(A2060,2)&lt;=5,C2060="NO"),"SÍ","NO")</x:f>
        <x:v>SÍ</x:v>
      </x:c>
      <x:c r="E2060" s="2" t="n">
        <x:f>WORKDAY.INTL(A2060-1,1,1,FERIADOS!$A$2:$A$250)</x:f>
        <x:v>47716</x:v>
      </x:c>
      <x:c r="F2060" t="str">
        <x:f>IF(E2060&gt;=WORKDAY.INTL(EOMONTH(E2060,0)+1,-2,1,FERIADOS!$A$2:$A$250),"SÍ","NO")</x:f>
        <x:v>NO</x:v>
      </x:c>
      <x:c r="G2060" s="2" t="n">
        <x:f>IF(F2060="SÍ",EOMONTH(E2060,0)+1,DATE(YEAR(E2060),MONTH(E2060),1))</x:f>
        <x:v>47696</x:v>
      </x:c>
      <x:c r="H2060" t="str">
        <x:f>IF(D2060="NO",IF(C2060="SÍ","FERIADO","FIN DE SEMANA"),"LABORABLE")&amp;IF(F2060="SÍ"," + CIERRE","")</x:f>
        <x:v>LABORABLE</x:v>
      </x:c>
      <x:c r="I2060" t="str">
        <x:f>TEXT(G2060,"yyyy-mm")</x:f>
        <x:v>2030-08</x:v>
      </x:c>
    </x:row>
    <x:row r="2061">
      <x:c r="A2061" s="2" t="n">
        <x:v>47717</x:v>
      </x:c>
      <x:c r="B2061" t="str">
        <x:f>CHOOSE(WEEKDAY(A2061,2),"Lunes","Martes","Miércoles","Jueves","Viernes","Sábado","Domingo")</x:f>
        <x:v>Jueves</x:v>
      </x:c>
      <x:c r="C2061" t="str">
        <x:f>IF(COUNTIF(FERIADOS!$A$2:$A$250,A2061)&gt;0,"SÍ","NO")</x:f>
        <x:v>NO</x:v>
      </x:c>
      <x:c r="D2061" t="str">
        <x:f>IF(AND(WEEKDAY(A2061,2)&lt;=5,C2061="NO"),"SÍ","NO")</x:f>
        <x:v>SÍ</x:v>
      </x:c>
      <x:c r="E2061" s="2" t="n">
        <x:f>WORKDAY.INTL(A2061-1,1,1,FERIADOS!$A$2:$A$250)</x:f>
        <x:v>47717</x:v>
      </x:c>
      <x:c r="F2061" t="str">
        <x:f>IF(E2061&gt;=WORKDAY.INTL(EOMONTH(E2061,0)+1,-2,1,FERIADOS!$A$2:$A$250),"SÍ","NO")</x:f>
        <x:v>NO</x:v>
      </x:c>
      <x:c r="G2061" s="2" t="n">
        <x:f>IF(F2061="SÍ",EOMONTH(E2061,0)+1,DATE(YEAR(E2061),MONTH(E2061),1))</x:f>
        <x:v>47696</x:v>
      </x:c>
      <x:c r="H2061" t="str">
        <x:f>IF(D2061="NO",IF(C2061="SÍ","FERIADO","FIN DE SEMANA"),"LABORABLE")&amp;IF(F2061="SÍ"," + CIERRE","")</x:f>
        <x:v>LABORABLE</x:v>
      </x:c>
      <x:c r="I2061" t="str">
        <x:f>TEXT(G2061,"yyyy-mm")</x:f>
        <x:v>2030-08</x:v>
      </x:c>
    </x:row>
    <x:row r="2062">
      <x:c r="A2062" s="2" t="n">
        <x:v>47718</x:v>
      </x:c>
      <x:c r="B2062" t="str">
        <x:f>CHOOSE(WEEKDAY(A2062,2),"Lunes","Martes","Miércoles","Jueves","Viernes","Sábado","Domingo")</x:f>
        <x:v>Viernes</x:v>
      </x:c>
      <x:c r="C2062" t="str">
        <x:f>IF(COUNTIF(FERIADOS!$A$2:$A$250,A2062)&gt;0,"SÍ","NO")</x:f>
        <x:v>NO</x:v>
      </x:c>
      <x:c r="D2062" t="str">
        <x:f>IF(AND(WEEKDAY(A2062,2)&lt;=5,C2062="NO"),"SÍ","NO")</x:f>
        <x:v>SÍ</x:v>
      </x:c>
      <x:c r="E2062" s="2" t="n">
        <x:f>WORKDAY.INTL(A2062-1,1,1,FERIADOS!$A$2:$A$250)</x:f>
        <x:v>47718</x:v>
      </x:c>
      <x:c r="F2062" t="str">
        <x:f>IF(E2062&gt;=WORKDAY.INTL(EOMONTH(E2062,0)+1,-2,1,FERIADOS!$A$2:$A$250),"SÍ","NO")</x:f>
        <x:v>NO</x:v>
      </x:c>
      <x:c r="G2062" s="2" t="n">
        <x:f>IF(F2062="SÍ",EOMONTH(E2062,0)+1,DATE(YEAR(E2062),MONTH(E2062),1))</x:f>
        <x:v>47696</x:v>
      </x:c>
      <x:c r="H2062" t="str">
        <x:f>IF(D2062="NO",IF(C2062="SÍ","FERIADO","FIN DE SEMANA"),"LABORABLE")&amp;IF(F2062="SÍ"," + CIERRE","")</x:f>
        <x:v>LABORABLE</x:v>
      </x:c>
      <x:c r="I2062" t="str">
        <x:f>TEXT(G2062,"yyyy-mm")</x:f>
        <x:v>2030-08</x:v>
      </x:c>
    </x:row>
    <x:row r="2063">
      <x:c r="A2063" s="2" t="n">
        <x:v>47719</x:v>
      </x:c>
      <x:c r="B2063" t="str">
        <x:f>CHOOSE(WEEKDAY(A2063,2),"Lunes","Martes","Miércoles","Jueves","Viernes","Sábado","Domingo")</x:f>
        <x:v>Sábado</x:v>
      </x:c>
      <x:c r="C2063" t="str">
        <x:f>IF(COUNTIF(FERIADOS!$A$2:$A$250,A2063)&gt;0,"SÍ","NO")</x:f>
        <x:v>NO</x:v>
      </x:c>
      <x:c r="D2063" t="str">
        <x:f>IF(AND(WEEKDAY(A2063,2)&lt;=5,C2063="NO"),"SÍ","NO")</x:f>
        <x:v>NO</x:v>
      </x:c>
      <x:c r="E2063" s="2" t="n">
        <x:f>WORKDAY.INTL(A2063-1,1,1,FERIADOS!$A$2:$A$250)</x:f>
        <x:v>47721</x:v>
      </x:c>
      <x:c r="F2063" t="str">
        <x:f>IF(E2063&gt;=WORKDAY.INTL(EOMONTH(E2063,0)+1,-2,1,FERIADOS!$A$2:$A$250),"SÍ","NO")</x:f>
        <x:v>NO</x:v>
      </x:c>
      <x:c r="G2063" s="2" t="n">
        <x:f>IF(F2063="SÍ",EOMONTH(E2063,0)+1,DATE(YEAR(E2063),MONTH(E2063),1))</x:f>
        <x:v>47696</x:v>
      </x:c>
      <x:c r="H2063" t="str">
        <x:f>IF(D2063="NO",IF(C2063="SÍ","FERIADO","FIN DE SEMANA"),"LABORABLE")&amp;IF(F2063="SÍ"," + CIERRE","")</x:f>
        <x:v>FIN DE SEMANA</x:v>
      </x:c>
      <x:c r="I2063" t="str">
        <x:f>TEXT(G2063,"yyyy-mm")</x:f>
        <x:v>2030-08</x:v>
      </x:c>
    </x:row>
    <x:row r="2064">
      <x:c r="A2064" s="2" t="n">
        <x:v>47720</x:v>
      </x:c>
      <x:c r="B2064" t="str">
        <x:f>CHOOSE(WEEKDAY(A2064,2),"Lunes","Martes","Miércoles","Jueves","Viernes","Sábado","Domingo")</x:f>
        <x:v>Domingo</x:v>
      </x:c>
      <x:c r="C2064" t="str">
        <x:f>IF(COUNTIF(FERIADOS!$A$2:$A$250,A2064)&gt;0,"SÍ","NO")</x:f>
        <x:v>NO</x:v>
      </x:c>
      <x:c r="D2064" t="str">
        <x:f>IF(AND(WEEKDAY(A2064,2)&lt;=5,C2064="NO"),"SÍ","NO")</x:f>
        <x:v>NO</x:v>
      </x:c>
      <x:c r="E2064" s="2" t="n">
        <x:f>WORKDAY.INTL(A2064-1,1,1,FERIADOS!$A$2:$A$250)</x:f>
        <x:v>47721</x:v>
      </x:c>
      <x:c r="F2064" t="str">
        <x:f>IF(E2064&gt;=WORKDAY.INTL(EOMONTH(E2064,0)+1,-2,1,FERIADOS!$A$2:$A$250),"SÍ","NO")</x:f>
        <x:v>NO</x:v>
      </x:c>
      <x:c r="G2064" s="2" t="n">
        <x:f>IF(F2064="SÍ",EOMONTH(E2064,0)+1,DATE(YEAR(E2064),MONTH(E2064),1))</x:f>
        <x:v>47696</x:v>
      </x:c>
      <x:c r="H2064" t="str">
        <x:f>IF(D2064="NO",IF(C2064="SÍ","FERIADO","FIN DE SEMANA"),"LABORABLE")&amp;IF(F2064="SÍ"," + CIERRE","")</x:f>
        <x:v>FIN DE SEMANA</x:v>
      </x:c>
      <x:c r="I2064" t="str">
        <x:f>TEXT(G2064,"yyyy-mm")</x:f>
        <x:v>2030-08</x:v>
      </x:c>
    </x:row>
    <x:row r="2065">
      <x:c r="A2065" s="2" t="n">
        <x:v>47721</x:v>
      </x:c>
      <x:c r="B2065" t="str">
        <x:f>CHOOSE(WEEKDAY(A2065,2),"Lunes","Martes","Miércoles","Jueves","Viernes","Sábado","Domingo")</x:f>
        <x:v>Lunes</x:v>
      </x:c>
      <x:c r="C2065" t="str">
        <x:f>IF(COUNTIF(FERIADOS!$A$2:$A$250,A2065)&gt;0,"SÍ","NO")</x:f>
        <x:v>NO</x:v>
      </x:c>
      <x:c r="D2065" t="str">
        <x:f>IF(AND(WEEKDAY(A2065,2)&lt;=5,C2065="NO"),"SÍ","NO")</x:f>
        <x:v>SÍ</x:v>
      </x:c>
      <x:c r="E2065" s="2" t="n">
        <x:f>WORKDAY.INTL(A2065-1,1,1,FERIADOS!$A$2:$A$250)</x:f>
        <x:v>47721</x:v>
      </x:c>
      <x:c r="F2065" t="str">
        <x:f>IF(E2065&gt;=WORKDAY.INTL(EOMONTH(E2065,0)+1,-2,1,FERIADOS!$A$2:$A$250),"SÍ","NO")</x:f>
        <x:v>NO</x:v>
      </x:c>
      <x:c r="G2065" s="2" t="n">
        <x:f>IF(F2065="SÍ",EOMONTH(E2065,0)+1,DATE(YEAR(E2065),MONTH(E2065),1))</x:f>
        <x:v>47696</x:v>
      </x:c>
      <x:c r="H2065" t="str">
        <x:f>IF(D2065="NO",IF(C2065="SÍ","FERIADO","FIN DE SEMANA"),"LABORABLE")&amp;IF(F2065="SÍ"," + CIERRE","")</x:f>
        <x:v>LABORABLE</x:v>
      </x:c>
      <x:c r="I2065" t="str">
        <x:f>TEXT(G2065,"yyyy-mm")</x:f>
        <x:v>2030-08</x:v>
      </x:c>
    </x:row>
    <x:row r="2066">
      <x:c r="A2066" s="2" t="n">
        <x:v>47722</x:v>
      </x:c>
      <x:c r="B2066" t="str">
        <x:f>CHOOSE(WEEKDAY(A2066,2),"Lunes","Martes","Miércoles","Jueves","Viernes","Sábado","Domingo")</x:f>
        <x:v>Martes</x:v>
      </x:c>
      <x:c r="C2066" t="str">
        <x:f>IF(COUNTIF(FERIADOS!$A$2:$A$250,A2066)&gt;0,"SÍ","NO")</x:f>
        <x:v>NO</x:v>
      </x:c>
      <x:c r="D2066" t="str">
        <x:f>IF(AND(WEEKDAY(A2066,2)&lt;=5,C2066="NO"),"SÍ","NO")</x:f>
        <x:v>SÍ</x:v>
      </x:c>
      <x:c r="E2066" s="2" t="n">
        <x:f>WORKDAY.INTL(A2066-1,1,1,FERIADOS!$A$2:$A$250)</x:f>
        <x:v>47722</x:v>
      </x:c>
      <x:c r="F2066" t="str">
        <x:f>IF(E2066&gt;=WORKDAY.INTL(EOMONTH(E2066,0)+1,-2,1,FERIADOS!$A$2:$A$250),"SÍ","NO")</x:f>
        <x:v>NO</x:v>
      </x:c>
      <x:c r="G2066" s="2" t="n">
        <x:f>IF(F2066="SÍ",EOMONTH(E2066,0)+1,DATE(YEAR(E2066),MONTH(E2066),1))</x:f>
        <x:v>47696</x:v>
      </x:c>
      <x:c r="H2066" t="str">
        <x:f>IF(D2066="NO",IF(C2066="SÍ","FERIADO","FIN DE SEMANA"),"LABORABLE")&amp;IF(F2066="SÍ"," + CIERRE","")</x:f>
        <x:v>LABORABLE</x:v>
      </x:c>
      <x:c r="I2066" t="str">
        <x:f>TEXT(G2066,"yyyy-mm")</x:f>
        <x:v>2030-08</x:v>
      </x:c>
    </x:row>
    <x:row r="2067">
      <x:c r="A2067" s="2" t="n">
        <x:v>47723</x:v>
      </x:c>
      <x:c r="B2067" t="str">
        <x:f>CHOOSE(WEEKDAY(A2067,2),"Lunes","Martes","Miércoles","Jueves","Viernes","Sábado","Domingo")</x:f>
        <x:v>Miércoles</x:v>
      </x:c>
      <x:c r="C2067" t="str">
        <x:f>IF(COUNTIF(FERIADOS!$A$2:$A$250,A2067)&gt;0,"SÍ","NO")</x:f>
        <x:v>NO</x:v>
      </x:c>
      <x:c r="D2067" t="str">
        <x:f>IF(AND(WEEKDAY(A2067,2)&lt;=5,C2067="NO"),"SÍ","NO")</x:f>
        <x:v>SÍ</x:v>
      </x:c>
      <x:c r="E2067" s="2" t="n">
        <x:f>WORKDAY.INTL(A2067-1,1,1,FERIADOS!$A$2:$A$250)</x:f>
        <x:v>47723</x:v>
      </x:c>
      <x:c r="F2067" t="str">
        <x:f>IF(E2067&gt;=WORKDAY.INTL(EOMONTH(E2067,0)+1,-2,1,FERIADOS!$A$2:$A$250),"SÍ","NO")</x:f>
        <x:v>NO</x:v>
      </x:c>
      <x:c r="G2067" s="2" t="n">
        <x:f>IF(F2067="SÍ",EOMONTH(E2067,0)+1,DATE(YEAR(E2067),MONTH(E2067),1))</x:f>
        <x:v>47696</x:v>
      </x:c>
      <x:c r="H2067" t="str">
        <x:f>IF(D2067="NO",IF(C2067="SÍ","FERIADO","FIN DE SEMANA"),"LABORABLE")&amp;IF(F2067="SÍ"," + CIERRE","")</x:f>
        <x:v>LABORABLE</x:v>
      </x:c>
      <x:c r="I2067" t="str">
        <x:f>TEXT(G2067,"yyyy-mm")</x:f>
        <x:v>2030-08</x:v>
      </x:c>
    </x:row>
    <x:row r="2068">
      <x:c r="A2068" s="2" t="n">
        <x:v>47724</x:v>
      </x:c>
      <x:c r="B2068" t="str">
        <x:f>CHOOSE(WEEKDAY(A2068,2),"Lunes","Martes","Miércoles","Jueves","Viernes","Sábado","Domingo")</x:f>
        <x:v>Jueves</x:v>
      </x:c>
      <x:c r="C2068" t="str">
        <x:f>IF(COUNTIF(FERIADOS!$A$2:$A$250,A2068)&gt;0,"SÍ","NO")</x:f>
        <x:v>NO</x:v>
      </x:c>
      <x:c r="D2068" t="str">
        <x:f>IF(AND(WEEKDAY(A2068,2)&lt;=5,C2068="NO"),"SÍ","NO")</x:f>
        <x:v>SÍ</x:v>
      </x:c>
      <x:c r="E2068" s="2" t="n">
        <x:f>WORKDAY.INTL(A2068-1,1,1,FERIADOS!$A$2:$A$250)</x:f>
        <x:v>47724</x:v>
      </x:c>
      <x:c r="F2068" t="str">
        <x:f>IF(E2068&gt;=WORKDAY.INTL(EOMONTH(E2068,0)+1,-2,1,FERIADOS!$A$2:$A$250),"SÍ","NO")</x:f>
        <x:v>SÍ</x:v>
      </x:c>
      <x:c r="G2068" s="2" t="n">
        <x:f>IF(F2068="SÍ",EOMONTH(E2068,0)+1,DATE(YEAR(E2068),MONTH(E2068),1))</x:f>
        <x:v>47727</x:v>
      </x:c>
      <x:c r="H2068" t="str">
        <x:f>IF(D2068="NO",IF(C2068="SÍ","FERIADO","FIN DE SEMANA"),"LABORABLE")&amp;IF(F2068="SÍ"," + CIERRE","")</x:f>
        <x:v>LABORABLE + CIERRE</x:v>
      </x:c>
      <x:c r="I2068" t="str">
        <x:f>TEXT(G2068,"yyyy-mm")</x:f>
        <x:v>2030-09</x:v>
      </x:c>
    </x:row>
    <x:row r="2069">
      <x:c r="A2069" s="2" t="n">
        <x:v>47725</x:v>
      </x:c>
      <x:c r="B2069" t="str">
        <x:f>CHOOSE(WEEKDAY(A2069,2),"Lunes","Martes","Miércoles","Jueves","Viernes","Sábado","Domingo")</x:f>
        <x:v>Viernes</x:v>
      </x:c>
      <x:c r="C2069" t="str">
        <x:f>IF(COUNTIF(FERIADOS!$A$2:$A$250,A2069)&gt;0,"SÍ","NO")</x:f>
        <x:v>NO</x:v>
      </x:c>
      <x:c r="D2069" t="str">
        <x:f>IF(AND(WEEKDAY(A2069,2)&lt;=5,C2069="NO"),"SÍ","NO")</x:f>
        <x:v>SÍ</x:v>
      </x:c>
      <x:c r="E2069" s="2" t="n">
        <x:f>WORKDAY.INTL(A2069-1,1,1,FERIADOS!$A$2:$A$250)</x:f>
        <x:v>47725</x:v>
      </x:c>
      <x:c r="F2069" t="str">
        <x:f>IF(E2069&gt;=WORKDAY.INTL(EOMONTH(E2069,0)+1,-2,1,FERIADOS!$A$2:$A$250),"SÍ","NO")</x:f>
        <x:v>SÍ</x:v>
      </x:c>
      <x:c r="G2069" s="2" t="n">
        <x:f>IF(F2069="SÍ",EOMONTH(E2069,0)+1,DATE(YEAR(E2069),MONTH(E2069),1))</x:f>
        <x:v>47727</x:v>
      </x:c>
      <x:c r="H2069" t="str">
        <x:f>IF(D2069="NO",IF(C2069="SÍ","FERIADO","FIN DE SEMANA"),"LABORABLE")&amp;IF(F2069="SÍ"," + CIERRE","")</x:f>
        <x:v>LABORABLE + CIERRE</x:v>
      </x:c>
      <x:c r="I2069" t="str">
        <x:f>TEXT(G2069,"yyyy-mm")</x:f>
        <x:v>2030-09</x:v>
      </x:c>
    </x:row>
    <x:row r="2070">
      <x:c r="A2070" s="2" t="n">
        <x:v>47726</x:v>
      </x:c>
      <x:c r="B2070" t="str">
        <x:f>CHOOSE(WEEKDAY(A2070,2),"Lunes","Martes","Miércoles","Jueves","Viernes","Sábado","Domingo")</x:f>
        <x:v>Sábado</x:v>
      </x:c>
      <x:c r="C2070" t="str">
        <x:f>IF(COUNTIF(FERIADOS!$A$2:$A$250,A2070)&gt;0,"SÍ","NO")</x:f>
        <x:v>NO</x:v>
      </x:c>
      <x:c r="D2070" t="str">
        <x:f>IF(AND(WEEKDAY(A2070,2)&lt;=5,C2070="NO"),"SÍ","NO")</x:f>
        <x:v>NO</x:v>
      </x:c>
      <x:c r="E2070" s="2" t="n">
        <x:f>WORKDAY.INTL(A2070-1,1,1,FERIADOS!$A$2:$A$250)</x:f>
        <x:v>47728</x:v>
      </x:c>
      <x:c r="F2070" t="str">
        <x:f>IF(E2070&gt;=WORKDAY.INTL(EOMONTH(E2070,0)+1,-2,1,FERIADOS!$A$2:$A$250),"SÍ","NO")</x:f>
        <x:v>NO</x:v>
      </x:c>
      <x:c r="G2070" s="2" t="n">
        <x:f>IF(F2070="SÍ",EOMONTH(E2070,0)+1,DATE(YEAR(E2070),MONTH(E2070),1))</x:f>
        <x:v>47727</x:v>
      </x:c>
      <x:c r="H2070" t="str">
        <x:f>IF(D2070="NO",IF(C2070="SÍ","FERIADO","FIN DE SEMANA"),"LABORABLE")&amp;IF(F2070="SÍ"," + CIERRE","")</x:f>
        <x:v>FIN DE SEMANA</x:v>
      </x:c>
      <x:c r="I2070" t="str">
        <x:f>TEXT(G2070,"yyyy-mm")</x:f>
        <x:v>2030-09</x:v>
      </x:c>
    </x:row>
    <x:row r="2071">
      <x:c r="A2071" s="2" t="n">
        <x:v>47727</x:v>
      </x:c>
      <x:c r="B2071" t="str">
        <x:f>CHOOSE(WEEKDAY(A2071,2),"Lunes","Martes","Miércoles","Jueves","Viernes","Sábado","Domingo")</x:f>
        <x:v>Domingo</x:v>
      </x:c>
      <x:c r="C2071" t="str">
        <x:f>IF(COUNTIF(FERIADOS!$A$2:$A$250,A2071)&gt;0,"SÍ","NO")</x:f>
        <x:v>NO</x:v>
      </x:c>
      <x:c r="D2071" t="str">
        <x:f>IF(AND(WEEKDAY(A2071,2)&lt;=5,C2071="NO"),"SÍ","NO")</x:f>
        <x:v>NO</x:v>
      </x:c>
      <x:c r="E2071" s="2" t="n">
        <x:f>WORKDAY.INTL(A2071-1,1,1,FERIADOS!$A$2:$A$250)</x:f>
        <x:v>47728</x:v>
      </x:c>
      <x:c r="F2071" t="str">
        <x:f>IF(E2071&gt;=WORKDAY.INTL(EOMONTH(E2071,0)+1,-2,1,FERIADOS!$A$2:$A$250),"SÍ","NO")</x:f>
        <x:v>NO</x:v>
      </x:c>
      <x:c r="G2071" s="2" t="n">
        <x:f>IF(F2071="SÍ",EOMONTH(E2071,0)+1,DATE(YEAR(E2071),MONTH(E2071),1))</x:f>
        <x:v>47727</x:v>
      </x:c>
      <x:c r="H2071" t="str">
        <x:f>IF(D2071="NO",IF(C2071="SÍ","FERIADO","FIN DE SEMANA"),"LABORABLE")&amp;IF(F2071="SÍ"," + CIERRE","")</x:f>
        <x:v>FIN DE SEMANA</x:v>
      </x:c>
      <x:c r="I2071" t="str">
        <x:f>TEXT(G2071,"yyyy-mm")</x:f>
        <x:v>2030-09</x:v>
      </x:c>
    </x:row>
    <x:row r="2072">
      <x:c r="A2072" s="2" t="n">
        <x:v>47728</x:v>
      </x:c>
      <x:c r="B2072" t="str">
        <x:f>CHOOSE(WEEKDAY(A2072,2),"Lunes","Martes","Miércoles","Jueves","Viernes","Sábado","Domingo")</x:f>
        <x:v>Lunes</x:v>
      </x:c>
      <x:c r="C2072" t="str">
        <x:f>IF(COUNTIF(FERIADOS!$A$2:$A$250,A2072)&gt;0,"SÍ","NO")</x:f>
        <x:v>NO</x:v>
      </x:c>
      <x:c r="D2072" t="str">
        <x:f>IF(AND(WEEKDAY(A2072,2)&lt;=5,C2072="NO"),"SÍ","NO")</x:f>
        <x:v>SÍ</x:v>
      </x:c>
      <x:c r="E2072" s="2" t="n">
        <x:f>WORKDAY.INTL(A2072-1,1,1,FERIADOS!$A$2:$A$250)</x:f>
        <x:v>47728</x:v>
      </x:c>
      <x:c r="F2072" t="str">
        <x:f>IF(E2072&gt;=WORKDAY.INTL(EOMONTH(E2072,0)+1,-2,1,FERIADOS!$A$2:$A$250),"SÍ","NO")</x:f>
        <x:v>NO</x:v>
      </x:c>
      <x:c r="G2072" s="2" t="n">
        <x:f>IF(F2072="SÍ",EOMONTH(E2072,0)+1,DATE(YEAR(E2072),MONTH(E2072),1))</x:f>
        <x:v>47727</x:v>
      </x:c>
      <x:c r="H2072" t="str">
        <x:f>IF(D2072="NO",IF(C2072="SÍ","FERIADO","FIN DE SEMANA"),"LABORABLE")&amp;IF(F2072="SÍ"," + CIERRE","")</x:f>
        <x:v>LABORABLE</x:v>
      </x:c>
      <x:c r="I2072" t="str">
        <x:f>TEXT(G2072,"yyyy-mm")</x:f>
        <x:v>2030-09</x:v>
      </x:c>
    </x:row>
    <x:row r="2073">
      <x:c r="A2073" s="2" t="n">
        <x:v>47729</x:v>
      </x:c>
      <x:c r="B2073" t="str">
        <x:f>CHOOSE(WEEKDAY(A2073,2),"Lunes","Martes","Miércoles","Jueves","Viernes","Sábado","Domingo")</x:f>
        <x:v>Martes</x:v>
      </x:c>
      <x:c r="C2073" t="str">
        <x:f>IF(COUNTIF(FERIADOS!$A$2:$A$250,A2073)&gt;0,"SÍ","NO")</x:f>
        <x:v>NO</x:v>
      </x:c>
      <x:c r="D2073" t="str">
        <x:f>IF(AND(WEEKDAY(A2073,2)&lt;=5,C2073="NO"),"SÍ","NO")</x:f>
        <x:v>SÍ</x:v>
      </x:c>
      <x:c r="E2073" s="2" t="n">
        <x:f>WORKDAY.INTL(A2073-1,1,1,FERIADOS!$A$2:$A$250)</x:f>
        <x:v>47729</x:v>
      </x:c>
      <x:c r="F2073" t="str">
        <x:f>IF(E2073&gt;=WORKDAY.INTL(EOMONTH(E2073,0)+1,-2,1,FERIADOS!$A$2:$A$250),"SÍ","NO")</x:f>
        <x:v>NO</x:v>
      </x:c>
      <x:c r="G2073" s="2" t="n">
        <x:f>IF(F2073="SÍ",EOMONTH(E2073,0)+1,DATE(YEAR(E2073),MONTH(E2073),1))</x:f>
        <x:v>47727</x:v>
      </x:c>
      <x:c r="H2073" t="str">
        <x:f>IF(D2073="NO",IF(C2073="SÍ","FERIADO","FIN DE SEMANA"),"LABORABLE")&amp;IF(F2073="SÍ"," + CIERRE","")</x:f>
        <x:v>LABORABLE</x:v>
      </x:c>
      <x:c r="I2073" t="str">
        <x:f>TEXT(G2073,"yyyy-mm")</x:f>
        <x:v>2030-09</x:v>
      </x:c>
    </x:row>
    <x:row r="2074">
      <x:c r="A2074" s="2" t="n">
        <x:v>47730</x:v>
      </x:c>
      <x:c r="B2074" t="str">
        <x:f>CHOOSE(WEEKDAY(A2074,2),"Lunes","Martes","Miércoles","Jueves","Viernes","Sábado","Domingo")</x:f>
        <x:v>Miércoles</x:v>
      </x:c>
      <x:c r="C2074" t="str">
        <x:f>IF(COUNTIF(FERIADOS!$A$2:$A$250,A2074)&gt;0,"SÍ","NO")</x:f>
        <x:v>NO</x:v>
      </x:c>
      <x:c r="D2074" t="str">
        <x:f>IF(AND(WEEKDAY(A2074,2)&lt;=5,C2074="NO"),"SÍ","NO")</x:f>
        <x:v>SÍ</x:v>
      </x:c>
      <x:c r="E2074" s="2" t="n">
        <x:f>WORKDAY.INTL(A2074-1,1,1,FERIADOS!$A$2:$A$250)</x:f>
        <x:v>47730</x:v>
      </x:c>
      <x:c r="F2074" t="str">
        <x:f>IF(E2074&gt;=WORKDAY.INTL(EOMONTH(E2074,0)+1,-2,1,FERIADOS!$A$2:$A$250),"SÍ","NO")</x:f>
        <x:v>NO</x:v>
      </x:c>
      <x:c r="G2074" s="2" t="n">
        <x:f>IF(F2074="SÍ",EOMONTH(E2074,0)+1,DATE(YEAR(E2074),MONTH(E2074),1))</x:f>
        <x:v>47727</x:v>
      </x:c>
      <x:c r="H2074" t="str">
        <x:f>IF(D2074="NO",IF(C2074="SÍ","FERIADO","FIN DE SEMANA"),"LABORABLE")&amp;IF(F2074="SÍ"," + CIERRE","")</x:f>
        <x:v>LABORABLE</x:v>
      </x:c>
      <x:c r="I2074" t="str">
        <x:f>TEXT(G2074,"yyyy-mm")</x:f>
        <x:v>2030-09</x:v>
      </x:c>
    </x:row>
    <x:row r="2075">
      <x:c r="A2075" s="2" t="n">
        <x:v>47731</x:v>
      </x:c>
      <x:c r="B2075" t="str">
        <x:f>CHOOSE(WEEKDAY(A2075,2),"Lunes","Martes","Miércoles","Jueves","Viernes","Sábado","Domingo")</x:f>
        <x:v>Jueves</x:v>
      </x:c>
      <x:c r="C2075" t="str">
        <x:f>IF(COUNTIF(FERIADOS!$A$2:$A$250,A2075)&gt;0,"SÍ","NO")</x:f>
        <x:v>NO</x:v>
      </x:c>
      <x:c r="D2075" t="str">
        <x:f>IF(AND(WEEKDAY(A2075,2)&lt;=5,C2075="NO"),"SÍ","NO")</x:f>
        <x:v>SÍ</x:v>
      </x:c>
      <x:c r="E2075" s="2" t="n">
        <x:f>WORKDAY.INTL(A2075-1,1,1,FERIADOS!$A$2:$A$250)</x:f>
        <x:v>47731</x:v>
      </x:c>
      <x:c r="F2075" t="str">
        <x:f>IF(E2075&gt;=WORKDAY.INTL(EOMONTH(E2075,0)+1,-2,1,FERIADOS!$A$2:$A$250),"SÍ","NO")</x:f>
        <x:v>NO</x:v>
      </x:c>
      <x:c r="G2075" s="2" t="n">
        <x:f>IF(F2075="SÍ",EOMONTH(E2075,0)+1,DATE(YEAR(E2075),MONTH(E2075),1))</x:f>
        <x:v>47727</x:v>
      </x:c>
      <x:c r="H2075" t="str">
        <x:f>IF(D2075="NO",IF(C2075="SÍ","FERIADO","FIN DE SEMANA"),"LABORABLE")&amp;IF(F2075="SÍ"," + CIERRE","")</x:f>
        <x:v>LABORABLE</x:v>
      </x:c>
      <x:c r="I2075" t="str">
        <x:f>TEXT(G2075,"yyyy-mm")</x:f>
        <x:v>2030-09</x:v>
      </x:c>
    </x:row>
    <x:row r="2076">
      <x:c r="A2076" s="2" t="n">
        <x:v>47732</x:v>
      </x:c>
      <x:c r="B2076" t="str">
        <x:f>CHOOSE(WEEKDAY(A2076,2),"Lunes","Martes","Miércoles","Jueves","Viernes","Sábado","Domingo")</x:f>
        <x:v>Viernes</x:v>
      </x:c>
      <x:c r="C2076" t="str">
        <x:f>IF(COUNTIF(FERIADOS!$A$2:$A$250,A2076)&gt;0,"SÍ","NO")</x:f>
        <x:v>NO</x:v>
      </x:c>
      <x:c r="D2076" t="str">
        <x:f>IF(AND(WEEKDAY(A2076,2)&lt;=5,C2076="NO"),"SÍ","NO")</x:f>
        <x:v>SÍ</x:v>
      </x:c>
      <x:c r="E2076" s="2" t="n">
        <x:f>WORKDAY.INTL(A2076-1,1,1,FERIADOS!$A$2:$A$250)</x:f>
        <x:v>47732</x:v>
      </x:c>
      <x:c r="F2076" t="str">
        <x:f>IF(E2076&gt;=WORKDAY.INTL(EOMONTH(E2076,0)+1,-2,1,FERIADOS!$A$2:$A$250),"SÍ","NO")</x:f>
        <x:v>NO</x:v>
      </x:c>
      <x:c r="G2076" s="2" t="n">
        <x:f>IF(F2076="SÍ",EOMONTH(E2076,0)+1,DATE(YEAR(E2076),MONTH(E2076),1))</x:f>
        <x:v>47727</x:v>
      </x:c>
      <x:c r="H2076" t="str">
        <x:f>IF(D2076="NO",IF(C2076="SÍ","FERIADO","FIN DE SEMANA"),"LABORABLE")&amp;IF(F2076="SÍ"," + CIERRE","")</x:f>
        <x:v>LABORABLE</x:v>
      </x:c>
      <x:c r="I2076" t="str">
        <x:f>TEXT(G2076,"yyyy-mm")</x:f>
        <x:v>2030-09</x:v>
      </x:c>
    </x:row>
    <x:row r="2077">
      <x:c r="A2077" s="2" t="n">
        <x:v>47733</x:v>
      </x:c>
      <x:c r="B2077" t="str">
        <x:f>CHOOSE(WEEKDAY(A2077,2),"Lunes","Martes","Miércoles","Jueves","Viernes","Sábado","Domingo")</x:f>
        <x:v>Sábado</x:v>
      </x:c>
      <x:c r="C2077" t="str">
        <x:f>IF(COUNTIF(FERIADOS!$A$2:$A$250,A2077)&gt;0,"SÍ","NO")</x:f>
        <x:v>NO</x:v>
      </x:c>
      <x:c r="D2077" t="str">
        <x:f>IF(AND(WEEKDAY(A2077,2)&lt;=5,C2077="NO"),"SÍ","NO")</x:f>
        <x:v>NO</x:v>
      </x:c>
      <x:c r="E2077" s="2" t="n">
        <x:f>WORKDAY.INTL(A2077-1,1,1,FERIADOS!$A$2:$A$250)</x:f>
        <x:v>47735</x:v>
      </x:c>
      <x:c r="F2077" t="str">
        <x:f>IF(E2077&gt;=WORKDAY.INTL(EOMONTH(E2077,0)+1,-2,1,FERIADOS!$A$2:$A$250),"SÍ","NO")</x:f>
        <x:v>NO</x:v>
      </x:c>
      <x:c r="G2077" s="2" t="n">
        <x:f>IF(F2077="SÍ",EOMONTH(E2077,0)+1,DATE(YEAR(E2077),MONTH(E2077),1))</x:f>
        <x:v>47727</x:v>
      </x:c>
      <x:c r="H2077" t="str">
        <x:f>IF(D2077="NO",IF(C2077="SÍ","FERIADO","FIN DE SEMANA"),"LABORABLE")&amp;IF(F2077="SÍ"," + CIERRE","")</x:f>
        <x:v>FIN DE SEMANA</x:v>
      </x:c>
      <x:c r="I2077" t="str">
        <x:f>TEXT(G2077,"yyyy-mm")</x:f>
        <x:v>2030-09</x:v>
      </x:c>
    </x:row>
    <x:row r="2078">
      <x:c r="A2078" s="2" t="n">
        <x:v>47734</x:v>
      </x:c>
      <x:c r="B2078" t="str">
        <x:f>CHOOSE(WEEKDAY(A2078,2),"Lunes","Martes","Miércoles","Jueves","Viernes","Sábado","Domingo")</x:f>
        <x:v>Domingo</x:v>
      </x:c>
      <x:c r="C2078" t="str">
        <x:f>IF(COUNTIF(FERIADOS!$A$2:$A$250,A2078)&gt;0,"SÍ","NO")</x:f>
        <x:v>NO</x:v>
      </x:c>
      <x:c r="D2078" t="str">
        <x:f>IF(AND(WEEKDAY(A2078,2)&lt;=5,C2078="NO"),"SÍ","NO")</x:f>
        <x:v>NO</x:v>
      </x:c>
      <x:c r="E2078" s="2" t="n">
        <x:f>WORKDAY.INTL(A2078-1,1,1,FERIADOS!$A$2:$A$250)</x:f>
        <x:v>47735</x:v>
      </x:c>
      <x:c r="F2078" t="str">
        <x:f>IF(E2078&gt;=WORKDAY.INTL(EOMONTH(E2078,0)+1,-2,1,FERIADOS!$A$2:$A$250),"SÍ","NO")</x:f>
        <x:v>NO</x:v>
      </x:c>
      <x:c r="G2078" s="2" t="n">
        <x:f>IF(F2078="SÍ",EOMONTH(E2078,0)+1,DATE(YEAR(E2078),MONTH(E2078),1))</x:f>
        <x:v>47727</x:v>
      </x:c>
      <x:c r="H2078" t="str">
        <x:f>IF(D2078="NO",IF(C2078="SÍ","FERIADO","FIN DE SEMANA"),"LABORABLE")&amp;IF(F2078="SÍ"," + CIERRE","")</x:f>
        <x:v>FIN DE SEMANA</x:v>
      </x:c>
      <x:c r="I2078" t="str">
        <x:f>TEXT(G2078,"yyyy-mm")</x:f>
        <x:v>2030-09</x:v>
      </x:c>
    </x:row>
    <x:row r="2079">
      <x:c r="A2079" s="2" t="n">
        <x:v>47735</x:v>
      </x:c>
      <x:c r="B2079" t="str">
        <x:f>CHOOSE(WEEKDAY(A2079,2),"Lunes","Martes","Miércoles","Jueves","Viernes","Sábado","Domingo")</x:f>
        <x:v>Lunes</x:v>
      </x:c>
      <x:c r="C2079" t="str">
        <x:f>IF(COUNTIF(FERIADOS!$A$2:$A$250,A2079)&gt;0,"SÍ","NO")</x:f>
        <x:v>NO</x:v>
      </x:c>
      <x:c r="D2079" t="str">
        <x:f>IF(AND(WEEKDAY(A2079,2)&lt;=5,C2079="NO"),"SÍ","NO")</x:f>
        <x:v>SÍ</x:v>
      </x:c>
      <x:c r="E2079" s="2" t="n">
        <x:f>WORKDAY.INTL(A2079-1,1,1,FERIADOS!$A$2:$A$250)</x:f>
        <x:v>47735</x:v>
      </x:c>
      <x:c r="F2079" t="str">
        <x:f>IF(E2079&gt;=WORKDAY.INTL(EOMONTH(E2079,0)+1,-2,1,FERIADOS!$A$2:$A$250),"SÍ","NO")</x:f>
        <x:v>NO</x:v>
      </x:c>
      <x:c r="G2079" s="2" t="n">
        <x:f>IF(F2079="SÍ",EOMONTH(E2079,0)+1,DATE(YEAR(E2079),MONTH(E2079),1))</x:f>
        <x:v>47727</x:v>
      </x:c>
      <x:c r="H2079" t="str">
        <x:f>IF(D2079="NO",IF(C2079="SÍ","FERIADO","FIN DE SEMANA"),"LABORABLE")&amp;IF(F2079="SÍ"," + CIERRE","")</x:f>
        <x:v>LABORABLE</x:v>
      </x:c>
      <x:c r="I2079" t="str">
        <x:f>TEXT(G2079,"yyyy-mm")</x:f>
        <x:v>2030-09</x:v>
      </x:c>
    </x:row>
    <x:row r="2080">
      <x:c r="A2080" s="2" t="n">
        <x:v>47736</x:v>
      </x:c>
      <x:c r="B2080" t="str">
        <x:f>CHOOSE(WEEKDAY(A2080,2),"Lunes","Martes","Miércoles","Jueves","Viernes","Sábado","Domingo")</x:f>
        <x:v>Martes</x:v>
      </x:c>
      <x:c r="C2080" t="str">
        <x:f>IF(COUNTIF(FERIADOS!$A$2:$A$250,A2080)&gt;0,"SÍ","NO")</x:f>
        <x:v>NO</x:v>
      </x:c>
      <x:c r="D2080" t="str">
        <x:f>IF(AND(WEEKDAY(A2080,2)&lt;=5,C2080="NO"),"SÍ","NO")</x:f>
        <x:v>SÍ</x:v>
      </x:c>
      <x:c r="E2080" s="2" t="n">
        <x:f>WORKDAY.INTL(A2080-1,1,1,FERIADOS!$A$2:$A$250)</x:f>
        <x:v>47736</x:v>
      </x:c>
      <x:c r="F2080" t="str">
        <x:f>IF(E2080&gt;=WORKDAY.INTL(EOMONTH(E2080,0)+1,-2,1,FERIADOS!$A$2:$A$250),"SÍ","NO")</x:f>
        <x:v>NO</x:v>
      </x:c>
      <x:c r="G2080" s="2" t="n">
        <x:f>IF(F2080="SÍ",EOMONTH(E2080,0)+1,DATE(YEAR(E2080),MONTH(E2080),1))</x:f>
        <x:v>47727</x:v>
      </x:c>
      <x:c r="H2080" t="str">
        <x:f>IF(D2080="NO",IF(C2080="SÍ","FERIADO","FIN DE SEMANA"),"LABORABLE")&amp;IF(F2080="SÍ"," + CIERRE","")</x:f>
        <x:v>LABORABLE</x:v>
      </x:c>
      <x:c r="I2080" t="str">
        <x:f>TEXT(G2080,"yyyy-mm")</x:f>
        <x:v>2030-09</x:v>
      </x:c>
    </x:row>
    <x:row r="2081">
      <x:c r="A2081" s="2" t="n">
        <x:v>47737</x:v>
      </x:c>
      <x:c r="B2081" t="str">
        <x:f>CHOOSE(WEEKDAY(A2081,2),"Lunes","Martes","Miércoles","Jueves","Viernes","Sábado","Domingo")</x:f>
        <x:v>Miércoles</x:v>
      </x:c>
      <x:c r="C2081" t="str">
        <x:f>IF(COUNTIF(FERIADOS!$A$2:$A$250,A2081)&gt;0,"SÍ","NO")</x:f>
        <x:v>NO</x:v>
      </x:c>
      <x:c r="D2081" t="str">
        <x:f>IF(AND(WEEKDAY(A2081,2)&lt;=5,C2081="NO"),"SÍ","NO")</x:f>
        <x:v>SÍ</x:v>
      </x:c>
      <x:c r="E2081" s="2" t="n">
        <x:f>WORKDAY.INTL(A2081-1,1,1,FERIADOS!$A$2:$A$250)</x:f>
        <x:v>47737</x:v>
      </x:c>
      <x:c r="F2081" t="str">
        <x:f>IF(E2081&gt;=WORKDAY.INTL(EOMONTH(E2081,0)+1,-2,1,FERIADOS!$A$2:$A$250),"SÍ","NO")</x:f>
        <x:v>NO</x:v>
      </x:c>
      <x:c r="G2081" s="2" t="n">
        <x:f>IF(F2081="SÍ",EOMONTH(E2081,0)+1,DATE(YEAR(E2081),MONTH(E2081),1))</x:f>
        <x:v>47727</x:v>
      </x:c>
      <x:c r="H2081" t="str">
        <x:f>IF(D2081="NO",IF(C2081="SÍ","FERIADO","FIN DE SEMANA"),"LABORABLE")&amp;IF(F2081="SÍ"," + CIERRE","")</x:f>
        <x:v>LABORABLE</x:v>
      </x:c>
      <x:c r="I2081" t="str">
        <x:f>TEXT(G2081,"yyyy-mm")</x:f>
        <x:v>2030-09</x:v>
      </x:c>
    </x:row>
    <x:row r="2082">
      <x:c r="A2082" s="2" t="n">
        <x:v>47738</x:v>
      </x:c>
      <x:c r="B2082" t="str">
        <x:f>CHOOSE(WEEKDAY(A2082,2),"Lunes","Martes","Miércoles","Jueves","Viernes","Sábado","Domingo")</x:f>
        <x:v>Jueves</x:v>
      </x:c>
      <x:c r="C2082" t="str">
        <x:f>IF(COUNTIF(FERIADOS!$A$2:$A$250,A2082)&gt;0,"SÍ","NO")</x:f>
        <x:v>NO</x:v>
      </x:c>
      <x:c r="D2082" t="str">
        <x:f>IF(AND(WEEKDAY(A2082,2)&lt;=5,C2082="NO"),"SÍ","NO")</x:f>
        <x:v>SÍ</x:v>
      </x:c>
      <x:c r="E2082" s="2" t="n">
        <x:f>WORKDAY.INTL(A2082-1,1,1,FERIADOS!$A$2:$A$250)</x:f>
        <x:v>47738</x:v>
      </x:c>
      <x:c r="F2082" t="str">
        <x:f>IF(E2082&gt;=WORKDAY.INTL(EOMONTH(E2082,0)+1,-2,1,FERIADOS!$A$2:$A$250),"SÍ","NO")</x:f>
        <x:v>NO</x:v>
      </x:c>
      <x:c r="G2082" s="2" t="n">
        <x:f>IF(F2082="SÍ",EOMONTH(E2082,0)+1,DATE(YEAR(E2082),MONTH(E2082),1))</x:f>
        <x:v>47727</x:v>
      </x:c>
      <x:c r="H2082" t="str">
        <x:f>IF(D2082="NO",IF(C2082="SÍ","FERIADO","FIN DE SEMANA"),"LABORABLE")&amp;IF(F2082="SÍ"," + CIERRE","")</x:f>
        <x:v>LABORABLE</x:v>
      </x:c>
      <x:c r="I2082" t="str">
        <x:f>TEXT(G2082,"yyyy-mm")</x:f>
        <x:v>2030-09</x:v>
      </x:c>
    </x:row>
    <x:row r="2083">
      <x:c r="A2083" s="2" t="n">
        <x:v>47739</x:v>
      </x:c>
      <x:c r="B2083" t="str">
        <x:f>CHOOSE(WEEKDAY(A2083,2),"Lunes","Martes","Miércoles","Jueves","Viernes","Sábado","Domingo")</x:f>
        <x:v>Viernes</x:v>
      </x:c>
      <x:c r="C2083" t="str">
        <x:f>IF(COUNTIF(FERIADOS!$A$2:$A$250,A2083)&gt;0,"SÍ","NO")</x:f>
        <x:v>NO</x:v>
      </x:c>
      <x:c r="D2083" t="str">
        <x:f>IF(AND(WEEKDAY(A2083,2)&lt;=5,C2083="NO"),"SÍ","NO")</x:f>
        <x:v>SÍ</x:v>
      </x:c>
      <x:c r="E2083" s="2" t="n">
        <x:f>WORKDAY.INTL(A2083-1,1,1,FERIADOS!$A$2:$A$250)</x:f>
        <x:v>47739</x:v>
      </x:c>
      <x:c r="F2083" t="str">
        <x:f>IF(E2083&gt;=WORKDAY.INTL(EOMONTH(E2083,0)+1,-2,1,FERIADOS!$A$2:$A$250),"SÍ","NO")</x:f>
        <x:v>NO</x:v>
      </x:c>
      <x:c r="G2083" s="2" t="n">
        <x:f>IF(F2083="SÍ",EOMONTH(E2083,0)+1,DATE(YEAR(E2083),MONTH(E2083),1))</x:f>
        <x:v>47727</x:v>
      </x:c>
      <x:c r="H2083" t="str">
        <x:f>IF(D2083="NO",IF(C2083="SÍ","FERIADO","FIN DE SEMANA"),"LABORABLE")&amp;IF(F2083="SÍ"," + CIERRE","")</x:f>
        <x:v>LABORABLE</x:v>
      </x:c>
      <x:c r="I2083" t="str">
        <x:f>TEXT(G2083,"yyyy-mm")</x:f>
        <x:v>2030-09</x:v>
      </x:c>
    </x:row>
    <x:row r="2084">
      <x:c r="A2084" s="2" t="n">
        <x:v>47740</x:v>
      </x:c>
      <x:c r="B2084" t="str">
        <x:f>CHOOSE(WEEKDAY(A2084,2),"Lunes","Martes","Miércoles","Jueves","Viernes","Sábado","Domingo")</x:f>
        <x:v>Sábado</x:v>
      </x:c>
      <x:c r="C2084" t="str">
        <x:f>IF(COUNTIF(FERIADOS!$A$2:$A$250,A2084)&gt;0,"SÍ","NO")</x:f>
        <x:v>NO</x:v>
      </x:c>
      <x:c r="D2084" t="str">
        <x:f>IF(AND(WEEKDAY(A2084,2)&lt;=5,C2084="NO"),"SÍ","NO")</x:f>
        <x:v>NO</x:v>
      </x:c>
      <x:c r="E2084" s="2" t="n">
        <x:f>WORKDAY.INTL(A2084-1,1,1,FERIADOS!$A$2:$A$250)</x:f>
        <x:v>47742</x:v>
      </x:c>
      <x:c r="F2084" t="str">
        <x:f>IF(E2084&gt;=WORKDAY.INTL(EOMONTH(E2084,0)+1,-2,1,FERIADOS!$A$2:$A$250),"SÍ","NO")</x:f>
        <x:v>NO</x:v>
      </x:c>
      <x:c r="G2084" s="2" t="n">
        <x:f>IF(F2084="SÍ",EOMONTH(E2084,0)+1,DATE(YEAR(E2084),MONTH(E2084),1))</x:f>
        <x:v>47727</x:v>
      </x:c>
      <x:c r="H2084" t="str">
        <x:f>IF(D2084="NO",IF(C2084="SÍ","FERIADO","FIN DE SEMANA"),"LABORABLE")&amp;IF(F2084="SÍ"," + CIERRE","")</x:f>
        <x:v>FIN DE SEMANA</x:v>
      </x:c>
      <x:c r="I2084" t="str">
        <x:f>TEXT(G2084,"yyyy-mm")</x:f>
        <x:v>2030-09</x:v>
      </x:c>
    </x:row>
    <x:row r="2085">
      <x:c r="A2085" s="2" t="n">
        <x:v>47741</x:v>
      </x:c>
      <x:c r="B2085" t="str">
        <x:f>CHOOSE(WEEKDAY(A2085,2),"Lunes","Martes","Miércoles","Jueves","Viernes","Sábado","Domingo")</x:f>
        <x:v>Domingo</x:v>
      </x:c>
      <x:c r="C2085" t="str">
        <x:f>IF(COUNTIF(FERIADOS!$A$2:$A$250,A2085)&gt;0,"SÍ","NO")</x:f>
        <x:v>NO</x:v>
      </x:c>
      <x:c r="D2085" t="str">
        <x:f>IF(AND(WEEKDAY(A2085,2)&lt;=5,C2085="NO"),"SÍ","NO")</x:f>
        <x:v>NO</x:v>
      </x:c>
      <x:c r="E2085" s="2" t="n">
        <x:f>WORKDAY.INTL(A2085-1,1,1,FERIADOS!$A$2:$A$250)</x:f>
        <x:v>47742</x:v>
      </x:c>
      <x:c r="F2085" t="str">
        <x:f>IF(E2085&gt;=WORKDAY.INTL(EOMONTH(E2085,0)+1,-2,1,FERIADOS!$A$2:$A$250),"SÍ","NO")</x:f>
        <x:v>NO</x:v>
      </x:c>
      <x:c r="G2085" s="2" t="n">
        <x:f>IF(F2085="SÍ",EOMONTH(E2085,0)+1,DATE(YEAR(E2085),MONTH(E2085),1))</x:f>
        <x:v>47727</x:v>
      </x:c>
      <x:c r="H2085" t="str">
        <x:f>IF(D2085="NO",IF(C2085="SÍ","FERIADO","FIN DE SEMANA"),"LABORABLE")&amp;IF(F2085="SÍ"," + CIERRE","")</x:f>
        <x:v>FIN DE SEMANA</x:v>
      </x:c>
      <x:c r="I2085" t="str">
        <x:f>TEXT(G2085,"yyyy-mm")</x:f>
        <x:v>2030-09</x:v>
      </x:c>
    </x:row>
    <x:row r="2086">
      <x:c r="A2086" s="2" t="n">
        <x:v>47742</x:v>
      </x:c>
      <x:c r="B2086" t="str">
        <x:f>CHOOSE(WEEKDAY(A2086,2),"Lunes","Martes","Miércoles","Jueves","Viernes","Sábado","Domingo")</x:f>
        <x:v>Lunes</x:v>
      </x:c>
      <x:c r="C2086" t="str">
        <x:f>IF(COUNTIF(FERIADOS!$A$2:$A$250,A2086)&gt;0,"SÍ","NO")</x:f>
        <x:v>NO</x:v>
      </x:c>
      <x:c r="D2086" t="str">
        <x:f>IF(AND(WEEKDAY(A2086,2)&lt;=5,C2086="NO"),"SÍ","NO")</x:f>
        <x:v>SÍ</x:v>
      </x:c>
      <x:c r="E2086" s="2" t="n">
        <x:f>WORKDAY.INTL(A2086-1,1,1,FERIADOS!$A$2:$A$250)</x:f>
        <x:v>47742</x:v>
      </x:c>
      <x:c r="F2086" t="str">
        <x:f>IF(E2086&gt;=WORKDAY.INTL(EOMONTH(E2086,0)+1,-2,1,FERIADOS!$A$2:$A$250),"SÍ","NO")</x:f>
        <x:v>NO</x:v>
      </x:c>
      <x:c r="G2086" s="2" t="n">
        <x:f>IF(F2086="SÍ",EOMONTH(E2086,0)+1,DATE(YEAR(E2086),MONTH(E2086),1))</x:f>
        <x:v>47727</x:v>
      </x:c>
      <x:c r="H2086" t="str">
        <x:f>IF(D2086="NO",IF(C2086="SÍ","FERIADO","FIN DE SEMANA"),"LABORABLE")&amp;IF(F2086="SÍ"," + CIERRE","")</x:f>
        <x:v>LABORABLE</x:v>
      </x:c>
      <x:c r="I2086" t="str">
        <x:f>TEXT(G2086,"yyyy-mm")</x:f>
        <x:v>2030-09</x:v>
      </x:c>
    </x:row>
    <x:row r="2087">
      <x:c r="A2087" s="2" t="n">
        <x:v>47743</x:v>
      </x:c>
      <x:c r="B2087" t="str">
        <x:f>CHOOSE(WEEKDAY(A2087,2),"Lunes","Martes","Miércoles","Jueves","Viernes","Sábado","Domingo")</x:f>
        <x:v>Martes</x:v>
      </x:c>
      <x:c r="C2087" t="str">
        <x:f>IF(COUNTIF(FERIADOS!$A$2:$A$250,A2087)&gt;0,"SÍ","NO")</x:f>
        <x:v>NO</x:v>
      </x:c>
      <x:c r="D2087" t="str">
        <x:f>IF(AND(WEEKDAY(A2087,2)&lt;=5,C2087="NO"),"SÍ","NO")</x:f>
        <x:v>SÍ</x:v>
      </x:c>
      <x:c r="E2087" s="2" t="n">
        <x:f>WORKDAY.INTL(A2087-1,1,1,FERIADOS!$A$2:$A$250)</x:f>
        <x:v>47743</x:v>
      </x:c>
      <x:c r="F2087" t="str">
        <x:f>IF(E2087&gt;=WORKDAY.INTL(EOMONTH(E2087,0)+1,-2,1,FERIADOS!$A$2:$A$250),"SÍ","NO")</x:f>
        <x:v>NO</x:v>
      </x:c>
      <x:c r="G2087" s="2" t="n">
        <x:f>IF(F2087="SÍ",EOMONTH(E2087,0)+1,DATE(YEAR(E2087),MONTH(E2087),1))</x:f>
        <x:v>47727</x:v>
      </x:c>
      <x:c r="H2087" t="str">
        <x:f>IF(D2087="NO",IF(C2087="SÍ","FERIADO","FIN DE SEMANA"),"LABORABLE")&amp;IF(F2087="SÍ"," + CIERRE","")</x:f>
        <x:v>LABORABLE</x:v>
      </x:c>
      <x:c r="I2087" t="str">
        <x:f>TEXT(G2087,"yyyy-mm")</x:f>
        <x:v>2030-09</x:v>
      </x:c>
    </x:row>
    <x:row r="2088">
      <x:c r="A2088" s="2" t="n">
        <x:v>47744</x:v>
      </x:c>
      <x:c r="B2088" t="str">
        <x:f>CHOOSE(WEEKDAY(A2088,2),"Lunes","Martes","Miércoles","Jueves","Viernes","Sábado","Domingo")</x:f>
        <x:v>Miércoles</x:v>
      </x:c>
      <x:c r="C2088" t="str">
        <x:f>IF(COUNTIF(FERIADOS!$A$2:$A$250,A2088)&gt;0,"SÍ","NO")</x:f>
        <x:v>NO</x:v>
      </x:c>
      <x:c r="D2088" t="str">
        <x:f>IF(AND(WEEKDAY(A2088,2)&lt;=5,C2088="NO"),"SÍ","NO")</x:f>
        <x:v>SÍ</x:v>
      </x:c>
      <x:c r="E2088" s="2" t="n">
        <x:f>WORKDAY.INTL(A2088-1,1,1,FERIADOS!$A$2:$A$250)</x:f>
        <x:v>47744</x:v>
      </x:c>
      <x:c r="F2088" t="str">
        <x:f>IF(E2088&gt;=WORKDAY.INTL(EOMONTH(E2088,0)+1,-2,1,FERIADOS!$A$2:$A$250),"SÍ","NO")</x:f>
        <x:v>NO</x:v>
      </x:c>
      <x:c r="G2088" s="2" t="n">
        <x:f>IF(F2088="SÍ",EOMONTH(E2088,0)+1,DATE(YEAR(E2088),MONTH(E2088),1))</x:f>
        <x:v>47727</x:v>
      </x:c>
      <x:c r="H2088" t="str">
        <x:f>IF(D2088="NO",IF(C2088="SÍ","FERIADO","FIN DE SEMANA"),"LABORABLE")&amp;IF(F2088="SÍ"," + CIERRE","")</x:f>
        <x:v>LABORABLE</x:v>
      </x:c>
      <x:c r="I2088" t="str">
        <x:f>TEXT(G2088,"yyyy-mm")</x:f>
        <x:v>2030-09</x:v>
      </x:c>
    </x:row>
    <x:row r="2089">
      <x:c r="A2089" s="2" t="n">
        <x:v>47745</x:v>
      </x:c>
      <x:c r="B2089" t="str">
        <x:f>CHOOSE(WEEKDAY(A2089,2),"Lunes","Martes","Miércoles","Jueves","Viernes","Sábado","Domingo")</x:f>
        <x:v>Jueves</x:v>
      </x:c>
      <x:c r="C2089" t="str">
        <x:f>IF(COUNTIF(FERIADOS!$A$2:$A$250,A2089)&gt;0,"SÍ","NO")</x:f>
        <x:v>NO</x:v>
      </x:c>
      <x:c r="D2089" t="str">
        <x:f>IF(AND(WEEKDAY(A2089,2)&lt;=5,C2089="NO"),"SÍ","NO")</x:f>
        <x:v>SÍ</x:v>
      </x:c>
      <x:c r="E2089" s="2" t="n">
        <x:f>WORKDAY.INTL(A2089-1,1,1,FERIADOS!$A$2:$A$250)</x:f>
        <x:v>47745</x:v>
      </x:c>
      <x:c r="F2089" t="str">
        <x:f>IF(E2089&gt;=WORKDAY.INTL(EOMONTH(E2089,0)+1,-2,1,FERIADOS!$A$2:$A$250),"SÍ","NO")</x:f>
        <x:v>NO</x:v>
      </x:c>
      <x:c r="G2089" s="2" t="n">
        <x:f>IF(F2089="SÍ",EOMONTH(E2089,0)+1,DATE(YEAR(E2089),MONTH(E2089),1))</x:f>
        <x:v>47727</x:v>
      </x:c>
      <x:c r="H2089" t="str">
        <x:f>IF(D2089="NO",IF(C2089="SÍ","FERIADO","FIN DE SEMANA"),"LABORABLE")&amp;IF(F2089="SÍ"," + CIERRE","")</x:f>
        <x:v>LABORABLE</x:v>
      </x:c>
      <x:c r="I2089" t="str">
        <x:f>TEXT(G2089,"yyyy-mm")</x:f>
        <x:v>2030-09</x:v>
      </x:c>
    </x:row>
    <x:row r="2090">
      <x:c r="A2090" s="2" t="n">
        <x:v>47746</x:v>
      </x:c>
      <x:c r="B2090" t="str">
        <x:f>CHOOSE(WEEKDAY(A2090,2),"Lunes","Martes","Miércoles","Jueves","Viernes","Sábado","Domingo")</x:f>
        <x:v>Viernes</x:v>
      </x:c>
      <x:c r="C2090" t="str">
        <x:f>IF(COUNTIF(FERIADOS!$A$2:$A$250,A2090)&gt;0,"SÍ","NO")</x:f>
        <x:v>NO</x:v>
      </x:c>
      <x:c r="D2090" t="str">
        <x:f>IF(AND(WEEKDAY(A2090,2)&lt;=5,C2090="NO"),"SÍ","NO")</x:f>
        <x:v>SÍ</x:v>
      </x:c>
      <x:c r="E2090" s="2" t="n">
        <x:f>WORKDAY.INTL(A2090-1,1,1,FERIADOS!$A$2:$A$250)</x:f>
        <x:v>47746</x:v>
      </x:c>
      <x:c r="F2090" t="str">
        <x:f>IF(E2090&gt;=WORKDAY.INTL(EOMONTH(E2090,0)+1,-2,1,FERIADOS!$A$2:$A$250),"SÍ","NO")</x:f>
        <x:v>NO</x:v>
      </x:c>
      <x:c r="G2090" s="2" t="n">
        <x:f>IF(F2090="SÍ",EOMONTH(E2090,0)+1,DATE(YEAR(E2090),MONTH(E2090),1))</x:f>
        <x:v>47727</x:v>
      </x:c>
      <x:c r="H2090" t="str">
        <x:f>IF(D2090="NO",IF(C2090="SÍ","FERIADO","FIN DE SEMANA"),"LABORABLE")&amp;IF(F2090="SÍ"," + CIERRE","")</x:f>
        <x:v>LABORABLE</x:v>
      </x:c>
      <x:c r="I2090" t="str">
        <x:f>TEXT(G2090,"yyyy-mm")</x:f>
        <x:v>2030-09</x:v>
      </x:c>
    </x:row>
    <x:row r="2091">
      <x:c r="A2091" s="2" t="n">
        <x:v>47747</x:v>
      </x:c>
      <x:c r="B2091" t="str">
        <x:f>CHOOSE(WEEKDAY(A2091,2),"Lunes","Martes","Miércoles","Jueves","Viernes","Sábado","Domingo")</x:f>
        <x:v>Sábado</x:v>
      </x:c>
      <x:c r="C2091" t="str">
        <x:f>IF(COUNTIF(FERIADOS!$A$2:$A$250,A2091)&gt;0,"SÍ","NO")</x:f>
        <x:v>NO</x:v>
      </x:c>
      <x:c r="D2091" t="str">
        <x:f>IF(AND(WEEKDAY(A2091,2)&lt;=5,C2091="NO"),"SÍ","NO")</x:f>
        <x:v>NO</x:v>
      </x:c>
      <x:c r="E2091" s="2" t="n">
        <x:f>WORKDAY.INTL(A2091-1,1,1,FERIADOS!$A$2:$A$250)</x:f>
        <x:v>47749</x:v>
      </x:c>
      <x:c r="F2091" t="str">
        <x:f>IF(E2091&gt;=WORKDAY.INTL(EOMONTH(E2091,0)+1,-2,1,FERIADOS!$A$2:$A$250),"SÍ","NO")</x:f>
        <x:v>NO</x:v>
      </x:c>
      <x:c r="G2091" s="2" t="n">
        <x:f>IF(F2091="SÍ",EOMONTH(E2091,0)+1,DATE(YEAR(E2091),MONTH(E2091),1))</x:f>
        <x:v>47727</x:v>
      </x:c>
      <x:c r="H2091" t="str">
        <x:f>IF(D2091="NO",IF(C2091="SÍ","FERIADO","FIN DE SEMANA"),"LABORABLE")&amp;IF(F2091="SÍ"," + CIERRE","")</x:f>
        <x:v>FIN DE SEMANA</x:v>
      </x:c>
      <x:c r="I2091" t="str">
        <x:f>TEXT(G2091,"yyyy-mm")</x:f>
        <x:v>2030-09</x:v>
      </x:c>
    </x:row>
    <x:row r="2092">
      <x:c r="A2092" s="2" t="n">
        <x:v>47748</x:v>
      </x:c>
      <x:c r="B2092" t="str">
        <x:f>CHOOSE(WEEKDAY(A2092,2),"Lunes","Martes","Miércoles","Jueves","Viernes","Sábado","Domingo")</x:f>
        <x:v>Domingo</x:v>
      </x:c>
      <x:c r="C2092" t="str">
        <x:f>IF(COUNTIF(FERIADOS!$A$2:$A$250,A2092)&gt;0,"SÍ","NO")</x:f>
        <x:v>NO</x:v>
      </x:c>
      <x:c r="D2092" t="str">
        <x:f>IF(AND(WEEKDAY(A2092,2)&lt;=5,C2092="NO"),"SÍ","NO")</x:f>
        <x:v>NO</x:v>
      </x:c>
      <x:c r="E2092" s="2" t="n">
        <x:f>WORKDAY.INTL(A2092-1,1,1,FERIADOS!$A$2:$A$250)</x:f>
        <x:v>47749</x:v>
      </x:c>
      <x:c r="F2092" t="str">
        <x:f>IF(E2092&gt;=WORKDAY.INTL(EOMONTH(E2092,0)+1,-2,1,FERIADOS!$A$2:$A$250),"SÍ","NO")</x:f>
        <x:v>NO</x:v>
      </x:c>
      <x:c r="G2092" s="2" t="n">
        <x:f>IF(F2092="SÍ",EOMONTH(E2092,0)+1,DATE(YEAR(E2092),MONTH(E2092),1))</x:f>
        <x:v>47727</x:v>
      </x:c>
      <x:c r="H2092" t="str">
        <x:f>IF(D2092="NO",IF(C2092="SÍ","FERIADO","FIN DE SEMANA"),"LABORABLE")&amp;IF(F2092="SÍ"," + CIERRE","")</x:f>
        <x:v>FIN DE SEMANA</x:v>
      </x:c>
      <x:c r="I2092" t="str">
        <x:f>TEXT(G2092,"yyyy-mm")</x:f>
        <x:v>2030-09</x:v>
      </x:c>
    </x:row>
    <x:row r="2093">
      <x:c r="A2093" s="2" t="n">
        <x:v>47749</x:v>
      </x:c>
      <x:c r="B2093" t="str">
        <x:f>CHOOSE(WEEKDAY(A2093,2),"Lunes","Martes","Miércoles","Jueves","Viernes","Sábado","Domingo")</x:f>
        <x:v>Lunes</x:v>
      </x:c>
      <x:c r="C2093" t="str">
        <x:f>IF(COUNTIF(FERIADOS!$A$2:$A$250,A2093)&gt;0,"SÍ","NO")</x:f>
        <x:v>NO</x:v>
      </x:c>
      <x:c r="D2093" t="str">
        <x:f>IF(AND(WEEKDAY(A2093,2)&lt;=5,C2093="NO"),"SÍ","NO")</x:f>
        <x:v>SÍ</x:v>
      </x:c>
      <x:c r="E2093" s="2" t="n">
        <x:f>WORKDAY.INTL(A2093-1,1,1,FERIADOS!$A$2:$A$250)</x:f>
        <x:v>47749</x:v>
      </x:c>
      <x:c r="F2093" t="str">
        <x:f>IF(E2093&gt;=WORKDAY.INTL(EOMONTH(E2093,0)+1,-2,1,FERIADOS!$A$2:$A$250),"SÍ","NO")</x:f>
        <x:v>NO</x:v>
      </x:c>
      <x:c r="G2093" s="2" t="n">
        <x:f>IF(F2093="SÍ",EOMONTH(E2093,0)+1,DATE(YEAR(E2093),MONTH(E2093),1))</x:f>
        <x:v>47727</x:v>
      </x:c>
      <x:c r="H2093" t="str">
        <x:f>IF(D2093="NO",IF(C2093="SÍ","FERIADO","FIN DE SEMANA"),"LABORABLE")&amp;IF(F2093="SÍ"," + CIERRE","")</x:f>
        <x:v>LABORABLE</x:v>
      </x:c>
      <x:c r="I2093" t="str">
        <x:f>TEXT(G2093,"yyyy-mm")</x:f>
        <x:v>2030-09</x:v>
      </x:c>
    </x:row>
    <x:row r="2094">
      <x:c r="A2094" s="2" t="n">
        <x:v>47750</x:v>
      </x:c>
      <x:c r="B2094" t="str">
        <x:f>CHOOSE(WEEKDAY(A2094,2),"Lunes","Martes","Miércoles","Jueves","Viernes","Sábado","Domingo")</x:f>
        <x:v>Martes</x:v>
      </x:c>
      <x:c r="C2094" t="str">
        <x:f>IF(COUNTIF(FERIADOS!$A$2:$A$250,A2094)&gt;0,"SÍ","NO")</x:f>
        <x:v>NO</x:v>
      </x:c>
      <x:c r="D2094" t="str">
        <x:f>IF(AND(WEEKDAY(A2094,2)&lt;=5,C2094="NO"),"SÍ","NO")</x:f>
        <x:v>SÍ</x:v>
      </x:c>
      <x:c r="E2094" s="2" t="n">
        <x:f>WORKDAY.INTL(A2094-1,1,1,FERIADOS!$A$2:$A$250)</x:f>
        <x:v>47750</x:v>
      </x:c>
      <x:c r="F2094" t="str">
        <x:f>IF(E2094&gt;=WORKDAY.INTL(EOMONTH(E2094,0)+1,-2,1,FERIADOS!$A$2:$A$250),"SÍ","NO")</x:f>
        <x:v>NO</x:v>
      </x:c>
      <x:c r="G2094" s="2" t="n">
        <x:f>IF(F2094="SÍ",EOMONTH(E2094,0)+1,DATE(YEAR(E2094),MONTH(E2094),1))</x:f>
        <x:v>47727</x:v>
      </x:c>
      <x:c r="H2094" t="str">
        <x:f>IF(D2094="NO",IF(C2094="SÍ","FERIADO","FIN DE SEMANA"),"LABORABLE")&amp;IF(F2094="SÍ"," + CIERRE","")</x:f>
        <x:v>LABORABLE</x:v>
      </x:c>
      <x:c r="I2094" t="str">
        <x:f>TEXT(G2094,"yyyy-mm")</x:f>
        <x:v>2030-09</x:v>
      </x:c>
    </x:row>
    <x:row r="2095">
      <x:c r="A2095" s="2" t="n">
        <x:v>47751</x:v>
      </x:c>
      <x:c r="B2095" t="str">
        <x:f>CHOOSE(WEEKDAY(A2095,2),"Lunes","Martes","Miércoles","Jueves","Viernes","Sábado","Domingo")</x:f>
        <x:v>Miércoles</x:v>
      </x:c>
      <x:c r="C2095" t="str">
        <x:f>IF(COUNTIF(FERIADOS!$A$2:$A$250,A2095)&gt;0,"SÍ","NO")</x:f>
        <x:v>NO</x:v>
      </x:c>
      <x:c r="D2095" t="str">
        <x:f>IF(AND(WEEKDAY(A2095,2)&lt;=5,C2095="NO"),"SÍ","NO")</x:f>
        <x:v>SÍ</x:v>
      </x:c>
      <x:c r="E2095" s="2" t="n">
        <x:f>WORKDAY.INTL(A2095-1,1,1,FERIADOS!$A$2:$A$250)</x:f>
        <x:v>47751</x:v>
      </x:c>
      <x:c r="F2095" t="str">
        <x:f>IF(E2095&gt;=WORKDAY.INTL(EOMONTH(E2095,0)+1,-2,1,FERIADOS!$A$2:$A$250),"SÍ","NO")</x:f>
        <x:v>NO</x:v>
      </x:c>
      <x:c r="G2095" s="2" t="n">
        <x:f>IF(F2095="SÍ",EOMONTH(E2095,0)+1,DATE(YEAR(E2095),MONTH(E2095),1))</x:f>
        <x:v>47727</x:v>
      </x:c>
      <x:c r="H2095" t="str">
        <x:f>IF(D2095="NO",IF(C2095="SÍ","FERIADO","FIN DE SEMANA"),"LABORABLE")&amp;IF(F2095="SÍ"," + CIERRE","")</x:f>
        <x:v>LABORABLE</x:v>
      </x:c>
      <x:c r="I2095" t="str">
        <x:f>TEXT(G2095,"yyyy-mm")</x:f>
        <x:v>2030-09</x:v>
      </x:c>
    </x:row>
    <x:row r="2096">
      <x:c r="A2096" s="2" t="n">
        <x:v>47752</x:v>
      </x:c>
      <x:c r="B2096" t="str">
        <x:f>CHOOSE(WEEKDAY(A2096,2),"Lunes","Martes","Miércoles","Jueves","Viernes","Sábado","Domingo")</x:f>
        <x:v>Jueves</x:v>
      </x:c>
      <x:c r="C2096" t="str">
        <x:f>IF(COUNTIF(FERIADOS!$A$2:$A$250,A2096)&gt;0,"SÍ","NO")</x:f>
        <x:v>NO</x:v>
      </x:c>
      <x:c r="D2096" t="str">
        <x:f>IF(AND(WEEKDAY(A2096,2)&lt;=5,C2096="NO"),"SÍ","NO")</x:f>
        <x:v>SÍ</x:v>
      </x:c>
      <x:c r="E2096" s="2" t="n">
        <x:f>WORKDAY.INTL(A2096-1,1,1,FERIADOS!$A$2:$A$250)</x:f>
        <x:v>47752</x:v>
      </x:c>
      <x:c r="F2096" t="str">
        <x:f>IF(E2096&gt;=WORKDAY.INTL(EOMONTH(E2096,0)+1,-2,1,FERIADOS!$A$2:$A$250),"SÍ","NO")</x:f>
        <x:v>NO</x:v>
      </x:c>
      <x:c r="G2096" s="2" t="n">
        <x:f>IF(F2096="SÍ",EOMONTH(E2096,0)+1,DATE(YEAR(E2096),MONTH(E2096),1))</x:f>
        <x:v>47727</x:v>
      </x:c>
      <x:c r="H2096" t="str">
        <x:f>IF(D2096="NO",IF(C2096="SÍ","FERIADO","FIN DE SEMANA"),"LABORABLE")&amp;IF(F2096="SÍ"," + CIERRE","")</x:f>
        <x:v>LABORABLE</x:v>
      </x:c>
      <x:c r="I2096" t="str">
        <x:f>TEXT(G2096,"yyyy-mm")</x:f>
        <x:v>2030-09</x:v>
      </x:c>
    </x:row>
    <x:row r="2097">
      <x:c r="A2097" s="2" t="n">
        <x:v>47753</x:v>
      </x:c>
      <x:c r="B2097" t="str">
        <x:f>CHOOSE(WEEKDAY(A2097,2),"Lunes","Martes","Miércoles","Jueves","Viernes","Sábado","Domingo")</x:f>
        <x:v>Viernes</x:v>
      </x:c>
      <x:c r="C2097" t="str">
        <x:f>IF(COUNTIF(FERIADOS!$A$2:$A$250,A2097)&gt;0,"SÍ","NO")</x:f>
        <x:v>NO</x:v>
      </x:c>
      <x:c r="D2097" t="str">
        <x:f>IF(AND(WEEKDAY(A2097,2)&lt;=5,C2097="NO"),"SÍ","NO")</x:f>
        <x:v>SÍ</x:v>
      </x:c>
      <x:c r="E2097" s="2" t="n">
        <x:f>WORKDAY.INTL(A2097-1,1,1,FERIADOS!$A$2:$A$250)</x:f>
        <x:v>47753</x:v>
      </x:c>
      <x:c r="F2097" t="str">
        <x:f>IF(E2097&gt;=WORKDAY.INTL(EOMONTH(E2097,0)+1,-2,1,FERIADOS!$A$2:$A$250),"SÍ","NO")</x:f>
        <x:v>SÍ</x:v>
      </x:c>
      <x:c r="G2097" s="2" t="n">
        <x:f>IF(F2097="SÍ",EOMONTH(E2097,0)+1,DATE(YEAR(E2097),MONTH(E2097),1))</x:f>
        <x:v>47757</x:v>
      </x:c>
      <x:c r="H2097" t="str">
        <x:f>IF(D2097="NO",IF(C2097="SÍ","FERIADO","FIN DE SEMANA"),"LABORABLE")&amp;IF(F2097="SÍ"," + CIERRE","")</x:f>
        <x:v>LABORABLE + CIERRE</x:v>
      </x:c>
      <x:c r="I2097" t="str">
        <x:f>TEXT(G2097,"yyyy-mm")</x:f>
        <x:v>2030-10</x:v>
      </x:c>
    </x:row>
    <x:row r="2098">
      <x:c r="A2098" s="2" t="n">
        <x:v>47754</x:v>
      </x:c>
      <x:c r="B2098" t="str">
        <x:f>CHOOSE(WEEKDAY(A2098,2),"Lunes","Martes","Miércoles","Jueves","Viernes","Sábado","Domingo")</x:f>
        <x:v>Sábado</x:v>
      </x:c>
      <x:c r="C2098" t="str">
        <x:f>IF(COUNTIF(FERIADOS!$A$2:$A$250,A2098)&gt;0,"SÍ","NO")</x:f>
        <x:v>NO</x:v>
      </x:c>
      <x:c r="D2098" t="str">
        <x:f>IF(AND(WEEKDAY(A2098,2)&lt;=5,C2098="NO"),"SÍ","NO")</x:f>
        <x:v>NO</x:v>
      </x:c>
      <x:c r="E2098" s="2" t="n">
        <x:f>WORKDAY.INTL(A2098-1,1,1,FERIADOS!$A$2:$A$250)</x:f>
        <x:v>47756</x:v>
      </x:c>
      <x:c r="F2098" t="str">
        <x:f>IF(E2098&gt;=WORKDAY.INTL(EOMONTH(E2098,0)+1,-2,1,FERIADOS!$A$2:$A$250),"SÍ","NO")</x:f>
        <x:v>SÍ</x:v>
      </x:c>
      <x:c r="G2098" s="2" t="n">
        <x:f>IF(F2098="SÍ",EOMONTH(E2098,0)+1,DATE(YEAR(E2098),MONTH(E2098),1))</x:f>
        <x:v>47757</x:v>
      </x:c>
      <x:c r="H2098" t="str">
        <x:f>IF(D2098="NO",IF(C2098="SÍ","FERIADO","FIN DE SEMANA"),"LABORABLE")&amp;IF(F2098="SÍ"," + CIERRE","")</x:f>
        <x:v>FIN DE SEMANA + CIERRE</x:v>
      </x:c>
      <x:c r="I2098" t="str">
        <x:f>TEXT(G2098,"yyyy-mm")</x:f>
        <x:v>2030-10</x:v>
      </x:c>
    </x:row>
    <x:row r="2099">
      <x:c r="A2099" s="2" t="n">
        <x:v>47755</x:v>
      </x:c>
      <x:c r="B2099" t="str">
        <x:f>CHOOSE(WEEKDAY(A2099,2),"Lunes","Martes","Miércoles","Jueves","Viernes","Sábado","Domingo")</x:f>
        <x:v>Domingo</x:v>
      </x:c>
      <x:c r="C2099" t="str">
        <x:f>IF(COUNTIF(FERIADOS!$A$2:$A$250,A2099)&gt;0,"SÍ","NO")</x:f>
        <x:v>NO</x:v>
      </x:c>
      <x:c r="D2099" t="str">
        <x:f>IF(AND(WEEKDAY(A2099,2)&lt;=5,C2099="NO"),"SÍ","NO")</x:f>
        <x:v>NO</x:v>
      </x:c>
      <x:c r="E2099" s="2" t="n">
        <x:f>WORKDAY.INTL(A2099-1,1,1,FERIADOS!$A$2:$A$250)</x:f>
        <x:v>47756</x:v>
      </x:c>
      <x:c r="F2099" t="str">
        <x:f>IF(E2099&gt;=WORKDAY.INTL(EOMONTH(E2099,0)+1,-2,1,FERIADOS!$A$2:$A$250),"SÍ","NO")</x:f>
        <x:v>SÍ</x:v>
      </x:c>
      <x:c r="G2099" s="2" t="n">
        <x:f>IF(F2099="SÍ",EOMONTH(E2099,0)+1,DATE(YEAR(E2099),MONTH(E2099),1))</x:f>
        <x:v>47757</x:v>
      </x:c>
      <x:c r="H2099" t="str">
        <x:f>IF(D2099="NO",IF(C2099="SÍ","FERIADO","FIN DE SEMANA"),"LABORABLE")&amp;IF(F2099="SÍ"," + CIERRE","")</x:f>
        <x:v>FIN DE SEMANA + CIERRE</x:v>
      </x:c>
      <x:c r="I2099" t="str">
        <x:f>TEXT(G2099,"yyyy-mm")</x:f>
        <x:v>2030-10</x:v>
      </x:c>
    </x:row>
    <x:row r="2100">
      <x:c r="A2100" s="2" t="n">
        <x:v>47756</x:v>
      </x:c>
      <x:c r="B2100" t="str">
        <x:f>CHOOSE(WEEKDAY(A2100,2),"Lunes","Martes","Miércoles","Jueves","Viernes","Sábado","Domingo")</x:f>
        <x:v>Lunes</x:v>
      </x:c>
      <x:c r="C2100" t="str">
        <x:f>IF(COUNTIF(FERIADOS!$A$2:$A$250,A2100)&gt;0,"SÍ","NO")</x:f>
        <x:v>NO</x:v>
      </x:c>
      <x:c r="D2100" t="str">
        <x:f>IF(AND(WEEKDAY(A2100,2)&lt;=5,C2100="NO"),"SÍ","NO")</x:f>
        <x:v>SÍ</x:v>
      </x:c>
      <x:c r="E2100" s="2" t="n">
        <x:f>WORKDAY.INTL(A2100-1,1,1,FERIADOS!$A$2:$A$250)</x:f>
        <x:v>47756</x:v>
      </x:c>
      <x:c r="F2100" t="str">
        <x:f>IF(E2100&gt;=WORKDAY.INTL(EOMONTH(E2100,0)+1,-2,1,FERIADOS!$A$2:$A$250),"SÍ","NO")</x:f>
        <x:v>SÍ</x:v>
      </x:c>
      <x:c r="G2100" s="2" t="n">
        <x:f>IF(F2100="SÍ",EOMONTH(E2100,0)+1,DATE(YEAR(E2100),MONTH(E2100),1))</x:f>
        <x:v>47757</x:v>
      </x:c>
      <x:c r="H2100" t="str">
        <x:f>IF(D2100="NO",IF(C2100="SÍ","FERIADO","FIN DE SEMANA"),"LABORABLE")&amp;IF(F2100="SÍ"," + CIERRE","")</x:f>
        <x:v>LABORABLE + CIERRE</x:v>
      </x:c>
      <x:c r="I2100" t="str">
        <x:f>TEXT(G2100,"yyyy-mm")</x:f>
        <x:v>2030-10</x:v>
      </x:c>
    </x:row>
    <x:row r="2101">
      <x:c r="A2101" s="2" t="n">
        <x:v>47757</x:v>
      </x:c>
      <x:c r="B2101" t="str">
        <x:f>CHOOSE(WEEKDAY(A2101,2),"Lunes","Martes","Miércoles","Jueves","Viernes","Sábado","Domingo")</x:f>
        <x:v>Martes</x:v>
      </x:c>
      <x:c r="C2101" t="str">
        <x:f>IF(COUNTIF(FERIADOS!$A$2:$A$250,A2101)&gt;0,"SÍ","NO")</x:f>
        <x:v>NO</x:v>
      </x:c>
      <x:c r="D2101" t="str">
        <x:f>IF(AND(WEEKDAY(A2101,2)&lt;=5,C2101="NO"),"SÍ","NO")</x:f>
        <x:v>SÍ</x:v>
      </x:c>
      <x:c r="E2101" s="2" t="n">
        <x:f>WORKDAY.INTL(A2101-1,1,1,FERIADOS!$A$2:$A$250)</x:f>
        <x:v>47757</x:v>
      </x:c>
      <x:c r="F2101" t="str">
        <x:f>IF(E2101&gt;=WORKDAY.INTL(EOMONTH(E2101,0)+1,-2,1,FERIADOS!$A$2:$A$250),"SÍ","NO")</x:f>
        <x:v>NO</x:v>
      </x:c>
      <x:c r="G2101" s="2" t="n">
        <x:f>IF(F2101="SÍ",EOMONTH(E2101,0)+1,DATE(YEAR(E2101),MONTH(E2101),1))</x:f>
        <x:v>47757</x:v>
      </x:c>
      <x:c r="H2101" t="str">
        <x:f>IF(D2101="NO",IF(C2101="SÍ","FERIADO","FIN DE SEMANA"),"LABORABLE")&amp;IF(F2101="SÍ"," + CIERRE","")</x:f>
        <x:v>LABORABLE</x:v>
      </x:c>
      <x:c r="I2101" t="str">
        <x:f>TEXT(G2101,"yyyy-mm")</x:f>
        <x:v>2030-10</x:v>
      </x:c>
    </x:row>
    <x:row r="2102">
      <x:c r="A2102" s="2" t="n">
        <x:v>47758</x:v>
      </x:c>
      <x:c r="B2102" t="str">
        <x:f>CHOOSE(WEEKDAY(A2102,2),"Lunes","Martes","Miércoles","Jueves","Viernes","Sábado","Domingo")</x:f>
        <x:v>Miércoles</x:v>
      </x:c>
      <x:c r="C2102" t="str">
        <x:f>IF(COUNTIF(FERIADOS!$A$2:$A$250,A2102)&gt;0,"SÍ","NO")</x:f>
        <x:v>NO</x:v>
      </x:c>
      <x:c r="D2102" t="str">
        <x:f>IF(AND(WEEKDAY(A2102,2)&lt;=5,C2102="NO"),"SÍ","NO")</x:f>
        <x:v>SÍ</x:v>
      </x:c>
      <x:c r="E2102" s="2" t="n">
        <x:f>WORKDAY.INTL(A2102-1,1,1,FERIADOS!$A$2:$A$250)</x:f>
        <x:v>47758</x:v>
      </x:c>
      <x:c r="F2102" t="str">
        <x:f>IF(E2102&gt;=WORKDAY.INTL(EOMONTH(E2102,0)+1,-2,1,FERIADOS!$A$2:$A$250),"SÍ","NO")</x:f>
        <x:v>NO</x:v>
      </x:c>
      <x:c r="G2102" s="2" t="n">
        <x:f>IF(F2102="SÍ",EOMONTH(E2102,0)+1,DATE(YEAR(E2102),MONTH(E2102),1))</x:f>
        <x:v>47757</x:v>
      </x:c>
      <x:c r="H2102" t="str">
        <x:f>IF(D2102="NO",IF(C2102="SÍ","FERIADO","FIN DE SEMANA"),"LABORABLE")&amp;IF(F2102="SÍ"," + CIERRE","")</x:f>
        <x:v>LABORABLE</x:v>
      </x:c>
      <x:c r="I2102" t="str">
        <x:f>TEXT(G2102,"yyyy-mm")</x:f>
        <x:v>2030-10</x:v>
      </x:c>
    </x:row>
    <x:row r="2103">
      <x:c r="A2103" s="2" t="n">
        <x:v>47759</x:v>
      </x:c>
      <x:c r="B2103" t="str">
        <x:f>CHOOSE(WEEKDAY(A2103,2),"Lunes","Martes","Miércoles","Jueves","Viernes","Sábado","Domingo")</x:f>
        <x:v>Jueves</x:v>
      </x:c>
      <x:c r="C2103" t="str">
        <x:f>IF(COUNTIF(FERIADOS!$A$2:$A$250,A2103)&gt;0,"SÍ","NO")</x:f>
        <x:v>NO</x:v>
      </x:c>
      <x:c r="D2103" t="str">
        <x:f>IF(AND(WEEKDAY(A2103,2)&lt;=5,C2103="NO"),"SÍ","NO")</x:f>
        <x:v>SÍ</x:v>
      </x:c>
      <x:c r="E2103" s="2" t="n">
        <x:f>WORKDAY.INTL(A2103-1,1,1,FERIADOS!$A$2:$A$250)</x:f>
        <x:v>47759</x:v>
      </x:c>
      <x:c r="F2103" t="str">
        <x:f>IF(E2103&gt;=WORKDAY.INTL(EOMONTH(E2103,0)+1,-2,1,FERIADOS!$A$2:$A$250),"SÍ","NO")</x:f>
        <x:v>NO</x:v>
      </x:c>
      <x:c r="G2103" s="2" t="n">
        <x:f>IF(F2103="SÍ",EOMONTH(E2103,0)+1,DATE(YEAR(E2103),MONTH(E2103),1))</x:f>
        <x:v>47757</x:v>
      </x:c>
      <x:c r="H2103" t="str">
        <x:f>IF(D2103="NO",IF(C2103="SÍ","FERIADO","FIN DE SEMANA"),"LABORABLE")&amp;IF(F2103="SÍ"," + CIERRE","")</x:f>
        <x:v>LABORABLE</x:v>
      </x:c>
      <x:c r="I2103" t="str">
        <x:f>TEXT(G2103,"yyyy-mm")</x:f>
        <x:v>2030-10</x:v>
      </x:c>
    </x:row>
    <x:row r="2104">
      <x:c r="A2104" s="2" t="n">
        <x:v>47760</x:v>
      </x:c>
      <x:c r="B2104" t="str">
        <x:f>CHOOSE(WEEKDAY(A2104,2),"Lunes","Martes","Miércoles","Jueves","Viernes","Sábado","Domingo")</x:f>
        <x:v>Viernes</x:v>
      </x:c>
      <x:c r="C2104" t="str">
        <x:f>IF(COUNTIF(FERIADOS!$A$2:$A$250,A2104)&gt;0,"SÍ","NO")</x:f>
        <x:v>NO</x:v>
      </x:c>
      <x:c r="D2104" t="str">
        <x:f>IF(AND(WEEKDAY(A2104,2)&lt;=5,C2104="NO"),"SÍ","NO")</x:f>
        <x:v>SÍ</x:v>
      </x:c>
      <x:c r="E2104" s="2" t="n">
        <x:f>WORKDAY.INTL(A2104-1,1,1,FERIADOS!$A$2:$A$250)</x:f>
        <x:v>47760</x:v>
      </x:c>
      <x:c r="F2104" t="str">
        <x:f>IF(E2104&gt;=WORKDAY.INTL(EOMONTH(E2104,0)+1,-2,1,FERIADOS!$A$2:$A$250),"SÍ","NO")</x:f>
        <x:v>NO</x:v>
      </x:c>
      <x:c r="G2104" s="2" t="n">
        <x:f>IF(F2104="SÍ",EOMONTH(E2104,0)+1,DATE(YEAR(E2104),MONTH(E2104),1))</x:f>
        <x:v>47757</x:v>
      </x:c>
      <x:c r="H2104" t="str">
        <x:f>IF(D2104="NO",IF(C2104="SÍ","FERIADO","FIN DE SEMANA"),"LABORABLE")&amp;IF(F2104="SÍ"," + CIERRE","")</x:f>
        <x:v>LABORABLE</x:v>
      </x:c>
      <x:c r="I2104" t="str">
        <x:f>TEXT(G2104,"yyyy-mm")</x:f>
        <x:v>2030-10</x:v>
      </x:c>
    </x:row>
    <x:row r="2105">
      <x:c r="A2105" s="2" t="n">
        <x:v>47761</x:v>
      </x:c>
      <x:c r="B2105" t="str">
        <x:f>CHOOSE(WEEKDAY(A2105,2),"Lunes","Martes","Miércoles","Jueves","Viernes","Sábado","Domingo")</x:f>
        <x:v>Sábado</x:v>
      </x:c>
      <x:c r="C2105" t="str">
        <x:f>IF(COUNTIF(FERIADOS!$A$2:$A$250,A2105)&gt;0,"SÍ","NO")</x:f>
        <x:v>NO</x:v>
      </x:c>
      <x:c r="D2105" t="str">
        <x:f>IF(AND(WEEKDAY(A2105,2)&lt;=5,C2105="NO"),"SÍ","NO")</x:f>
        <x:v>NO</x:v>
      </x:c>
      <x:c r="E2105" s="2" t="n">
        <x:f>WORKDAY.INTL(A2105-1,1,1,FERIADOS!$A$2:$A$250)</x:f>
        <x:v>47763</x:v>
      </x:c>
      <x:c r="F2105" t="str">
        <x:f>IF(E2105&gt;=WORKDAY.INTL(EOMONTH(E2105,0)+1,-2,1,FERIADOS!$A$2:$A$250),"SÍ","NO")</x:f>
        <x:v>NO</x:v>
      </x:c>
      <x:c r="G2105" s="2" t="n">
        <x:f>IF(F2105="SÍ",EOMONTH(E2105,0)+1,DATE(YEAR(E2105),MONTH(E2105),1))</x:f>
        <x:v>47757</x:v>
      </x:c>
      <x:c r="H2105" t="str">
        <x:f>IF(D2105="NO",IF(C2105="SÍ","FERIADO","FIN DE SEMANA"),"LABORABLE")&amp;IF(F2105="SÍ"," + CIERRE","")</x:f>
        <x:v>FIN DE SEMANA</x:v>
      </x:c>
      <x:c r="I2105" t="str">
        <x:f>TEXT(G2105,"yyyy-mm")</x:f>
        <x:v>2030-10</x:v>
      </x:c>
    </x:row>
    <x:row r="2106">
      <x:c r="A2106" s="2" t="n">
        <x:v>47762</x:v>
      </x:c>
      <x:c r="B2106" t="str">
        <x:f>CHOOSE(WEEKDAY(A2106,2),"Lunes","Martes","Miércoles","Jueves","Viernes","Sábado","Domingo")</x:f>
        <x:v>Domingo</x:v>
      </x:c>
      <x:c r="C2106" t="str">
        <x:f>IF(COUNTIF(FERIADOS!$A$2:$A$250,A2106)&gt;0,"SÍ","NO")</x:f>
        <x:v>NO</x:v>
      </x:c>
      <x:c r="D2106" t="str">
        <x:f>IF(AND(WEEKDAY(A2106,2)&lt;=5,C2106="NO"),"SÍ","NO")</x:f>
        <x:v>NO</x:v>
      </x:c>
      <x:c r="E2106" s="2" t="n">
        <x:f>WORKDAY.INTL(A2106-1,1,1,FERIADOS!$A$2:$A$250)</x:f>
        <x:v>47763</x:v>
      </x:c>
      <x:c r="F2106" t="str">
        <x:f>IF(E2106&gt;=WORKDAY.INTL(EOMONTH(E2106,0)+1,-2,1,FERIADOS!$A$2:$A$250),"SÍ","NO")</x:f>
        <x:v>NO</x:v>
      </x:c>
      <x:c r="G2106" s="2" t="n">
        <x:f>IF(F2106="SÍ",EOMONTH(E2106,0)+1,DATE(YEAR(E2106),MONTH(E2106),1))</x:f>
        <x:v>47757</x:v>
      </x:c>
      <x:c r="H2106" t="str">
        <x:f>IF(D2106="NO",IF(C2106="SÍ","FERIADO","FIN DE SEMANA"),"LABORABLE")&amp;IF(F2106="SÍ"," + CIERRE","")</x:f>
        <x:v>FIN DE SEMANA</x:v>
      </x:c>
      <x:c r="I2106" t="str">
        <x:f>TEXT(G2106,"yyyy-mm")</x:f>
        <x:v>2030-10</x:v>
      </x:c>
    </x:row>
    <x:row r="2107">
      <x:c r="A2107" s="2" t="n">
        <x:v>47763</x:v>
      </x:c>
      <x:c r="B2107" t="str">
        <x:f>CHOOSE(WEEKDAY(A2107,2),"Lunes","Martes","Miércoles","Jueves","Viernes","Sábado","Domingo")</x:f>
        <x:v>Lunes</x:v>
      </x:c>
      <x:c r="C2107" t="str">
        <x:f>IF(COUNTIF(FERIADOS!$A$2:$A$250,A2107)&gt;0,"SÍ","NO")</x:f>
        <x:v>NO</x:v>
      </x:c>
      <x:c r="D2107" t="str">
        <x:f>IF(AND(WEEKDAY(A2107,2)&lt;=5,C2107="NO"),"SÍ","NO")</x:f>
        <x:v>SÍ</x:v>
      </x:c>
      <x:c r="E2107" s="2" t="n">
        <x:f>WORKDAY.INTL(A2107-1,1,1,FERIADOS!$A$2:$A$250)</x:f>
        <x:v>47763</x:v>
      </x:c>
      <x:c r="F2107" t="str">
        <x:f>IF(E2107&gt;=WORKDAY.INTL(EOMONTH(E2107,0)+1,-2,1,FERIADOS!$A$2:$A$250),"SÍ","NO")</x:f>
        <x:v>NO</x:v>
      </x:c>
      <x:c r="G2107" s="2" t="n">
        <x:f>IF(F2107="SÍ",EOMONTH(E2107,0)+1,DATE(YEAR(E2107),MONTH(E2107),1))</x:f>
        <x:v>47757</x:v>
      </x:c>
      <x:c r="H2107" t="str">
        <x:f>IF(D2107="NO",IF(C2107="SÍ","FERIADO","FIN DE SEMANA"),"LABORABLE")&amp;IF(F2107="SÍ"," + CIERRE","")</x:f>
        <x:v>LABORABLE</x:v>
      </x:c>
      <x:c r="I2107" t="str">
        <x:f>TEXT(G2107,"yyyy-mm")</x:f>
        <x:v>2030-10</x:v>
      </x:c>
    </x:row>
    <x:row r="2108">
      <x:c r="A2108" s="2" t="n">
        <x:v>47764</x:v>
      </x:c>
      <x:c r="B2108" t="str">
        <x:f>CHOOSE(WEEKDAY(A2108,2),"Lunes","Martes","Miércoles","Jueves","Viernes","Sábado","Domingo")</x:f>
        <x:v>Martes</x:v>
      </x:c>
      <x:c r="C2108" t="str">
        <x:f>IF(COUNTIF(FERIADOS!$A$2:$A$250,A2108)&gt;0,"SÍ","NO")</x:f>
        <x:v>NO</x:v>
      </x:c>
      <x:c r="D2108" t="str">
        <x:f>IF(AND(WEEKDAY(A2108,2)&lt;=5,C2108="NO"),"SÍ","NO")</x:f>
        <x:v>SÍ</x:v>
      </x:c>
      <x:c r="E2108" s="2" t="n">
        <x:f>WORKDAY.INTL(A2108-1,1,1,FERIADOS!$A$2:$A$250)</x:f>
        <x:v>47764</x:v>
      </x:c>
      <x:c r="F2108" t="str">
        <x:f>IF(E2108&gt;=WORKDAY.INTL(EOMONTH(E2108,0)+1,-2,1,FERIADOS!$A$2:$A$250),"SÍ","NO")</x:f>
        <x:v>NO</x:v>
      </x:c>
      <x:c r="G2108" s="2" t="n">
        <x:f>IF(F2108="SÍ",EOMONTH(E2108,0)+1,DATE(YEAR(E2108),MONTH(E2108),1))</x:f>
        <x:v>47757</x:v>
      </x:c>
      <x:c r="H2108" t="str">
        <x:f>IF(D2108="NO",IF(C2108="SÍ","FERIADO","FIN DE SEMANA"),"LABORABLE")&amp;IF(F2108="SÍ"," + CIERRE","")</x:f>
        <x:v>LABORABLE</x:v>
      </x:c>
      <x:c r="I2108" t="str">
        <x:f>TEXT(G2108,"yyyy-mm")</x:f>
        <x:v>2030-10</x:v>
      </x:c>
    </x:row>
    <x:row r="2109">
      <x:c r="A2109" s="2" t="n">
        <x:v>47765</x:v>
      </x:c>
      <x:c r="B2109" t="str">
        <x:f>CHOOSE(WEEKDAY(A2109,2),"Lunes","Martes","Miércoles","Jueves","Viernes","Sábado","Domingo")</x:f>
        <x:v>Miércoles</x:v>
      </x:c>
      <x:c r="C2109" t="str">
        <x:f>IF(COUNTIF(FERIADOS!$A$2:$A$250,A2109)&gt;0,"SÍ","NO")</x:f>
        <x:v>NO</x:v>
      </x:c>
      <x:c r="D2109" t="str">
        <x:f>IF(AND(WEEKDAY(A2109,2)&lt;=5,C2109="NO"),"SÍ","NO")</x:f>
        <x:v>SÍ</x:v>
      </x:c>
      <x:c r="E2109" s="2" t="n">
        <x:f>WORKDAY.INTL(A2109-1,1,1,FERIADOS!$A$2:$A$250)</x:f>
        <x:v>47765</x:v>
      </x:c>
      <x:c r="F2109" t="str">
        <x:f>IF(E2109&gt;=WORKDAY.INTL(EOMONTH(E2109,0)+1,-2,1,FERIADOS!$A$2:$A$250),"SÍ","NO")</x:f>
        <x:v>NO</x:v>
      </x:c>
      <x:c r="G2109" s="2" t="n">
        <x:f>IF(F2109="SÍ",EOMONTH(E2109,0)+1,DATE(YEAR(E2109),MONTH(E2109),1))</x:f>
        <x:v>47757</x:v>
      </x:c>
      <x:c r="H2109" t="str">
        <x:f>IF(D2109="NO",IF(C2109="SÍ","FERIADO","FIN DE SEMANA"),"LABORABLE")&amp;IF(F2109="SÍ"," + CIERRE","")</x:f>
        <x:v>LABORABLE</x:v>
      </x:c>
      <x:c r="I2109" t="str">
        <x:f>TEXT(G2109,"yyyy-mm")</x:f>
        <x:v>2030-10</x:v>
      </x:c>
    </x:row>
    <x:row r="2110">
      <x:c r="A2110" s="2" t="n">
        <x:v>47766</x:v>
      </x:c>
      <x:c r="B2110" t="str">
        <x:f>CHOOSE(WEEKDAY(A2110,2),"Lunes","Martes","Miércoles","Jueves","Viernes","Sábado","Domingo")</x:f>
        <x:v>Jueves</x:v>
      </x:c>
      <x:c r="C2110" t="str">
        <x:f>IF(COUNTIF(FERIADOS!$A$2:$A$250,A2110)&gt;0,"SÍ","NO")</x:f>
        <x:v>NO</x:v>
      </x:c>
      <x:c r="D2110" t="str">
        <x:f>IF(AND(WEEKDAY(A2110,2)&lt;=5,C2110="NO"),"SÍ","NO")</x:f>
        <x:v>SÍ</x:v>
      </x:c>
      <x:c r="E2110" s="2" t="n">
        <x:f>WORKDAY.INTL(A2110-1,1,1,FERIADOS!$A$2:$A$250)</x:f>
        <x:v>47766</x:v>
      </x:c>
      <x:c r="F2110" t="str">
        <x:f>IF(E2110&gt;=WORKDAY.INTL(EOMONTH(E2110,0)+1,-2,1,FERIADOS!$A$2:$A$250),"SÍ","NO")</x:f>
        <x:v>NO</x:v>
      </x:c>
      <x:c r="G2110" s="2" t="n">
        <x:f>IF(F2110="SÍ",EOMONTH(E2110,0)+1,DATE(YEAR(E2110),MONTH(E2110),1))</x:f>
        <x:v>47757</x:v>
      </x:c>
      <x:c r="H2110" t="str">
        <x:f>IF(D2110="NO",IF(C2110="SÍ","FERIADO","FIN DE SEMANA"),"LABORABLE")&amp;IF(F2110="SÍ"," + CIERRE","")</x:f>
        <x:v>LABORABLE</x:v>
      </x:c>
      <x:c r="I2110" t="str">
        <x:f>TEXT(G2110,"yyyy-mm")</x:f>
        <x:v>2030-10</x:v>
      </x:c>
    </x:row>
    <x:row r="2111">
      <x:c r="A2111" s="2" t="n">
        <x:v>47767</x:v>
      </x:c>
      <x:c r="B2111" t="str">
        <x:f>CHOOSE(WEEKDAY(A2111,2),"Lunes","Martes","Miércoles","Jueves","Viernes","Sábado","Domingo")</x:f>
        <x:v>Viernes</x:v>
      </x:c>
      <x:c r="C2111" t="str">
        <x:f>IF(COUNTIF(FERIADOS!$A$2:$A$250,A2111)&gt;0,"SÍ","NO")</x:f>
        <x:v>SÍ</x:v>
      </x:c>
      <x:c r="D2111" t="str">
        <x:f>IF(AND(WEEKDAY(A2111,2)&lt;=5,C2111="NO"),"SÍ","NO")</x:f>
        <x:v>NO</x:v>
      </x:c>
      <x:c r="E2111" s="2" t="n">
        <x:f>WORKDAY.INTL(A2111-1,1,1,FERIADOS!$A$2:$A$250)</x:f>
        <x:v>47770</x:v>
      </x:c>
      <x:c r="F2111" t="str">
        <x:f>IF(E2111&gt;=WORKDAY.INTL(EOMONTH(E2111,0)+1,-2,1,FERIADOS!$A$2:$A$250),"SÍ","NO")</x:f>
        <x:v>NO</x:v>
      </x:c>
      <x:c r="G2111" s="2" t="n">
        <x:f>IF(F2111="SÍ",EOMONTH(E2111,0)+1,DATE(YEAR(E2111),MONTH(E2111),1))</x:f>
        <x:v>47757</x:v>
      </x:c>
      <x:c r="H2111" t="str">
        <x:f>IF(D2111="NO",IF(C2111="SÍ","FERIADO","FIN DE SEMANA"),"LABORABLE")&amp;IF(F2111="SÍ"," + CIERRE","")</x:f>
        <x:v>FERIADO</x:v>
      </x:c>
      <x:c r="I2111" t="str">
        <x:f>TEXT(G2111,"yyyy-mm")</x:f>
        <x:v>2030-10</x:v>
      </x:c>
    </x:row>
    <x:row r="2112">
      <x:c r="A2112" s="2" t="n">
        <x:v>47768</x:v>
      </x:c>
      <x:c r="B2112" t="str">
        <x:f>CHOOSE(WEEKDAY(A2112,2),"Lunes","Martes","Miércoles","Jueves","Viernes","Sábado","Domingo")</x:f>
        <x:v>Sábado</x:v>
      </x:c>
      <x:c r="C2112" t="str">
        <x:f>IF(COUNTIF(FERIADOS!$A$2:$A$250,A2112)&gt;0,"SÍ","NO")</x:f>
        <x:v>NO</x:v>
      </x:c>
      <x:c r="D2112" t="str">
        <x:f>IF(AND(WEEKDAY(A2112,2)&lt;=5,C2112="NO"),"SÍ","NO")</x:f>
        <x:v>NO</x:v>
      </x:c>
      <x:c r="E2112" s="2" t="n">
        <x:f>WORKDAY.INTL(A2112-1,1,1,FERIADOS!$A$2:$A$250)</x:f>
        <x:v>47770</x:v>
      </x:c>
      <x:c r="F2112" t="str">
        <x:f>IF(E2112&gt;=WORKDAY.INTL(EOMONTH(E2112,0)+1,-2,1,FERIADOS!$A$2:$A$250),"SÍ","NO")</x:f>
        <x:v>NO</x:v>
      </x:c>
      <x:c r="G2112" s="2" t="n">
        <x:f>IF(F2112="SÍ",EOMONTH(E2112,0)+1,DATE(YEAR(E2112),MONTH(E2112),1))</x:f>
        <x:v>47757</x:v>
      </x:c>
      <x:c r="H2112" t="str">
        <x:f>IF(D2112="NO",IF(C2112="SÍ","FERIADO","FIN DE SEMANA"),"LABORABLE")&amp;IF(F2112="SÍ"," + CIERRE","")</x:f>
        <x:v>FIN DE SEMANA</x:v>
      </x:c>
      <x:c r="I2112" t="str">
        <x:f>TEXT(G2112,"yyyy-mm")</x:f>
        <x:v>2030-10</x:v>
      </x:c>
    </x:row>
    <x:row r="2113">
      <x:c r="A2113" s="2" t="n">
        <x:v>47769</x:v>
      </x:c>
      <x:c r="B2113" t="str">
        <x:f>CHOOSE(WEEKDAY(A2113,2),"Lunes","Martes","Miércoles","Jueves","Viernes","Sábado","Domingo")</x:f>
        <x:v>Domingo</x:v>
      </x:c>
      <x:c r="C2113" t="str">
        <x:f>IF(COUNTIF(FERIADOS!$A$2:$A$250,A2113)&gt;0,"SÍ","NO")</x:f>
        <x:v>NO</x:v>
      </x:c>
      <x:c r="D2113" t="str">
        <x:f>IF(AND(WEEKDAY(A2113,2)&lt;=5,C2113="NO"),"SÍ","NO")</x:f>
        <x:v>NO</x:v>
      </x:c>
      <x:c r="E2113" s="2" t="n">
        <x:f>WORKDAY.INTL(A2113-1,1,1,FERIADOS!$A$2:$A$250)</x:f>
        <x:v>47770</x:v>
      </x:c>
      <x:c r="F2113" t="str">
        <x:f>IF(E2113&gt;=WORKDAY.INTL(EOMONTH(E2113,0)+1,-2,1,FERIADOS!$A$2:$A$250),"SÍ","NO")</x:f>
        <x:v>NO</x:v>
      </x:c>
      <x:c r="G2113" s="2" t="n">
        <x:f>IF(F2113="SÍ",EOMONTH(E2113,0)+1,DATE(YEAR(E2113),MONTH(E2113),1))</x:f>
        <x:v>47757</x:v>
      </x:c>
      <x:c r="H2113" t="str">
        <x:f>IF(D2113="NO",IF(C2113="SÍ","FERIADO","FIN DE SEMANA"),"LABORABLE")&amp;IF(F2113="SÍ"," + CIERRE","")</x:f>
        <x:v>FIN DE SEMANA</x:v>
      </x:c>
      <x:c r="I2113" t="str">
        <x:f>TEXT(G2113,"yyyy-mm")</x:f>
        <x:v>2030-10</x:v>
      </x:c>
    </x:row>
    <x:row r="2114">
      <x:c r="A2114" s="2" t="n">
        <x:v>47770</x:v>
      </x:c>
      <x:c r="B2114" t="str">
        <x:f>CHOOSE(WEEKDAY(A2114,2),"Lunes","Martes","Miércoles","Jueves","Viernes","Sábado","Domingo")</x:f>
        <x:v>Lunes</x:v>
      </x:c>
      <x:c r="C2114" t="str">
        <x:f>IF(COUNTIF(FERIADOS!$A$2:$A$250,A2114)&gt;0,"SÍ","NO")</x:f>
        <x:v>NO</x:v>
      </x:c>
      <x:c r="D2114" t="str">
        <x:f>IF(AND(WEEKDAY(A2114,2)&lt;=5,C2114="NO"),"SÍ","NO")</x:f>
        <x:v>SÍ</x:v>
      </x:c>
      <x:c r="E2114" s="2" t="n">
        <x:f>WORKDAY.INTL(A2114-1,1,1,FERIADOS!$A$2:$A$250)</x:f>
        <x:v>47770</x:v>
      </x:c>
      <x:c r="F2114" t="str">
        <x:f>IF(E2114&gt;=WORKDAY.INTL(EOMONTH(E2114,0)+1,-2,1,FERIADOS!$A$2:$A$250),"SÍ","NO")</x:f>
        <x:v>NO</x:v>
      </x:c>
      <x:c r="G2114" s="2" t="n">
        <x:f>IF(F2114="SÍ",EOMONTH(E2114,0)+1,DATE(YEAR(E2114),MONTH(E2114),1))</x:f>
        <x:v>47757</x:v>
      </x:c>
      <x:c r="H2114" t="str">
        <x:f>IF(D2114="NO",IF(C2114="SÍ","FERIADO","FIN DE SEMANA"),"LABORABLE")&amp;IF(F2114="SÍ"," + CIERRE","")</x:f>
        <x:v>LABORABLE</x:v>
      </x:c>
      <x:c r="I2114" t="str">
        <x:f>TEXT(G2114,"yyyy-mm")</x:f>
        <x:v>2030-10</x:v>
      </x:c>
    </x:row>
    <x:row r="2115">
      <x:c r="A2115" s="2" t="n">
        <x:v>47771</x:v>
      </x:c>
      <x:c r="B2115" t="str">
        <x:f>CHOOSE(WEEKDAY(A2115,2),"Lunes","Martes","Miércoles","Jueves","Viernes","Sábado","Domingo")</x:f>
        <x:v>Martes</x:v>
      </x:c>
      <x:c r="C2115" t="str">
        <x:f>IF(COUNTIF(FERIADOS!$A$2:$A$250,A2115)&gt;0,"SÍ","NO")</x:f>
        <x:v>NO</x:v>
      </x:c>
      <x:c r="D2115" t="str">
        <x:f>IF(AND(WEEKDAY(A2115,2)&lt;=5,C2115="NO"),"SÍ","NO")</x:f>
        <x:v>SÍ</x:v>
      </x:c>
      <x:c r="E2115" s="2" t="n">
        <x:f>WORKDAY.INTL(A2115-1,1,1,FERIADOS!$A$2:$A$250)</x:f>
        <x:v>47771</x:v>
      </x:c>
      <x:c r="F2115" t="str">
        <x:f>IF(E2115&gt;=WORKDAY.INTL(EOMONTH(E2115,0)+1,-2,1,FERIADOS!$A$2:$A$250),"SÍ","NO")</x:f>
        <x:v>NO</x:v>
      </x:c>
      <x:c r="G2115" s="2" t="n">
        <x:f>IF(F2115="SÍ",EOMONTH(E2115,0)+1,DATE(YEAR(E2115),MONTH(E2115),1))</x:f>
        <x:v>47757</x:v>
      </x:c>
      <x:c r="H2115" t="str">
        <x:f>IF(D2115="NO",IF(C2115="SÍ","FERIADO","FIN DE SEMANA"),"LABORABLE")&amp;IF(F2115="SÍ"," + CIERRE","")</x:f>
        <x:v>LABORABLE</x:v>
      </x:c>
      <x:c r="I2115" t="str">
        <x:f>TEXT(G2115,"yyyy-mm")</x:f>
        <x:v>2030-10</x:v>
      </x:c>
    </x:row>
    <x:row r="2116">
      <x:c r="A2116" s="2" t="n">
        <x:v>47772</x:v>
      </x:c>
      <x:c r="B2116" t="str">
        <x:f>CHOOSE(WEEKDAY(A2116,2),"Lunes","Martes","Miércoles","Jueves","Viernes","Sábado","Domingo")</x:f>
        <x:v>Miércoles</x:v>
      </x:c>
      <x:c r="C2116" t="str">
        <x:f>IF(COUNTIF(FERIADOS!$A$2:$A$250,A2116)&gt;0,"SÍ","NO")</x:f>
        <x:v>NO</x:v>
      </x:c>
      <x:c r="D2116" t="str">
        <x:f>IF(AND(WEEKDAY(A2116,2)&lt;=5,C2116="NO"),"SÍ","NO")</x:f>
        <x:v>SÍ</x:v>
      </x:c>
      <x:c r="E2116" s="2" t="n">
        <x:f>WORKDAY.INTL(A2116-1,1,1,FERIADOS!$A$2:$A$250)</x:f>
        <x:v>47772</x:v>
      </x:c>
      <x:c r="F2116" t="str">
        <x:f>IF(E2116&gt;=WORKDAY.INTL(EOMONTH(E2116,0)+1,-2,1,FERIADOS!$A$2:$A$250),"SÍ","NO")</x:f>
        <x:v>NO</x:v>
      </x:c>
      <x:c r="G2116" s="2" t="n">
        <x:f>IF(F2116="SÍ",EOMONTH(E2116,0)+1,DATE(YEAR(E2116),MONTH(E2116),1))</x:f>
        <x:v>47757</x:v>
      </x:c>
      <x:c r="H2116" t="str">
        <x:f>IF(D2116="NO",IF(C2116="SÍ","FERIADO","FIN DE SEMANA"),"LABORABLE")&amp;IF(F2116="SÍ"," + CIERRE","")</x:f>
        <x:v>LABORABLE</x:v>
      </x:c>
      <x:c r="I2116" t="str">
        <x:f>TEXT(G2116,"yyyy-mm")</x:f>
        <x:v>2030-10</x:v>
      </x:c>
    </x:row>
    <x:row r="2117">
      <x:c r="A2117" s="2" t="n">
        <x:v>47773</x:v>
      </x:c>
      <x:c r="B2117" t="str">
        <x:f>CHOOSE(WEEKDAY(A2117,2),"Lunes","Martes","Miércoles","Jueves","Viernes","Sábado","Domingo")</x:f>
        <x:v>Jueves</x:v>
      </x:c>
      <x:c r="C2117" t="str">
        <x:f>IF(COUNTIF(FERIADOS!$A$2:$A$250,A2117)&gt;0,"SÍ","NO")</x:f>
        <x:v>NO</x:v>
      </x:c>
      <x:c r="D2117" t="str">
        <x:f>IF(AND(WEEKDAY(A2117,2)&lt;=5,C2117="NO"),"SÍ","NO")</x:f>
        <x:v>SÍ</x:v>
      </x:c>
      <x:c r="E2117" s="2" t="n">
        <x:f>WORKDAY.INTL(A2117-1,1,1,FERIADOS!$A$2:$A$250)</x:f>
        <x:v>47773</x:v>
      </x:c>
      <x:c r="F2117" t="str">
        <x:f>IF(E2117&gt;=WORKDAY.INTL(EOMONTH(E2117,0)+1,-2,1,FERIADOS!$A$2:$A$250),"SÍ","NO")</x:f>
        <x:v>NO</x:v>
      </x:c>
      <x:c r="G2117" s="2" t="n">
        <x:f>IF(F2117="SÍ",EOMONTH(E2117,0)+1,DATE(YEAR(E2117),MONTH(E2117),1))</x:f>
        <x:v>47757</x:v>
      </x:c>
      <x:c r="H2117" t="str">
        <x:f>IF(D2117="NO",IF(C2117="SÍ","FERIADO","FIN DE SEMANA"),"LABORABLE")&amp;IF(F2117="SÍ"," + CIERRE","")</x:f>
        <x:v>LABORABLE</x:v>
      </x:c>
      <x:c r="I2117" t="str">
        <x:f>TEXT(G2117,"yyyy-mm")</x:f>
        <x:v>2030-10</x:v>
      </x:c>
    </x:row>
    <x:row r="2118">
      <x:c r="A2118" s="2" t="n">
        <x:v>47774</x:v>
      </x:c>
      <x:c r="B2118" t="str">
        <x:f>CHOOSE(WEEKDAY(A2118,2),"Lunes","Martes","Miércoles","Jueves","Viernes","Sábado","Domingo")</x:f>
        <x:v>Viernes</x:v>
      </x:c>
      <x:c r="C2118" t="str">
        <x:f>IF(COUNTIF(FERIADOS!$A$2:$A$250,A2118)&gt;0,"SÍ","NO")</x:f>
        <x:v>NO</x:v>
      </x:c>
      <x:c r="D2118" t="str">
        <x:f>IF(AND(WEEKDAY(A2118,2)&lt;=5,C2118="NO"),"SÍ","NO")</x:f>
        <x:v>SÍ</x:v>
      </x:c>
      <x:c r="E2118" s="2" t="n">
        <x:f>WORKDAY.INTL(A2118-1,1,1,FERIADOS!$A$2:$A$250)</x:f>
        <x:v>47774</x:v>
      </x:c>
      <x:c r="F2118" t="str">
        <x:f>IF(E2118&gt;=WORKDAY.INTL(EOMONTH(E2118,0)+1,-2,1,FERIADOS!$A$2:$A$250),"SÍ","NO")</x:f>
        <x:v>NO</x:v>
      </x:c>
      <x:c r="G2118" s="2" t="n">
        <x:f>IF(F2118="SÍ",EOMONTH(E2118,0)+1,DATE(YEAR(E2118),MONTH(E2118),1))</x:f>
        <x:v>47757</x:v>
      </x:c>
      <x:c r="H2118" t="str">
        <x:f>IF(D2118="NO",IF(C2118="SÍ","FERIADO","FIN DE SEMANA"),"LABORABLE")&amp;IF(F2118="SÍ"," + CIERRE","")</x:f>
        <x:v>LABORABLE</x:v>
      </x:c>
      <x:c r="I2118" t="str">
        <x:f>TEXT(G2118,"yyyy-mm")</x:f>
        <x:v>2030-10</x:v>
      </x:c>
    </x:row>
    <x:row r="2119">
      <x:c r="A2119" s="2" t="n">
        <x:v>47775</x:v>
      </x:c>
      <x:c r="B2119" t="str">
        <x:f>CHOOSE(WEEKDAY(A2119,2),"Lunes","Martes","Miércoles","Jueves","Viernes","Sábado","Domingo")</x:f>
        <x:v>Sábado</x:v>
      </x:c>
      <x:c r="C2119" t="str">
        <x:f>IF(COUNTIF(FERIADOS!$A$2:$A$250,A2119)&gt;0,"SÍ","NO")</x:f>
        <x:v>NO</x:v>
      </x:c>
      <x:c r="D2119" t="str">
        <x:f>IF(AND(WEEKDAY(A2119,2)&lt;=5,C2119="NO"),"SÍ","NO")</x:f>
        <x:v>NO</x:v>
      </x:c>
      <x:c r="E2119" s="2" t="n">
        <x:f>WORKDAY.INTL(A2119-1,1,1,FERIADOS!$A$2:$A$250)</x:f>
        <x:v>47777</x:v>
      </x:c>
      <x:c r="F2119" t="str">
        <x:f>IF(E2119&gt;=WORKDAY.INTL(EOMONTH(E2119,0)+1,-2,1,FERIADOS!$A$2:$A$250),"SÍ","NO")</x:f>
        <x:v>NO</x:v>
      </x:c>
      <x:c r="G2119" s="2" t="n">
        <x:f>IF(F2119="SÍ",EOMONTH(E2119,0)+1,DATE(YEAR(E2119),MONTH(E2119),1))</x:f>
        <x:v>47757</x:v>
      </x:c>
      <x:c r="H2119" t="str">
        <x:f>IF(D2119="NO",IF(C2119="SÍ","FERIADO","FIN DE SEMANA"),"LABORABLE")&amp;IF(F2119="SÍ"," + CIERRE","")</x:f>
        <x:v>FIN DE SEMANA</x:v>
      </x:c>
      <x:c r="I2119" t="str">
        <x:f>TEXT(G2119,"yyyy-mm")</x:f>
        <x:v>2030-10</x:v>
      </x:c>
    </x:row>
    <x:row r="2120">
      <x:c r="A2120" s="2" t="n">
        <x:v>47776</x:v>
      </x:c>
      <x:c r="B2120" t="str">
        <x:f>CHOOSE(WEEKDAY(A2120,2),"Lunes","Martes","Miércoles","Jueves","Viernes","Sábado","Domingo")</x:f>
        <x:v>Domingo</x:v>
      </x:c>
      <x:c r="C2120" t="str">
        <x:f>IF(COUNTIF(FERIADOS!$A$2:$A$250,A2120)&gt;0,"SÍ","NO")</x:f>
        <x:v>NO</x:v>
      </x:c>
      <x:c r="D2120" t="str">
        <x:f>IF(AND(WEEKDAY(A2120,2)&lt;=5,C2120="NO"),"SÍ","NO")</x:f>
        <x:v>NO</x:v>
      </x:c>
      <x:c r="E2120" s="2" t="n">
        <x:f>WORKDAY.INTL(A2120-1,1,1,FERIADOS!$A$2:$A$250)</x:f>
        <x:v>47777</x:v>
      </x:c>
      <x:c r="F2120" t="str">
        <x:f>IF(E2120&gt;=WORKDAY.INTL(EOMONTH(E2120,0)+1,-2,1,FERIADOS!$A$2:$A$250),"SÍ","NO")</x:f>
        <x:v>NO</x:v>
      </x:c>
      <x:c r="G2120" s="2" t="n">
        <x:f>IF(F2120="SÍ",EOMONTH(E2120,0)+1,DATE(YEAR(E2120),MONTH(E2120),1))</x:f>
        <x:v>47757</x:v>
      </x:c>
      <x:c r="H2120" t="str">
        <x:f>IF(D2120="NO",IF(C2120="SÍ","FERIADO","FIN DE SEMANA"),"LABORABLE")&amp;IF(F2120="SÍ"," + CIERRE","")</x:f>
        <x:v>FIN DE SEMANA</x:v>
      </x:c>
      <x:c r="I2120" t="str">
        <x:f>TEXT(G2120,"yyyy-mm")</x:f>
        <x:v>2030-10</x:v>
      </x:c>
    </x:row>
    <x:row r="2121">
      <x:c r="A2121" s="2" t="n">
        <x:v>47777</x:v>
      </x:c>
      <x:c r="B2121" t="str">
        <x:f>CHOOSE(WEEKDAY(A2121,2),"Lunes","Martes","Miércoles","Jueves","Viernes","Sábado","Domingo")</x:f>
        <x:v>Lunes</x:v>
      </x:c>
      <x:c r="C2121" t="str">
        <x:f>IF(COUNTIF(FERIADOS!$A$2:$A$250,A2121)&gt;0,"SÍ","NO")</x:f>
        <x:v>NO</x:v>
      </x:c>
      <x:c r="D2121" t="str">
        <x:f>IF(AND(WEEKDAY(A2121,2)&lt;=5,C2121="NO"),"SÍ","NO")</x:f>
        <x:v>SÍ</x:v>
      </x:c>
      <x:c r="E2121" s="2" t="n">
        <x:f>WORKDAY.INTL(A2121-1,1,1,FERIADOS!$A$2:$A$250)</x:f>
        <x:v>47777</x:v>
      </x:c>
      <x:c r="F2121" t="str">
        <x:f>IF(E2121&gt;=WORKDAY.INTL(EOMONTH(E2121,0)+1,-2,1,FERIADOS!$A$2:$A$250),"SÍ","NO")</x:f>
        <x:v>NO</x:v>
      </x:c>
      <x:c r="G2121" s="2" t="n">
        <x:f>IF(F2121="SÍ",EOMONTH(E2121,0)+1,DATE(YEAR(E2121),MONTH(E2121),1))</x:f>
        <x:v>47757</x:v>
      </x:c>
      <x:c r="H2121" t="str">
        <x:f>IF(D2121="NO",IF(C2121="SÍ","FERIADO","FIN DE SEMANA"),"LABORABLE")&amp;IF(F2121="SÍ"," + CIERRE","")</x:f>
        <x:v>LABORABLE</x:v>
      </x:c>
      <x:c r="I2121" t="str">
        <x:f>TEXT(G2121,"yyyy-mm")</x:f>
        <x:v>2030-10</x:v>
      </x:c>
    </x:row>
    <x:row r="2122">
      <x:c r="A2122" s="2" t="n">
        <x:v>47778</x:v>
      </x:c>
      <x:c r="B2122" t="str">
        <x:f>CHOOSE(WEEKDAY(A2122,2),"Lunes","Martes","Miércoles","Jueves","Viernes","Sábado","Domingo")</x:f>
        <x:v>Martes</x:v>
      </x:c>
      <x:c r="C2122" t="str">
        <x:f>IF(COUNTIF(FERIADOS!$A$2:$A$250,A2122)&gt;0,"SÍ","NO")</x:f>
        <x:v>NO</x:v>
      </x:c>
      <x:c r="D2122" t="str">
        <x:f>IF(AND(WEEKDAY(A2122,2)&lt;=5,C2122="NO"),"SÍ","NO")</x:f>
        <x:v>SÍ</x:v>
      </x:c>
      <x:c r="E2122" s="2" t="n">
        <x:f>WORKDAY.INTL(A2122-1,1,1,FERIADOS!$A$2:$A$250)</x:f>
        <x:v>47778</x:v>
      </x:c>
      <x:c r="F2122" t="str">
        <x:f>IF(E2122&gt;=WORKDAY.INTL(EOMONTH(E2122,0)+1,-2,1,FERIADOS!$A$2:$A$250),"SÍ","NO")</x:f>
        <x:v>NO</x:v>
      </x:c>
      <x:c r="G2122" s="2" t="n">
        <x:f>IF(F2122="SÍ",EOMONTH(E2122,0)+1,DATE(YEAR(E2122),MONTH(E2122),1))</x:f>
        <x:v>47757</x:v>
      </x:c>
      <x:c r="H2122" t="str">
        <x:f>IF(D2122="NO",IF(C2122="SÍ","FERIADO","FIN DE SEMANA"),"LABORABLE")&amp;IF(F2122="SÍ"," + CIERRE","")</x:f>
        <x:v>LABORABLE</x:v>
      </x:c>
      <x:c r="I2122" t="str">
        <x:f>TEXT(G2122,"yyyy-mm")</x:f>
        <x:v>2030-10</x:v>
      </x:c>
    </x:row>
    <x:row r="2123">
      <x:c r="A2123" s="2" t="n">
        <x:v>47779</x:v>
      </x:c>
      <x:c r="B2123" t="str">
        <x:f>CHOOSE(WEEKDAY(A2123,2),"Lunes","Martes","Miércoles","Jueves","Viernes","Sábado","Domingo")</x:f>
        <x:v>Miércoles</x:v>
      </x:c>
      <x:c r="C2123" t="str">
        <x:f>IF(COUNTIF(FERIADOS!$A$2:$A$250,A2123)&gt;0,"SÍ","NO")</x:f>
        <x:v>NO</x:v>
      </x:c>
      <x:c r="D2123" t="str">
        <x:f>IF(AND(WEEKDAY(A2123,2)&lt;=5,C2123="NO"),"SÍ","NO")</x:f>
        <x:v>SÍ</x:v>
      </x:c>
      <x:c r="E2123" s="2" t="n">
        <x:f>WORKDAY.INTL(A2123-1,1,1,FERIADOS!$A$2:$A$250)</x:f>
        <x:v>47779</x:v>
      </x:c>
      <x:c r="F2123" t="str">
        <x:f>IF(E2123&gt;=WORKDAY.INTL(EOMONTH(E2123,0)+1,-2,1,FERIADOS!$A$2:$A$250),"SÍ","NO")</x:f>
        <x:v>NO</x:v>
      </x:c>
      <x:c r="G2123" s="2" t="n">
        <x:f>IF(F2123="SÍ",EOMONTH(E2123,0)+1,DATE(YEAR(E2123),MONTH(E2123),1))</x:f>
        <x:v>47757</x:v>
      </x:c>
      <x:c r="H2123" t="str">
        <x:f>IF(D2123="NO",IF(C2123="SÍ","FERIADO","FIN DE SEMANA"),"LABORABLE")&amp;IF(F2123="SÍ"," + CIERRE","")</x:f>
        <x:v>LABORABLE</x:v>
      </x:c>
      <x:c r="I2123" t="str">
        <x:f>TEXT(G2123,"yyyy-mm")</x:f>
        <x:v>2030-10</x:v>
      </x:c>
    </x:row>
    <x:row r="2124">
      <x:c r="A2124" s="2" t="n">
        <x:v>47780</x:v>
      </x:c>
      <x:c r="B2124" t="str">
        <x:f>CHOOSE(WEEKDAY(A2124,2),"Lunes","Martes","Miércoles","Jueves","Viernes","Sábado","Domingo")</x:f>
        <x:v>Jueves</x:v>
      </x:c>
      <x:c r="C2124" t="str">
        <x:f>IF(COUNTIF(FERIADOS!$A$2:$A$250,A2124)&gt;0,"SÍ","NO")</x:f>
        <x:v>NO</x:v>
      </x:c>
      <x:c r="D2124" t="str">
        <x:f>IF(AND(WEEKDAY(A2124,2)&lt;=5,C2124="NO"),"SÍ","NO")</x:f>
        <x:v>SÍ</x:v>
      </x:c>
      <x:c r="E2124" s="2" t="n">
        <x:f>WORKDAY.INTL(A2124-1,1,1,FERIADOS!$A$2:$A$250)</x:f>
        <x:v>47780</x:v>
      </x:c>
      <x:c r="F2124" t="str">
        <x:f>IF(E2124&gt;=WORKDAY.INTL(EOMONTH(E2124,0)+1,-2,1,FERIADOS!$A$2:$A$250),"SÍ","NO")</x:f>
        <x:v>NO</x:v>
      </x:c>
      <x:c r="G2124" s="2" t="n">
        <x:f>IF(F2124="SÍ",EOMONTH(E2124,0)+1,DATE(YEAR(E2124),MONTH(E2124),1))</x:f>
        <x:v>47757</x:v>
      </x:c>
      <x:c r="H2124" t="str">
        <x:f>IF(D2124="NO",IF(C2124="SÍ","FERIADO","FIN DE SEMANA"),"LABORABLE")&amp;IF(F2124="SÍ"," + CIERRE","")</x:f>
        <x:v>LABORABLE</x:v>
      </x:c>
      <x:c r="I2124" t="str">
        <x:f>TEXT(G2124,"yyyy-mm")</x:f>
        <x:v>2030-10</x:v>
      </x:c>
    </x:row>
    <x:row r="2125">
      <x:c r="A2125" s="2" t="n">
        <x:v>47781</x:v>
      </x:c>
      <x:c r="B2125" t="str">
        <x:f>CHOOSE(WEEKDAY(A2125,2),"Lunes","Martes","Miércoles","Jueves","Viernes","Sábado","Domingo")</x:f>
        <x:v>Viernes</x:v>
      </x:c>
      <x:c r="C2125" t="str">
        <x:f>IF(COUNTIF(FERIADOS!$A$2:$A$250,A2125)&gt;0,"SÍ","NO")</x:f>
        <x:v>NO</x:v>
      </x:c>
      <x:c r="D2125" t="str">
        <x:f>IF(AND(WEEKDAY(A2125,2)&lt;=5,C2125="NO"),"SÍ","NO")</x:f>
        <x:v>SÍ</x:v>
      </x:c>
      <x:c r="E2125" s="2" t="n">
        <x:f>WORKDAY.INTL(A2125-1,1,1,FERIADOS!$A$2:$A$250)</x:f>
        <x:v>47781</x:v>
      </x:c>
      <x:c r="F2125" t="str">
        <x:f>IF(E2125&gt;=WORKDAY.INTL(EOMONTH(E2125,0)+1,-2,1,FERIADOS!$A$2:$A$250),"SÍ","NO")</x:f>
        <x:v>NO</x:v>
      </x:c>
      <x:c r="G2125" s="2" t="n">
        <x:f>IF(F2125="SÍ",EOMONTH(E2125,0)+1,DATE(YEAR(E2125),MONTH(E2125),1))</x:f>
        <x:v>47757</x:v>
      </x:c>
      <x:c r="H2125" t="str">
        <x:f>IF(D2125="NO",IF(C2125="SÍ","FERIADO","FIN DE SEMANA"),"LABORABLE")&amp;IF(F2125="SÍ"," + CIERRE","")</x:f>
        <x:v>LABORABLE</x:v>
      </x:c>
      <x:c r="I2125" t="str">
        <x:f>TEXT(G2125,"yyyy-mm")</x:f>
        <x:v>2030-10</x:v>
      </x:c>
    </x:row>
    <x:row r="2126">
      <x:c r="A2126" s="2" t="n">
        <x:v>47782</x:v>
      </x:c>
      <x:c r="B2126" t="str">
        <x:f>CHOOSE(WEEKDAY(A2126,2),"Lunes","Martes","Miércoles","Jueves","Viernes","Sábado","Domingo")</x:f>
        <x:v>Sábado</x:v>
      </x:c>
      <x:c r="C2126" t="str">
        <x:f>IF(COUNTIF(FERIADOS!$A$2:$A$250,A2126)&gt;0,"SÍ","NO")</x:f>
        <x:v>NO</x:v>
      </x:c>
      <x:c r="D2126" t="str">
        <x:f>IF(AND(WEEKDAY(A2126,2)&lt;=5,C2126="NO"),"SÍ","NO")</x:f>
        <x:v>NO</x:v>
      </x:c>
      <x:c r="E2126" s="2" t="n">
        <x:f>WORKDAY.INTL(A2126-1,1,1,FERIADOS!$A$2:$A$250)</x:f>
        <x:v>47784</x:v>
      </x:c>
      <x:c r="F2126" t="str">
        <x:f>IF(E2126&gt;=WORKDAY.INTL(EOMONTH(E2126,0)+1,-2,1,FERIADOS!$A$2:$A$250),"SÍ","NO")</x:f>
        <x:v>NO</x:v>
      </x:c>
      <x:c r="G2126" s="2" t="n">
        <x:f>IF(F2126="SÍ",EOMONTH(E2126,0)+1,DATE(YEAR(E2126),MONTH(E2126),1))</x:f>
        <x:v>47757</x:v>
      </x:c>
      <x:c r="H2126" t="str">
        <x:f>IF(D2126="NO",IF(C2126="SÍ","FERIADO","FIN DE SEMANA"),"LABORABLE")&amp;IF(F2126="SÍ"," + CIERRE","")</x:f>
        <x:v>FIN DE SEMANA</x:v>
      </x:c>
      <x:c r="I2126" t="str">
        <x:f>TEXT(G2126,"yyyy-mm")</x:f>
        <x:v>2030-10</x:v>
      </x:c>
    </x:row>
    <x:row r="2127">
      <x:c r="A2127" s="2" t="n">
        <x:v>47783</x:v>
      </x:c>
      <x:c r="B2127" t="str">
        <x:f>CHOOSE(WEEKDAY(A2127,2),"Lunes","Martes","Miércoles","Jueves","Viernes","Sábado","Domingo")</x:f>
        <x:v>Domingo</x:v>
      </x:c>
      <x:c r="C2127" t="str">
        <x:f>IF(COUNTIF(FERIADOS!$A$2:$A$250,A2127)&gt;0,"SÍ","NO")</x:f>
        <x:v>NO</x:v>
      </x:c>
      <x:c r="D2127" t="str">
        <x:f>IF(AND(WEEKDAY(A2127,2)&lt;=5,C2127="NO"),"SÍ","NO")</x:f>
        <x:v>NO</x:v>
      </x:c>
      <x:c r="E2127" s="2" t="n">
        <x:f>WORKDAY.INTL(A2127-1,1,1,FERIADOS!$A$2:$A$250)</x:f>
        <x:v>47784</x:v>
      </x:c>
      <x:c r="F2127" t="str">
        <x:f>IF(E2127&gt;=WORKDAY.INTL(EOMONTH(E2127,0)+1,-2,1,FERIADOS!$A$2:$A$250),"SÍ","NO")</x:f>
        <x:v>NO</x:v>
      </x:c>
      <x:c r="G2127" s="2" t="n">
        <x:f>IF(F2127="SÍ",EOMONTH(E2127,0)+1,DATE(YEAR(E2127),MONTH(E2127),1))</x:f>
        <x:v>47757</x:v>
      </x:c>
      <x:c r="H2127" t="str">
        <x:f>IF(D2127="NO",IF(C2127="SÍ","FERIADO","FIN DE SEMANA"),"LABORABLE")&amp;IF(F2127="SÍ"," + CIERRE","")</x:f>
        <x:v>FIN DE SEMANA</x:v>
      </x:c>
      <x:c r="I2127" t="str">
        <x:f>TEXT(G2127,"yyyy-mm")</x:f>
        <x:v>2030-10</x:v>
      </x:c>
    </x:row>
    <x:row r="2128">
      <x:c r="A2128" s="2" t="n">
        <x:v>47784</x:v>
      </x:c>
      <x:c r="B2128" t="str">
        <x:f>CHOOSE(WEEKDAY(A2128,2),"Lunes","Martes","Miércoles","Jueves","Viernes","Sábado","Domingo")</x:f>
        <x:v>Lunes</x:v>
      </x:c>
      <x:c r="C2128" t="str">
        <x:f>IF(COUNTIF(FERIADOS!$A$2:$A$250,A2128)&gt;0,"SÍ","NO")</x:f>
        <x:v>NO</x:v>
      </x:c>
      <x:c r="D2128" t="str">
        <x:f>IF(AND(WEEKDAY(A2128,2)&lt;=5,C2128="NO"),"SÍ","NO")</x:f>
        <x:v>SÍ</x:v>
      </x:c>
      <x:c r="E2128" s="2" t="n">
        <x:f>WORKDAY.INTL(A2128-1,1,1,FERIADOS!$A$2:$A$250)</x:f>
        <x:v>47784</x:v>
      </x:c>
      <x:c r="F2128" t="str">
        <x:f>IF(E2128&gt;=WORKDAY.INTL(EOMONTH(E2128,0)+1,-2,1,FERIADOS!$A$2:$A$250),"SÍ","NO")</x:f>
        <x:v>NO</x:v>
      </x:c>
      <x:c r="G2128" s="2" t="n">
        <x:f>IF(F2128="SÍ",EOMONTH(E2128,0)+1,DATE(YEAR(E2128),MONTH(E2128),1))</x:f>
        <x:v>47757</x:v>
      </x:c>
      <x:c r="H2128" t="str">
        <x:f>IF(D2128="NO",IF(C2128="SÍ","FERIADO","FIN DE SEMANA"),"LABORABLE")&amp;IF(F2128="SÍ"," + CIERRE","")</x:f>
        <x:v>LABORABLE</x:v>
      </x:c>
      <x:c r="I2128" t="str">
        <x:f>TEXT(G2128,"yyyy-mm")</x:f>
        <x:v>2030-10</x:v>
      </x:c>
    </x:row>
    <x:row r="2129">
      <x:c r="A2129" s="2" t="n">
        <x:v>47785</x:v>
      </x:c>
      <x:c r="B2129" t="str">
        <x:f>CHOOSE(WEEKDAY(A2129,2),"Lunes","Martes","Miércoles","Jueves","Viernes","Sábado","Domingo")</x:f>
        <x:v>Martes</x:v>
      </x:c>
      <x:c r="C2129" t="str">
        <x:f>IF(COUNTIF(FERIADOS!$A$2:$A$250,A2129)&gt;0,"SÍ","NO")</x:f>
        <x:v>NO</x:v>
      </x:c>
      <x:c r="D2129" t="str">
        <x:f>IF(AND(WEEKDAY(A2129,2)&lt;=5,C2129="NO"),"SÍ","NO")</x:f>
        <x:v>SÍ</x:v>
      </x:c>
      <x:c r="E2129" s="2" t="n">
        <x:f>WORKDAY.INTL(A2129-1,1,1,FERIADOS!$A$2:$A$250)</x:f>
        <x:v>47785</x:v>
      </x:c>
      <x:c r="F2129" t="str">
        <x:f>IF(E2129&gt;=WORKDAY.INTL(EOMONTH(E2129,0)+1,-2,1,FERIADOS!$A$2:$A$250),"SÍ","NO")</x:f>
        <x:v>NO</x:v>
      </x:c>
      <x:c r="G2129" s="2" t="n">
        <x:f>IF(F2129="SÍ",EOMONTH(E2129,0)+1,DATE(YEAR(E2129),MONTH(E2129),1))</x:f>
        <x:v>47757</x:v>
      </x:c>
      <x:c r="H2129" t="str">
        <x:f>IF(D2129="NO",IF(C2129="SÍ","FERIADO","FIN DE SEMANA"),"LABORABLE")&amp;IF(F2129="SÍ"," + CIERRE","")</x:f>
        <x:v>LABORABLE</x:v>
      </x:c>
      <x:c r="I2129" t="str">
        <x:f>TEXT(G2129,"yyyy-mm")</x:f>
        <x:v>2030-10</x:v>
      </x:c>
    </x:row>
    <x:row r="2130">
      <x:c r="A2130" s="2" t="n">
        <x:v>47786</x:v>
      </x:c>
      <x:c r="B2130" t="str">
        <x:f>CHOOSE(WEEKDAY(A2130,2),"Lunes","Martes","Miércoles","Jueves","Viernes","Sábado","Domingo")</x:f>
        <x:v>Miércoles</x:v>
      </x:c>
      <x:c r="C2130" t="str">
        <x:f>IF(COUNTIF(FERIADOS!$A$2:$A$250,A2130)&gt;0,"SÍ","NO")</x:f>
        <x:v>NO</x:v>
      </x:c>
      <x:c r="D2130" t="str">
        <x:f>IF(AND(WEEKDAY(A2130,2)&lt;=5,C2130="NO"),"SÍ","NO")</x:f>
        <x:v>SÍ</x:v>
      </x:c>
      <x:c r="E2130" s="2" t="n">
        <x:f>WORKDAY.INTL(A2130-1,1,1,FERIADOS!$A$2:$A$250)</x:f>
        <x:v>47786</x:v>
      </x:c>
      <x:c r="F2130" t="str">
        <x:f>IF(E2130&gt;=WORKDAY.INTL(EOMONTH(E2130,0)+1,-2,1,FERIADOS!$A$2:$A$250),"SÍ","NO")</x:f>
        <x:v>SÍ</x:v>
      </x:c>
      <x:c r="G2130" s="2" t="n">
        <x:f>IF(F2130="SÍ",EOMONTH(E2130,0)+1,DATE(YEAR(E2130),MONTH(E2130),1))</x:f>
        <x:v>47788</x:v>
      </x:c>
      <x:c r="H2130" t="str">
        <x:f>IF(D2130="NO",IF(C2130="SÍ","FERIADO","FIN DE SEMANA"),"LABORABLE")&amp;IF(F2130="SÍ"," + CIERRE","")</x:f>
        <x:v>LABORABLE + CIERRE</x:v>
      </x:c>
      <x:c r="I2130" t="str">
        <x:f>TEXT(G2130,"yyyy-mm")</x:f>
        <x:v>2030-11</x:v>
      </x:c>
    </x:row>
    <x:row r="2131">
      <x:c r="A2131" s="2" t="n">
        <x:v>47787</x:v>
      </x:c>
      <x:c r="B2131" t="str">
        <x:f>CHOOSE(WEEKDAY(A2131,2),"Lunes","Martes","Miércoles","Jueves","Viernes","Sábado","Domingo")</x:f>
        <x:v>Jueves</x:v>
      </x:c>
      <x:c r="C2131" t="str">
        <x:f>IF(COUNTIF(FERIADOS!$A$2:$A$250,A2131)&gt;0,"SÍ","NO")</x:f>
        <x:v>NO</x:v>
      </x:c>
      <x:c r="D2131" t="str">
        <x:f>IF(AND(WEEKDAY(A2131,2)&lt;=5,C2131="NO"),"SÍ","NO")</x:f>
        <x:v>SÍ</x:v>
      </x:c>
      <x:c r="E2131" s="2" t="n">
        <x:f>WORKDAY.INTL(A2131-1,1,1,FERIADOS!$A$2:$A$250)</x:f>
        <x:v>47787</x:v>
      </x:c>
      <x:c r="F2131" t="str">
        <x:f>IF(E2131&gt;=WORKDAY.INTL(EOMONTH(E2131,0)+1,-2,1,FERIADOS!$A$2:$A$250),"SÍ","NO")</x:f>
        <x:v>SÍ</x:v>
      </x:c>
      <x:c r="G2131" s="2" t="n">
        <x:f>IF(F2131="SÍ",EOMONTH(E2131,0)+1,DATE(YEAR(E2131),MONTH(E2131),1))</x:f>
        <x:v>47788</x:v>
      </x:c>
      <x:c r="H2131" t="str">
        <x:f>IF(D2131="NO",IF(C2131="SÍ","FERIADO","FIN DE SEMANA"),"LABORABLE")&amp;IF(F2131="SÍ"," + CIERRE","")</x:f>
        <x:v>LABORABLE + CIERRE</x:v>
      </x:c>
      <x:c r="I2131" t="str">
        <x:f>TEXT(G2131,"yyyy-mm")</x:f>
        <x:v>2030-11</x:v>
      </x:c>
    </x:row>
    <x:row r="2132">
      <x:c r="A2132" s="2" t="n">
        <x:v>47788</x:v>
      </x:c>
      <x:c r="B2132" t="str">
        <x:f>CHOOSE(WEEKDAY(A2132,2),"Lunes","Martes","Miércoles","Jueves","Viernes","Sábado","Domingo")</x:f>
        <x:v>Viernes</x:v>
      </x:c>
      <x:c r="C2132" t="str">
        <x:f>IF(COUNTIF(FERIADOS!$A$2:$A$250,A2132)&gt;0,"SÍ","NO")</x:f>
        <x:v>SÍ</x:v>
      </x:c>
      <x:c r="D2132" t="str">
        <x:f>IF(AND(WEEKDAY(A2132,2)&lt;=5,C2132="NO"),"SÍ","NO")</x:f>
        <x:v>NO</x:v>
      </x:c>
      <x:c r="E2132" s="2" t="n">
        <x:f>WORKDAY.INTL(A2132-1,1,1,FERIADOS!$A$2:$A$250)</x:f>
        <x:v>47792</x:v>
      </x:c>
      <x:c r="F2132" t="str">
        <x:f>IF(E2132&gt;=WORKDAY.INTL(EOMONTH(E2132,0)+1,-2,1,FERIADOS!$A$2:$A$250),"SÍ","NO")</x:f>
        <x:v>NO</x:v>
      </x:c>
      <x:c r="G2132" s="2" t="n">
        <x:f>IF(F2132="SÍ",EOMONTH(E2132,0)+1,DATE(YEAR(E2132),MONTH(E2132),1))</x:f>
        <x:v>47788</x:v>
      </x:c>
      <x:c r="H2132" t="str">
        <x:f>IF(D2132="NO",IF(C2132="SÍ","FERIADO","FIN DE SEMANA"),"LABORABLE")&amp;IF(F2132="SÍ"," + CIERRE","")</x:f>
        <x:v>FERIADO</x:v>
      </x:c>
      <x:c r="I2132" t="str">
        <x:f>TEXT(G2132,"yyyy-mm")</x:f>
        <x:v>2030-11</x:v>
      </x:c>
    </x:row>
    <x:row r="2133">
      <x:c r="A2133" s="2" t="n">
        <x:v>47789</x:v>
      </x:c>
      <x:c r="B2133" t="str">
        <x:f>CHOOSE(WEEKDAY(A2133,2),"Lunes","Martes","Miércoles","Jueves","Viernes","Sábado","Domingo")</x:f>
        <x:v>Sábado</x:v>
      </x:c>
      <x:c r="C2133" t="str">
        <x:f>IF(COUNTIF(FERIADOS!$A$2:$A$250,A2133)&gt;0,"SÍ","NO")</x:f>
        <x:v>NO</x:v>
      </x:c>
      <x:c r="D2133" t="str">
        <x:f>IF(AND(WEEKDAY(A2133,2)&lt;=5,C2133="NO"),"SÍ","NO")</x:f>
        <x:v>NO</x:v>
      </x:c>
      <x:c r="E2133" s="2" t="n">
        <x:f>WORKDAY.INTL(A2133-1,1,1,FERIADOS!$A$2:$A$250)</x:f>
        <x:v>47792</x:v>
      </x:c>
      <x:c r="F2133" t="str">
        <x:f>IF(E2133&gt;=WORKDAY.INTL(EOMONTH(E2133,0)+1,-2,1,FERIADOS!$A$2:$A$250),"SÍ","NO")</x:f>
        <x:v>NO</x:v>
      </x:c>
      <x:c r="G2133" s="2" t="n">
        <x:f>IF(F2133="SÍ",EOMONTH(E2133,0)+1,DATE(YEAR(E2133),MONTH(E2133),1))</x:f>
        <x:v>47788</x:v>
      </x:c>
      <x:c r="H2133" t="str">
        <x:f>IF(D2133="NO",IF(C2133="SÍ","FERIADO","FIN DE SEMANA"),"LABORABLE")&amp;IF(F2133="SÍ"," + CIERRE","")</x:f>
        <x:v>FIN DE SEMANA</x:v>
      </x:c>
      <x:c r="I2133" t="str">
        <x:f>TEXT(G2133,"yyyy-mm")</x:f>
        <x:v>2030-11</x:v>
      </x:c>
    </x:row>
    <x:row r="2134">
      <x:c r="A2134" s="2" t="n">
        <x:v>47790</x:v>
      </x:c>
      <x:c r="B2134" t="str">
        <x:f>CHOOSE(WEEKDAY(A2134,2),"Lunes","Martes","Miércoles","Jueves","Viernes","Sábado","Domingo")</x:f>
        <x:v>Domingo</x:v>
      </x:c>
      <x:c r="C2134" t="str">
        <x:f>IF(COUNTIF(FERIADOS!$A$2:$A$250,A2134)&gt;0,"SÍ","NO")</x:f>
        <x:v>NO</x:v>
      </x:c>
      <x:c r="D2134" t="str">
        <x:f>IF(AND(WEEKDAY(A2134,2)&lt;=5,C2134="NO"),"SÍ","NO")</x:f>
        <x:v>NO</x:v>
      </x:c>
      <x:c r="E2134" s="2" t="n">
        <x:f>WORKDAY.INTL(A2134-1,1,1,FERIADOS!$A$2:$A$250)</x:f>
        <x:v>47792</x:v>
      </x:c>
      <x:c r="F2134" t="str">
        <x:f>IF(E2134&gt;=WORKDAY.INTL(EOMONTH(E2134,0)+1,-2,1,FERIADOS!$A$2:$A$250),"SÍ","NO")</x:f>
        <x:v>NO</x:v>
      </x:c>
      <x:c r="G2134" s="2" t="n">
        <x:f>IF(F2134="SÍ",EOMONTH(E2134,0)+1,DATE(YEAR(E2134),MONTH(E2134),1))</x:f>
        <x:v>47788</x:v>
      </x:c>
      <x:c r="H2134" t="str">
        <x:f>IF(D2134="NO",IF(C2134="SÍ","FERIADO","FIN DE SEMANA"),"LABORABLE")&amp;IF(F2134="SÍ"," + CIERRE","")</x:f>
        <x:v>FIN DE SEMANA</x:v>
      </x:c>
      <x:c r="I2134" t="str">
        <x:f>TEXT(G2134,"yyyy-mm")</x:f>
        <x:v>2030-11</x:v>
      </x:c>
    </x:row>
    <x:row r="2135">
      <x:c r="A2135" s="2" t="n">
        <x:v>47791</x:v>
      </x:c>
      <x:c r="B2135" t="str">
        <x:f>CHOOSE(WEEKDAY(A2135,2),"Lunes","Martes","Miércoles","Jueves","Viernes","Sábado","Domingo")</x:f>
        <x:v>Lunes</x:v>
      </x:c>
      <x:c r="C2135" t="str">
        <x:f>IF(COUNTIF(FERIADOS!$A$2:$A$250,A2135)&gt;0,"SÍ","NO")</x:f>
        <x:v>SÍ</x:v>
      </x:c>
      <x:c r="D2135" t="str">
        <x:f>IF(AND(WEEKDAY(A2135,2)&lt;=5,C2135="NO"),"SÍ","NO")</x:f>
        <x:v>NO</x:v>
      </x:c>
      <x:c r="E2135" s="2" t="n">
        <x:f>WORKDAY.INTL(A2135-1,1,1,FERIADOS!$A$2:$A$250)</x:f>
        <x:v>47792</x:v>
      </x:c>
      <x:c r="F2135" t="str">
        <x:f>IF(E2135&gt;=WORKDAY.INTL(EOMONTH(E2135,0)+1,-2,1,FERIADOS!$A$2:$A$250),"SÍ","NO")</x:f>
        <x:v>NO</x:v>
      </x:c>
      <x:c r="G2135" s="2" t="n">
        <x:f>IF(F2135="SÍ",EOMONTH(E2135,0)+1,DATE(YEAR(E2135),MONTH(E2135),1))</x:f>
        <x:v>47788</x:v>
      </x:c>
      <x:c r="H2135" t="str">
        <x:f>IF(D2135="NO",IF(C2135="SÍ","FERIADO","FIN DE SEMANA"),"LABORABLE")&amp;IF(F2135="SÍ"," + CIERRE","")</x:f>
        <x:v>FERIADO</x:v>
      </x:c>
      <x:c r="I2135" t="str">
        <x:f>TEXT(G2135,"yyyy-mm")</x:f>
        <x:v>2030-11</x:v>
      </x:c>
    </x:row>
    <x:row r="2136">
      <x:c r="A2136" s="2" t="n">
        <x:v>47792</x:v>
      </x:c>
      <x:c r="B2136" t="str">
        <x:f>CHOOSE(WEEKDAY(A2136,2),"Lunes","Martes","Miércoles","Jueves","Viernes","Sábado","Domingo")</x:f>
        <x:v>Martes</x:v>
      </x:c>
      <x:c r="C2136" t="str">
        <x:f>IF(COUNTIF(FERIADOS!$A$2:$A$250,A2136)&gt;0,"SÍ","NO")</x:f>
        <x:v>NO</x:v>
      </x:c>
      <x:c r="D2136" t="str">
        <x:f>IF(AND(WEEKDAY(A2136,2)&lt;=5,C2136="NO"),"SÍ","NO")</x:f>
        <x:v>SÍ</x:v>
      </x:c>
      <x:c r="E2136" s="2" t="n">
        <x:f>WORKDAY.INTL(A2136-1,1,1,FERIADOS!$A$2:$A$250)</x:f>
        <x:v>47792</x:v>
      </x:c>
      <x:c r="F2136" t="str">
        <x:f>IF(E2136&gt;=WORKDAY.INTL(EOMONTH(E2136,0)+1,-2,1,FERIADOS!$A$2:$A$250),"SÍ","NO")</x:f>
        <x:v>NO</x:v>
      </x:c>
      <x:c r="G2136" s="2" t="n">
        <x:f>IF(F2136="SÍ",EOMONTH(E2136,0)+1,DATE(YEAR(E2136),MONTH(E2136),1))</x:f>
        <x:v>47788</x:v>
      </x:c>
      <x:c r="H2136" t="str">
        <x:f>IF(D2136="NO",IF(C2136="SÍ","FERIADO","FIN DE SEMANA"),"LABORABLE")&amp;IF(F2136="SÍ"," + CIERRE","")</x:f>
        <x:v>LABORABLE</x:v>
      </x:c>
      <x:c r="I2136" t="str">
        <x:f>TEXT(G2136,"yyyy-mm")</x:f>
        <x:v>2030-11</x:v>
      </x:c>
    </x:row>
    <x:row r="2137">
      <x:c r="A2137" s="2" t="n">
        <x:v>47793</x:v>
      </x:c>
      <x:c r="B2137" t="str">
        <x:f>CHOOSE(WEEKDAY(A2137,2),"Lunes","Martes","Miércoles","Jueves","Viernes","Sábado","Domingo")</x:f>
        <x:v>Miércoles</x:v>
      </x:c>
      <x:c r="C2137" t="str">
        <x:f>IF(COUNTIF(FERIADOS!$A$2:$A$250,A2137)&gt;0,"SÍ","NO")</x:f>
        <x:v>NO</x:v>
      </x:c>
      <x:c r="D2137" t="str">
        <x:f>IF(AND(WEEKDAY(A2137,2)&lt;=5,C2137="NO"),"SÍ","NO")</x:f>
        <x:v>SÍ</x:v>
      </x:c>
      <x:c r="E2137" s="2" t="n">
        <x:f>WORKDAY.INTL(A2137-1,1,1,FERIADOS!$A$2:$A$250)</x:f>
        <x:v>47793</x:v>
      </x:c>
      <x:c r="F2137" t="str">
        <x:f>IF(E2137&gt;=WORKDAY.INTL(EOMONTH(E2137,0)+1,-2,1,FERIADOS!$A$2:$A$250),"SÍ","NO")</x:f>
        <x:v>NO</x:v>
      </x:c>
      <x:c r="G2137" s="2" t="n">
        <x:f>IF(F2137="SÍ",EOMONTH(E2137,0)+1,DATE(YEAR(E2137),MONTH(E2137),1))</x:f>
        <x:v>47788</x:v>
      </x:c>
      <x:c r="H2137" t="str">
        <x:f>IF(D2137="NO",IF(C2137="SÍ","FERIADO","FIN DE SEMANA"),"LABORABLE")&amp;IF(F2137="SÍ"," + CIERRE","")</x:f>
        <x:v>LABORABLE</x:v>
      </x:c>
      <x:c r="I2137" t="str">
        <x:f>TEXT(G2137,"yyyy-mm")</x:f>
        <x:v>2030-11</x:v>
      </x:c>
    </x:row>
    <x:row r="2138">
      <x:c r="A2138" s="2" t="n">
        <x:v>47794</x:v>
      </x:c>
      <x:c r="B2138" t="str">
        <x:f>CHOOSE(WEEKDAY(A2138,2),"Lunes","Martes","Miércoles","Jueves","Viernes","Sábado","Domingo")</x:f>
        <x:v>Jueves</x:v>
      </x:c>
      <x:c r="C2138" t="str">
        <x:f>IF(COUNTIF(FERIADOS!$A$2:$A$250,A2138)&gt;0,"SÍ","NO")</x:f>
        <x:v>NO</x:v>
      </x:c>
      <x:c r="D2138" t="str">
        <x:f>IF(AND(WEEKDAY(A2138,2)&lt;=5,C2138="NO"),"SÍ","NO")</x:f>
        <x:v>SÍ</x:v>
      </x:c>
      <x:c r="E2138" s="2" t="n">
        <x:f>WORKDAY.INTL(A2138-1,1,1,FERIADOS!$A$2:$A$250)</x:f>
        <x:v>47794</x:v>
      </x:c>
      <x:c r="F2138" t="str">
        <x:f>IF(E2138&gt;=WORKDAY.INTL(EOMONTH(E2138,0)+1,-2,1,FERIADOS!$A$2:$A$250),"SÍ","NO")</x:f>
        <x:v>NO</x:v>
      </x:c>
      <x:c r="G2138" s="2" t="n">
        <x:f>IF(F2138="SÍ",EOMONTH(E2138,0)+1,DATE(YEAR(E2138),MONTH(E2138),1))</x:f>
        <x:v>47788</x:v>
      </x:c>
      <x:c r="H2138" t="str">
        <x:f>IF(D2138="NO",IF(C2138="SÍ","FERIADO","FIN DE SEMANA"),"LABORABLE")&amp;IF(F2138="SÍ"," + CIERRE","")</x:f>
        <x:v>LABORABLE</x:v>
      </x:c>
      <x:c r="I2138" t="str">
        <x:f>TEXT(G2138,"yyyy-mm")</x:f>
        <x:v>2030-11</x:v>
      </x:c>
    </x:row>
    <x:row r="2139">
      <x:c r="A2139" s="2" t="n">
        <x:v>47795</x:v>
      </x:c>
      <x:c r="B2139" t="str">
        <x:f>CHOOSE(WEEKDAY(A2139,2),"Lunes","Martes","Miércoles","Jueves","Viernes","Sábado","Domingo")</x:f>
        <x:v>Viernes</x:v>
      </x:c>
      <x:c r="C2139" t="str">
        <x:f>IF(COUNTIF(FERIADOS!$A$2:$A$250,A2139)&gt;0,"SÍ","NO")</x:f>
        <x:v>NO</x:v>
      </x:c>
      <x:c r="D2139" t="str">
        <x:f>IF(AND(WEEKDAY(A2139,2)&lt;=5,C2139="NO"),"SÍ","NO")</x:f>
        <x:v>SÍ</x:v>
      </x:c>
      <x:c r="E2139" s="2" t="n">
        <x:f>WORKDAY.INTL(A2139-1,1,1,FERIADOS!$A$2:$A$250)</x:f>
        <x:v>47795</x:v>
      </x:c>
      <x:c r="F2139" t="str">
        <x:f>IF(E2139&gt;=WORKDAY.INTL(EOMONTH(E2139,0)+1,-2,1,FERIADOS!$A$2:$A$250),"SÍ","NO")</x:f>
        <x:v>NO</x:v>
      </x:c>
      <x:c r="G2139" s="2" t="n">
        <x:f>IF(F2139="SÍ",EOMONTH(E2139,0)+1,DATE(YEAR(E2139),MONTH(E2139),1))</x:f>
        <x:v>47788</x:v>
      </x:c>
      <x:c r="H2139" t="str">
        <x:f>IF(D2139="NO",IF(C2139="SÍ","FERIADO","FIN DE SEMANA"),"LABORABLE")&amp;IF(F2139="SÍ"," + CIERRE","")</x:f>
        <x:v>LABORABLE</x:v>
      </x:c>
      <x:c r="I2139" t="str">
        <x:f>TEXT(G2139,"yyyy-mm")</x:f>
        <x:v>2030-11</x:v>
      </x:c>
    </x:row>
    <x:row r="2140">
      <x:c r="A2140" s="2" t="n">
        <x:v>47796</x:v>
      </x:c>
      <x:c r="B2140" t="str">
        <x:f>CHOOSE(WEEKDAY(A2140,2),"Lunes","Martes","Miércoles","Jueves","Viernes","Sábado","Domingo")</x:f>
        <x:v>Sábado</x:v>
      </x:c>
      <x:c r="C2140" t="str">
        <x:f>IF(COUNTIF(FERIADOS!$A$2:$A$250,A2140)&gt;0,"SÍ","NO")</x:f>
        <x:v>NO</x:v>
      </x:c>
      <x:c r="D2140" t="str">
        <x:f>IF(AND(WEEKDAY(A2140,2)&lt;=5,C2140="NO"),"SÍ","NO")</x:f>
        <x:v>NO</x:v>
      </x:c>
      <x:c r="E2140" s="2" t="n">
        <x:f>WORKDAY.INTL(A2140-1,1,1,FERIADOS!$A$2:$A$250)</x:f>
        <x:v>47798</x:v>
      </x:c>
      <x:c r="F2140" t="str">
        <x:f>IF(E2140&gt;=WORKDAY.INTL(EOMONTH(E2140,0)+1,-2,1,FERIADOS!$A$2:$A$250),"SÍ","NO")</x:f>
        <x:v>NO</x:v>
      </x:c>
      <x:c r="G2140" s="2" t="n">
        <x:f>IF(F2140="SÍ",EOMONTH(E2140,0)+1,DATE(YEAR(E2140),MONTH(E2140),1))</x:f>
        <x:v>47788</x:v>
      </x:c>
      <x:c r="H2140" t="str">
        <x:f>IF(D2140="NO",IF(C2140="SÍ","FERIADO","FIN DE SEMANA"),"LABORABLE")&amp;IF(F2140="SÍ"," + CIERRE","")</x:f>
        <x:v>FIN DE SEMANA</x:v>
      </x:c>
      <x:c r="I2140" t="str">
        <x:f>TEXT(G2140,"yyyy-mm")</x:f>
        <x:v>2030-11</x:v>
      </x:c>
    </x:row>
    <x:row r="2141">
      <x:c r="A2141" s="2" t="n">
        <x:v>47797</x:v>
      </x:c>
      <x:c r="B2141" t="str">
        <x:f>CHOOSE(WEEKDAY(A2141,2),"Lunes","Martes","Miércoles","Jueves","Viernes","Sábado","Domingo")</x:f>
        <x:v>Domingo</x:v>
      </x:c>
      <x:c r="C2141" t="str">
        <x:f>IF(COUNTIF(FERIADOS!$A$2:$A$250,A2141)&gt;0,"SÍ","NO")</x:f>
        <x:v>NO</x:v>
      </x:c>
      <x:c r="D2141" t="str">
        <x:f>IF(AND(WEEKDAY(A2141,2)&lt;=5,C2141="NO"),"SÍ","NO")</x:f>
        <x:v>NO</x:v>
      </x:c>
      <x:c r="E2141" s="2" t="n">
        <x:f>WORKDAY.INTL(A2141-1,1,1,FERIADOS!$A$2:$A$250)</x:f>
        <x:v>47798</x:v>
      </x:c>
      <x:c r="F2141" t="str">
        <x:f>IF(E2141&gt;=WORKDAY.INTL(EOMONTH(E2141,0)+1,-2,1,FERIADOS!$A$2:$A$250),"SÍ","NO")</x:f>
        <x:v>NO</x:v>
      </x:c>
      <x:c r="G2141" s="2" t="n">
        <x:f>IF(F2141="SÍ",EOMONTH(E2141,0)+1,DATE(YEAR(E2141),MONTH(E2141),1))</x:f>
        <x:v>47788</x:v>
      </x:c>
      <x:c r="H2141" t="str">
        <x:f>IF(D2141="NO",IF(C2141="SÍ","FERIADO","FIN DE SEMANA"),"LABORABLE")&amp;IF(F2141="SÍ"," + CIERRE","")</x:f>
        <x:v>FIN DE SEMANA</x:v>
      </x:c>
      <x:c r="I2141" t="str">
        <x:f>TEXT(G2141,"yyyy-mm")</x:f>
        <x:v>2030-11</x:v>
      </x:c>
    </x:row>
    <x:row r="2142">
      <x:c r="A2142" s="2" t="n">
        <x:v>47798</x:v>
      </x:c>
      <x:c r="B2142" t="str">
        <x:f>CHOOSE(WEEKDAY(A2142,2),"Lunes","Martes","Miércoles","Jueves","Viernes","Sábado","Domingo")</x:f>
        <x:v>Lunes</x:v>
      </x:c>
      <x:c r="C2142" t="str">
        <x:f>IF(COUNTIF(FERIADOS!$A$2:$A$250,A2142)&gt;0,"SÍ","NO")</x:f>
        <x:v>NO</x:v>
      </x:c>
      <x:c r="D2142" t="str">
        <x:f>IF(AND(WEEKDAY(A2142,2)&lt;=5,C2142="NO"),"SÍ","NO")</x:f>
        <x:v>SÍ</x:v>
      </x:c>
      <x:c r="E2142" s="2" t="n">
        <x:f>WORKDAY.INTL(A2142-1,1,1,FERIADOS!$A$2:$A$250)</x:f>
        <x:v>47798</x:v>
      </x:c>
      <x:c r="F2142" t="str">
        <x:f>IF(E2142&gt;=WORKDAY.INTL(EOMONTH(E2142,0)+1,-2,1,FERIADOS!$A$2:$A$250),"SÍ","NO")</x:f>
        <x:v>NO</x:v>
      </x:c>
      <x:c r="G2142" s="2" t="n">
        <x:f>IF(F2142="SÍ",EOMONTH(E2142,0)+1,DATE(YEAR(E2142),MONTH(E2142),1))</x:f>
        <x:v>47788</x:v>
      </x:c>
      <x:c r="H2142" t="str">
        <x:f>IF(D2142="NO",IF(C2142="SÍ","FERIADO","FIN DE SEMANA"),"LABORABLE")&amp;IF(F2142="SÍ"," + CIERRE","")</x:f>
        <x:v>LABORABLE</x:v>
      </x:c>
      <x:c r="I2142" t="str">
        <x:f>TEXT(G2142,"yyyy-mm")</x:f>
        <x:v>2030-11</x:v>
      </x:c>
    </x:row>
    <x:row r="2143">
      <x:c r="A2143" s="2" t="n">
        <x:v>47799</x:v>
      </x:c>
      <x:c r="B2143" t="str">
        <x:f>CHOOSE(WEEKDAY(A2143,2),"Lunes","Martes","Miércoles","Jueves","Viernes","Sábado","Domingo")</x:f>
        <x:v>Martes</x:v>
      </x:c>
      <x:c r="C2143" t="str">
        <x:f>IF(COUNTIF(FERIADOS!$A$2:$A$250,A2143)&gt;0,"SÍ","NO")</x:f>
        <x:v>NO</x:v>
      </x:c>
      <x:c r="D2143" t="str">
        <x:f>IF(AND(WEEKDAY(A2143,2)&lt;=5,C2143="NO"),"SÍ","NO")</x:f>
        <x:v>SÍ</x:v>
      </x:c>
      <x:c r="E2143" s="2" t="n">
        <x:f>WORKDAY.INTL(A2143-1,1,1,FERIADOS!$A$2:$A$250)</x:f>
        <x:v>47799</x:v>
      </x:c>
      <x:c r="F2143" t="str">
        <x:f>IF(E2143&gt;=WORKDAY.INTL(EOMONTH(E2143,0)+1,-2,1,FERIADOS!$A$2:$A$250),"SÍ","NO")</x:f>
        <x:v>NO</x:v>
      </x:c>
      <x:c r="G2143" s="2" t="n">
        <x:f>IF(F2143="SÍ",EOMONTH(E2143,0)+1,DATE(YEAR(E2143),MONTH(E2143),1))</x:f>
        <x:v>47788</x:v>
      </x:c>
      <x:c r="H2143" t="str">
        <x:f>IF(D2143="NO",IF(C2143="SÍ","FERIADO","FIN DE SEMANA"),"LABORABLE")&amp;IF(F2143="SÍ"," + CIERRE","")</x:f>
        <x:v>LABORABLE</x:v>
      </x:c>
      <x:c r="I2143" t="str">
        <x:f>TEXT(G2143,"yyyy-mm")</x:f>
        <x:v>2030-11</x:v>
      </x:c>
    </x:row>
    <x:row r="2144">
      <x:c r="A2144" s="2" t="n">
        <x:v>47800</x:v>
      </x:c>
      <x:c r="B2144" t="str">
        <x:f>CHOOSE(WEEKDAY(A2144,2),"Lunes","Martes","Miércoles","Jueves","Viernes","Sábado","Domingo")</x:f>
        <x:v>Miércoles</x:v>
      </x:c>
      <x:c r="C2144" t="str">
        <x:f>IF(COUNTIF(FERIADOS!$A$2:$A$250,A2144)&gt;0,"SÍ","NO")</x:f>
        <x:v>NO</x:v>
      </x:c>
      <x:c r="D2144" t="str">
        <x:f>IF(AND(WEEKDAY(A2144,2)&lt;=5,C2144="NO"),"SÍ","NO")</x:f>
        <x:v>SÍ</x:v>
      </x:c>
      <x:c r="E2144" s="2" t="n">
        <x:f>WORKDAY.INTL(A2144-1,1,1,FERIADOS!$A$2:$A$250)</x:f>
        <x:v>47800</x:v>
      </x:c>
      <x:c r="F2144" t="str">
        <x:f>IF(E2144&gt;=WORKDAY.INTL(EOMONTH(E2144,0)+1,-2,1,FERIADOS!$A$2:$A$250),"SÍ","NO")</x:f>
        <x:v>NO</x:v>
      </x:c>
      <x:c r="G2144" s="2" t="n">
        <x:f>IF(F2144="SÍ",EOMONTH(E2144,0)+1,DATE(YEAR(E2144),MONTH(E2144),1))</x:f>
        <x:v>47788</x:v>
      </x:c>
      <x:c r="H2144" t="str">
        <x:f>IF(D2144="NO",IF(C2144="SÍ","FERIADO","FIN DE SEMANA"),"LABORABLE")&amp;IF(F2144="SÍ"," + CIERRE","")</x:f>
        <x:v>LABORABLE</x:v>
      </x:c>
      <x:c r="I2144" t="str">
        <x:f>TEXT(G2144,"yyyy-mm")</x:f>
        <x:v>2030-11</x:v>
      </x:c>
    </x:row>
    <x:row r="2145">
      <x:c r="A2145" s="2" t="n">
        <x:v>47801</x:v>
      </x:c>
      <x:c r="B2145" t="str">
        <x:f>CHOOSE(WEEKDAY(A2145,2),"Lunes","Martes","Miércoles","Jueves","Viernes","Sábado","Domingo")</x:f>
        <x:v>Jueves</x:v>
      </x:c>
      <x:c r="C2145" t="str">
        <x:f>IF(COUNTIF(FERIADOS!$A$2:$A$250,A2145)&gt;0,"SÍ","NO")</x:f>
        <x:v>NO</x:v>
      </x:c>
      <x:c r="D2145" t="str">
        <x:f>IF(AND(WEEKDAY(A2145,2)&lt;=5,C2145="NO"),"SÍ","NO")</x:f>
        <x:v>SÍ</x:v>
      </x:c>
      <x:c r="E2145" s="2" t="n">
        <x:f>WORKDAY.INTL(A2145-1,1,1,FERIADOS!$A$2:$A$250)</x:f>
        <x:v>47801</x:v>
      </x:c>
      <x:c r="F2145" t="str">
        <x:f>IF(E2145&gt;=WORKDAY.INTL(EOMONTH(E2145,0)+1,-2,1,FERIADOS!$A$2:$A$250),"SÍ","NO")</x:f>
        <x:v>NO</x:v>
      </x:c>
      <x:c r="G2145" s="2" t="n">
        <x:f>IF(F2145="SÍ",EOMONTH(E2145,0)+1,DATE(YEAR(E2145),MONTH(E2145),1))</x:f>
        <x:v>47788</x:v>
      </x:c>
      <x:c r="H2145" t="str">
        <x:f>IF(D2145="NO",IF(C2145="SÍ","FERIADO","FIN DE SEMANA"),"LABORABLE")&amp;IF(F2145="SÍ"," + CIERRE","")</x:f>
        <x:v>LABORABLE</x:v>
      </x:c>
      <x:c r="I2145" t="str">
        <x:f>TEXT(G2145,"yyyy-mm")</x:f>
        <x:v>2030-11</x:v>
      </x:c>
    </x:row>
    <x:row r="2146">
      <x:c r="A2146" s="2" t="n">
        <x:v>47802</x:v>
      </x:c>
      <x:c r="B2146" t="str">
        <x:f>CHOOSE(WEEKDAY(A2146,2),"Lunes","Martes","Miércoles","Jueves","Viernes","Sábado","Domingo")</x:f>
        <x:v>Viernes</x:v>
      </x:c>
      <x:c r="C2146" t="str">
        <x:f>IF(COUNTIF(FERIADOS!$A$2:$A$250,A2146)&gt;0,"SÍ","NO")</x:f>
        <x:v>NO</x:v>
      </x:c>
      <x:c r="D2146" t="str">
        <x:f>IF(AND(WEEKDAY(A2146,2)&lt;=5,C2146="NO"),"SÍ","NO")</x:f>
        <x:v>SÍ</x:v>
      </x:c>
      <x:c r="E2146" s="2" t="n">
        <x:f>WORKDAY.INTL(A2146-1,1,1,FERIADOS!$A$2:$A$250)</x:f>
        <x:v>47802</x:v>
      </x:c>
      <x:c r="F2146" t="str">
        <x:f>IF(E2146&gt;=WORKDAY.INTL(EOMONTH(E2146,0)+1,-2,1,FERIADOS!$A$2:$A$250),"SÍ","NO")</x:f>
        <x:v>NO</x:v>
      </x:c>
      <x:c r="G2146" s="2" t="n">
        <x:f>IF(F2146="SÍ",EOMONTH(E2146,0)+1,DATE(YEAR(E2146),MONTH(E2146),1))</x:f>
        <x:v>47788</x:v>
      </x:c>
      <x:c r="H2146" t="str">
        <x:f>IF(D2146="NO",IF(C2146="SÍ","FERIADO","FIN DE SEMANA"),"LABORABLE")&amp;IF(F2146="SÍ"," + CIERRE","")</x:f>
        <x:v>LABORABLE</x:v>
      </x:c>
      <x:c r="I2146" t="str">
        <x:f>TEXT(G2146,"yyyy-mm")</x:f>
        <x:v>2030-11</x:v>
      </x:c>
    </x:row>
    <x:row r="2147">
      <x:c r="A2147" s="2" t="n">
        <x:v>47803</x:v>
      </x:c>
      <x:c r="B2147" t="str">
        <x:f>CHOOSE(WEEKDAY(A2147,2),"Lunes","Martes","Miércoles","Jueves","Viernes","Sábado","Domingo")</x:f>
        <x:v>Sábado</x:v>
      </x:c>
      <x:c r="C2147" t="str">
        <x:f>IF(COUNTIF(FERIADOS!$A$2:$A$250,A2147)&gt;0,"SÍ","NO")</x:f>
        <x:v>NO</x:v>
      </x:c>
      <x:c r="D2147" t="str">
        <x:f>IF(AND(WEEKDAY(A2147,2)&lt;=5,C2147="NO"),"SÍ","NO")</x:f>
        <x:v>NO</x:v>
      </x:c>
      <x:c r="E2147" s="2" t="n">
        <x:f>WORKDAY.INTL(A2147-1,1,1,FERIADOS!$A$2:$A$250)</x:f>
        <x:v>47805</x:v>
      </x:c>
      <x:c r="F2147" t="str">
        <x:f>IF(E2147&gt;=WORKDAY.INTL(EOMONTH(E2147,0)+1,-2,1,FERIADOS!$A$2:$A$250),"SÍ","NO")</x:f>
        <x:v>NO</x:v>
      </x:c>
      <x:c r="G2147" s="2" t="n">
        <x:f>IF(F2147="SÍ",EOMONTH(E2147,0)+1,DATE(YEAR(E2147),MONTH(E2147),1))</x:f>
        <x:v>47788</x:v>
      </x:c>
      <x:c r="H2147" t="str">
        <x:f>IF(D2147="NO",IF(C2147="SÍ","FERIADO","FIN DE SEMANA"),"LABORABLE")&amp;IF(F2147="SÍ"," + CIERRE","")</x:f>
        <x:v>FIN DE SEMANA</x:v>
      </x:c>
      <x:c r="I2147" t="str">
        <x:f>TEXT(G2147,"yyyy-mm")</x:f>
        <x:v>2030-11</x:v>
      </x:c>
    </x:row>
    <x:row r="2148">
      <x:c r="A2148" s="2" t="n">
        <x:v>47804</x:v>
      </x:c>
      <x:c r="B2148" t="str">
        <x:f>CHOOSE(WEEKDAY(A2148,2),"Lunes","Martes","Miércoles","Jueves","Viernes","Sábado","Domingo")</x:f>
        <x:v>Domingo</x:v>
      </x:c>
      <x:c r="C2148" t="str">
        <x:f>IF(COUNTIF(FERIADOS!$A$2:$A$250,A2148)&gt;0,"SÍ","NO")</x:f>
        <x:v>NO</x:v>
      </x:c>
      <x:c r="D2148" t="str">
        <x:f>IF(AND(WEEKDAY(A2148,2)&lt;=5,C2148="NO"),"SÍ","NO")</x:f>
        <x:v>NO</x:v>
      </x:c>
      <x:c r="E2148" s="2" t="n">
        <x:f>WORKDAY.INTL(A2148-1,1,1,FERIADOS!$A$2:$A$250)</x:f>
        <x:v>47805</x:v>
      </x:c>
      <x:c r="F2148" t="str">
        <x:f>IF(E2148&gt;=WORKDAY.INTL(EOMONTH(E2148,0)+1,-2,1,FERIADOS!$A$2:$A$250),"SÍ","NO")</x:f>
        <x:v>NO</x:v>
      </x:c>
      <x:c r="G2148" s="2" t="n">
        <x:f>IF(F2148="SÍ",EOMONTH(E2148,0)+1,DATE(YEAR(E2148),MONTH(E2148),1))</x:f>
        <x:v>47788</x:v>
      </x:c>
      <x:c r="H2148" t="str">
        <x:f>IF(D2148="NO",IF(C2148="SÍ","FERIADO","FIN DE SEMANA"),"LABORABLE")&amp;IF(F2148="SÍ"," + CIERRE","")</x:f>
        <x:v>FIN DE SEMANA</x:v>
      </x:c>
      <x:c r="I2148" t="str">
        <x:f>TEXT(G2148,"yyyy-mm")</x:f>
        <x:v>2030-11</x:v>
      </x:c>
    </x:row>
    <x:row r="2149">
      <x:c r="A2149" s="2" t="n">
        <x:v>47805</x:v>
      </x:c>
      <x:c r="B2149" t="str">
        <x:f>CHOOSE(WEEKDAY(A2149,2),"Lunes","Martes","Miércoles","Jueves","Viernes","Sábado","Domingo")</x:f>
        <x:v>Lunes</x:v>
      </x:c>
      <x:c r="C2149" t="str">
        <x:f>IF(COUNTIF(FERIADOS!$A$2:$A$250,A2149)&gt;0,"SÍ","NO")</x:f>
        <x:v>NO</x:v>
      </x:c>
      <x:c r="D2149" t="str">
        <x:f>IF(AND(WEEKDAY(A2149,2)&lt;=5,C2149="NO"),"SÍ","NO")</x:f>
        <x:v>SÍ</x:v>
      </x:c>
      <x:c r="E2149" s="2" t="n">
        <x:f>WORKDAY.INTL(A2149-1,1,1,FERIADOS!$A$2:$A$250)</x:f>
        <x:v>47805</x:v>
      </x:c>
      <x:c r="F2149" t="str">
        <x:f>IF(E2149&gt;=WORKDAY.INTL(EOMONTH(E2149,0)+1,-2,1,FERIADOS!$A$2:$A$250),"SÍ","NO")</x:f>
        <x:v>NO</x:v>
      </x:c>
      <x:c r="G2149" s="2" t="n">
        <x:f>IF(F2149="SÍ",EOMONTH(E2149,0)+1,DATE(YEAR(E2149),MONTH(E2149),1))</x:f>
        <x:v>47788</x:v>
      </x:c>
      <x:c r="H2149" t="str">
        <x:f>IF(D2149="NO",IF(C2149="SÍ","FERIADO","FIN DE SEMANA"),"LABORABLE")&amp;IF(F2149="SÍ"," + CIERRE","")</x:f>
        <x:v>LABORABLE</x:v>
      </x:c>
      <x:c r="I2149" t="str">
        <x:f>TEXT(G2149,"yyyy-mm")</x:f>
        <x:v>2030-11</x:v>
      </x:c>
    </x:row>
    <x:row r="2150">
      <x:c r="A2150" s="2" t="n">
        <x:v>47806</x:v>
      </x:c>
      <x:c r="B2150" t="str">
        <x:f>CHOOSE(WEEKDAY(A2150,2),"Lunes","Martes","Miércoles","Jueves","Viernes","Sábado","Domingo")</x:f>
        <x:v>Martes</x:v>
      </x:c>
      <x:c r="C2150" t="str">
        <x:f>IF(COUNTIF(FERIADOS!$A$2:$A$250,A2150)&gt;0,"SÍ","NO")</x:f>
        <x:v>NO</x:v>
      </x:c>
      <x:c r="D2150" t="str">
        <x:f>IF(AND(WEEKDAY(A2150,2)&lt;=5,C2150="NO"),"SÍ","NO")</x:f>
        <x:v>SÍ</x:v>
      </x:c>
      <x:c r="E2150" s="2" t="n">
        <x:f>WORKDAY.INTL(A2150-1,1,1,FERIADOS!$A$2:$A$250)</x:f>
        <x:v>47806</x:v>
      </x:c>
      <x:c r="F2150" t="str">
        <x:f>IF(E2150&gt;=WORKDAY.INTL(EOMONTH(E2150,0)+1,-2,1,FERIADOS!$A$2:$A$250),"SÍ","NO")</x:f>
        <x:v>NO</x:v>
      </x:c>
      <x:c r="G2150" s="2" t="n">
        <x:f>IF(F2150="SÍ",EOMONTH(E2150,0)+1,DATE(YEAR(E2150),MONTH(E2150),1))</x:f>
        <x:v>47788</x:v>
      </x:c>
      <x:c r="H2150" t="str">
        <x:f>IF(D2150="NO",IF(C2150="SÍ","FERIADO","FIN DE SEMANA"),"LABORABLE")&amp;IF(F2150="SÍ"," + CIERRE","")</x:f>
        <x:v>LABORABLE</x:v>
      </x:c>
      <x:c r="I2150" t="str">
        <x:f>TEXT(G2150,"yyyy-mm")</x:f>
        <x:v>2030-11</x:v>
      </x:c>
    </x:row>
    <x:row r="2151">
      <x:c r="A2151" s="2" t="n">
        <x:v>47807</x:v>
      </x:c>
      <x:c r="B2151" t="str">
        <x:f>CHOOSE(WEEKDAY(A2151,2),"Lunes","Martes","Miércoles","Jueves","Viernes","Sábado","Domingo")</x:f>
        <x:v>Miércoles</x:v>
      </x:c>
      <x:c r="C2151" t="str">
        <x:f>IF(COUNTIF(FERIADOS!$A$2:$A$250,A2151)&gt;0,"SÍ","NO")</x:f>
        <x:v>NO</x:v>
      </x:c>
      <x:c r="D2151" t="str">
        <x:f>IF(AND(WEEKDAY(A2151,2)&lt;=5,C2151="NO"),"SÍ","NO")</x:f>
        <x:v>SÍ</x:v>
      </x:c>
      <x:c r="E2151" s="2" t="n">
        <x:f>WORKDAY.INTL(A2151-1,1,1,FERIADOS!$A$2:$A$250)</x:f>
        <x:v>47807</x:v>
      </x:c>
      <x:c r="F2151" t="str">
        <x:f>IF(E2151&gt;=WORKDAY.INTL(EOMONTH(E2151,0)+1,-2,1,FERIADOS!$A$2:$A$250),"SÍ","NO")</x:f>
        <x:v>NO</x:v>
      </x:c>
      <x:c r="G2151" s="2" t="n">
        <x:f>IF(F2151="SÍ",EOMONTH(E2151,0)+1,DATE(YEAR(E2151),MONTH(E2151),1))</x:f>
        <x:v>47788</x:v>
      </x:c>
      <x:c r="H2151" t="str">
        <x:f>IF(D2151="NO",IF(C2151="SÍ","FERIADO","FIN DE SEMANA"),"LABORABLE")&amp;IF(F2151="SÍ"," + CIERRE","")</x:f>
        <x:v>LABORABLE</x:v>
      </x:c>
      <x:c r="I2151" t="str">
        <x:f>TEXT(G2151,"yyyy-mm")</x:f>
        <x:v>2030-11</x:v>
      </x:c>
    </x:row>
    <x:row r="2152">
      <x:c r="A2152" s="2" t="n">
        <x:v>47808</x:v>
      </x:c>
      <x:c r="B2152" t="str">
        <x:f>CHOOSE(WEEKDAY(A2152,2),"Lunes","Martes","Miércoles","Jueves","Viernes","Sábado","Domingo")</x:f>
        <x:v>Jueves</x:v>
      </x:c>
      <x:c r="C2152" t="str">
        <x:f>IF(COUNTIF(FERIADOS!$A$2:$A$250,A2152)&gt;0,"SÍ","NO")</x:f>
        <x:v>NO</x:v>
      </x:c>
      <x:c r="D2152" t="str">
        <x:f>IF(AND(WEEKDAY(A2152,2)&lt;=5,C2152="NO"),"SÍ","NO")</x:f>
        <x:v>SÍ</x:v>
      </x:c>
      <x:c r="E2152" s="2" t="n">
        <x:f>WORKDAY.INTL(A2152-1,1,1,FERIADOS!$A$2:$A$250)</x:f>
        <x:v>47808</x:v>
      </x:c>
      <x:c r="F2152" t="str">
        <x:f>IF(E2152&gt;=WORKDAY.INTL(EOMONTH(E2152,0)+1,-2,1,FERIADOS!$A$2:$A$250),"SÍ","NO")</x:f>
        <x:v>NO</x:v>
      </x:c>
      <x:c r="G2152" s="2" t="n">
        <x:f>IF(F2152="SÍ",EOMONTH(E2152,0)+1,DATE(YEAR(E2152),MONTH(E2152),1))</x:f>
        <x:v>47788</x:v>
      </x:c>
      <x:c r="H2152" t="str">
        <x:f>IF(D2152="NO",IF(C2152="SÍ","FERIADO","FIN DE SEMANA"),"LABORABLE")&amp;IF(F2152="SÍ"," + CIERRE","")</x:f>
        <x:v>LABORABLE</x:v>
      </x:c>
      <x:c r="I2152" t="str">
        <x:f>TEXT(G2152,"yyyy-mm")</x:f>
        <x:v>2030-11</x:v>
      </x:c>
    </x:row>
    <x:row r="2153">
      <x:c r="A2153" s="2" t="n">
        <x:v>47809</x:v>
      </x:c>
      <x:c r="B2153" t="str">
        <x:f>CHOOSE(WEEKDAY(A2153,2),"Lunes","Martes","Miércoles","Jueves","Viernes","Sábado","Domingo")</x:f>
        <x:v>Viernes</x:v>
      </x:c>
      <x:c r="C2153" t="str">
        <x:f>IF(COUNTIF(FERIADOS!$A$2:$A$250,A2153)&gt;0,"SÍ","NO")</x:f>
        <x:v>NO</x:v>
      </x:c>
      <x:c r="D2153" t="str">
        <x:f>IF(AND(WEEKDAY(A2153,2)&lt;=5,C2153="NO"),"SÍ","NO")</x:f>
        <x:v>SÍ</x:v>
      </x:c>
      <x:c r="E2153" s="2" t="n">
        <x:f>WORKDAY.INTL(A2153-1,1,1,FERIADOS!$A$2:$A$250)</x:f>
        <x:v>47809</x:v>
      </x:c>
      <x:c r="F2153" t="str">
        <x:f>IF(E2153&gt;=WORKDAY.INTL(EOMONTH(E2153,0)+1,-2,1,FERIADOS!$A$2:$A$250),"SÍ","NO")</x:f>
        <x:v>NO</x:v>
      </x:c>
      <x:c r="G2153" s="2" t="n">
        <x:f>IF(F2153="SÍ",EOMONTH(E2153,0)+1,DATE(YEAR(E2153),MONTH(E2153),1))</x:f>
        <x:v>47788</x:v>
      </x:c>
      <x:c r="H2153" t="str">
        <x:f>IF(D2153="NO",IF(C2153="SÍ","FERIADO","FIN DE SEMANA"),"LABORABLE")&amp;IF(F2153="SÍ"," + CIERRE","")</x:f>
        <x:v>LABORABLE</x:v>
      </x:c>
      <x:c r="I2153" t="str">
        <x:f>TEXT(G2153,"yyyy-mm")</x:f>
        <x:v>2030-11</x:v>
      </x:c>
    </x:row>
    <x:row r="2154">
      <x:c r="A2154" s="2" t="n">
        <x:v>47810</x:v>
      </x:c>
      <x:c r="B2154" t="str">
        <x:f>CHOOSE(WEEKDAY(A2154,2),"Lunes","Martes","Miércoles","Jueves","Viernes","Sábado","Domingo")</x:f>
        <x:v>Sábado</x:v>
      </x:c>
      <x:c r="C2154" t="str">
        <x:f>IF(COUNTIF(FERIADOS!$A$2:$A$250,A2154)&gt;0,"SÍ","NO")</x:f>
        <x:v>NO</x:v>
      </x:c>
      <x:c r="D2154" t="str">
        <x:f>IF(AND(WEEKDAY(A2154,2)&lt;=5,C2154="NO"),"SÍ","NO")</x:f>
        <x:v>NO</x:v>
      </x:c>
      <x:c r="E2154" s="2" t="n">
        <x:f>WORKDAY.INTL(A2154-1,1,1,FERIADOS!$A$2:$A$250)</x:f>
        <x:v>47812</x:v>
      </x:c>
      <x:c r="F2154" t="str">
        <x:f>IF(E2154&gt;=WORKDAY.INTL(EOMONTH(E2154,0)+1,-2,1,FERIADOS!$A$2:$A$250),"SÍ","NO")</x:f>
        <x:v>NO</x:v>
      </x:c>
      <x:c r="G2154" s="2" t="n">
        <x:f>IF(F2154="SÍ",EOMONTH(E2154,0)+1,DATE(YEAR(E2154),MONTH(E2154),1))</x:f>
        <x:v>47788</x:v>
      </x:c>
      <x:c r="H2154" t="str">
        <x:f>IF(D2154="NO",IF(C2154="SÍ","FERIADO","FIN DE SEMANA"),"LABORABLE")&amp;IF(F2154="SÍ"," + CIERRE","")</x:f>
        <x:v>FIN DE SEMANA</x:v>
      </x:c>
      <x:c r="I2154" t="str">
        <x:f>TEXT(G2154,"yyyy-mm")</x:f>
        <x:v>2030-11</x:v>
      </x:c>
    </x:row>
    <x:row r="2155">
      <x:c r="A2155" s="2" t="n">
        <x:v>47811</x:v>
      </x:c>
      <x:c r="B2155" t="str">
        <x:f>CHOOSE(WEEKDAY(A2155,2),"Lunes","Martes","Miércoles","Jueves","Viernes","Sábado","Domingo")</x:f>
        <x:v>Domingo</x:v>
      </x:c>
      <x:c r="C2155" t="str">
        <x:f>IF(COUNTIF(FERIADOS!$A$2:$A$250,A2155)&gt;0,"SÍ","NO")</x:f>
        <x:v>NO</x:v>
      </x:c>
      <x:c r="D2155" t="str">
        <x:f>IF(AND(WEEKDAY(A2155,2)&lt;=5,C2155="NO"),"SÍ","NO")</x:f>
        <x:v>NO</x:v>
      </x:c>
      <x:c r="E2155" s="2" t="n">
        <x:f>WORKDAY.INTL(A2155-1,1,1,FERIADOS!$A$2:$A$250)</x:f>
        <x:v>47812</x:v>
      </x:c>
      <x:c r="F2155" t="str">
        <x:f>IF(E2155&gt;=WORKDAY.INTL(EOMONTH(E2155,0)+1,-2,1,FERIADOS!$A$2:$A$250),"SÍ","NO")</x:f>
        <x:v>NO</x:v>
      </x:c>
      <x:c r="G2155" s="2" t="n">
        <x:f>IF(F2155="SÍ",EOMONTH(E2155,0)+1,DATE(YEAR(E2155),MONTH(E2155),1))</x:f>
        <x:v>47788</x:v>
      </x:c>
      <x:c r="H2155" t="str">
        <x:f>IF(D2155="NO",IF(C2155="SÍ","FERIADO","FIN DE SEMANA"),"LABORABLE")&amp;IF(F2155="SÍ"," + CIERRE","")</x:f>
        <x:v>FIN DE SEMANA</x:v>
      </x:c>
      <x:c r="I2155" t="str">
        <x:f>TEXT(G2155,"yyyy-mm")</x:f>
        <x:v>2030-11</x:v>
      </x:c>
    </x:row>
    <x:row r="2156">
      <x:c r="A2156" s="2" t="n">
        <x:v>47812</x:v>
      </x:c>
      <x:c r="B2156" t="str">
        <x:f>CHOOSE(WEEKDAY(A2156,2),"Lunes","Martes","Miércoles","Jueves","Viernes","Sábado","Domingo")</x:f>
        <x:v>Lunes</x:v>
      </x:c>
      <x:c r="C2156" t="str">
        <x:f>IF(COUNTIF(FERIADOS!$A$2:$A$250,A2156)&gt;0,"SÍ","NO")</x:f>
        <x:v>NO</x:v>
      </x:c>
      <x:c r="D2156" t="str">
        <x:f>IF(AND(WEEKDAY(A2156,2)&lt;=5,C2156="NO"),"SÍ","NO")</x:f>
        <x:v>SÍ</x:v>
      </x:c>
      <x:c r="E2156" s="2" t="n">
        <x:f>WORKDAY.INTL(A2156-1,1,1,FERIADOS!$A$2:$A$250)</x:f>
        <x:v>47812</x:v>
      </x:c>
      <x:c r="F2156" t="str">
        <x:f>IF(E2156&gt;=WORKDAY.INTL(EOMONTH(E2156,0)+1,-2,1,FERIADOS!$A$2:$A$250),"SÍ","NO")</x:f>
        <x:v>NO</x:v>
      </x:c>
      <x:c r="G2156" s="2" t="n">
        <x:f>IF(F2156="SÍ",EOMONTH(E2156,0)+1,DATE(YEAR(E2156),MONTH(E2156),1))</x:f>
        <x:v>47788</x:v>
      </x:c>
      <x:c r="H2156" t="str">
        <x:f>IF(D2156="NO",IF(C2156="SÍ","FERIADO","FIN DE SEMANA"),"LABORABLE")&amp;IF(F2156="SÍ"," + CIERRE","")</x:f>
        <x:v>LABORABLE</x:v>
      </x:c>
      <x:c r="I2156" t="str">
        <x:f>TEXT(G2156,"yyyy-mm")</x:f>
        <x:v>2030-11</x:v>
      </x:c>
    </x:row>
    <x:row r="2157">
      <x:c r="A2157" s="2" t="n">
        <x:v>47813</x:v>
      </x:c>
      <x:c r="B2157" t="str">
        <x:f>CHOOSE(WEEKDAY(A2157,2),"Lunes","Martes","Miércoles","Jueves","Viernes","Sábado","Domingo")</x:f>
        <x:v>Martes</x:v>
      </x:c>
      <x:c r="C2157" t="str">
        <x:f>IF(COUNTIF(FERIADOS!$A$2:$A$250,A2157)&gt;0,"SÍ","NO")</x:f>
        <x:v>NO</x:v>
      </x:c>
      <x:c r="D2157" t="str">
        <x:f>IF(AND(WEEKDAY(A2157,2)&lt;=5,C2157="NO"),"SÍ","NO")</x:f>
        <x:v>SÍ</x:v>
      </x:c>
      <x:c r="E2157" s="2" t="n">
        <x:f>WORKDAY.INTL(A2157-1,1,1,FERIADOS!$A$2:$A$250)</x:f>
        <x:v>47813</x:v>
      </x:c>
      <x:c r="F2157" t="str">
        <x:f>IF(E2157&gt;=WORKDAY.INTL(EOMONTH(E2157,0)+1,-2,1,FERIADOS!$A$2:$A$250),"SÍ","NO")</x:f>
        <x:v>NO</x:v>
      </x:c>
      <x:c r="G2157" s="2" t="n">
        <x:f>IF(F2157="SÍ",EOMONTH(E2157,0)+1,DATE(YEAR(E2157),MONTH(E2157),1))</x:f>
        <x:v>47788</x:v>
      </x:c>
      <x:c r="H2157" t="str">
        <x:f>IF(D2157="NO",IF(C2157="SÍ","FERIADO","FIN DE SEMANA"),"LABORABLE")&amp;IF(F2157="SÍ"," + CIERRE","")</x:f>
        <x:v>LABORABLE</x:v>
      </x:c>
      <x:c r="I2157" t="str">
        <x:f>TEXT(G2157,"yyyy-mm")</x:f>
        <x:v>2030-11</x:v>
      </x:c>
    </x:row>
    <x:row r="2158">
      <x:c r="A2158" s="2" t="n">
        <x:v>47814</x:v>
      </x:c>
      <x:c r="B2158" t="str">
        <x:f>CHOOSE(WEEKDAY(A2158,2),"Lunes","Martes","Miércoles","Jueves","Viernes","Sábado","Domingo")</x:f>
        <x:v>Miércoles</x:v>
      </x:c>
      <x:c r="C2158" t="str">
        <x:f>IF(COUNTIF(FERIADOS!$A$2:$A$250,A2158)&gt;0,"SÍ","NO")</x:f>
        <x:v>NO</x:v>
      </x:c>
      <x:c r="D2158" t="str">
        <x:f>IF(AND(WEEKDAY(A2158,2)&lt;=5,C2158="NO"),"SÍ","NO")</x:f>
        <x:v>SÍ</x:v>
      </x:c>
      <x:c r="E2158" s="2" t="n">
        <x:f>WORKDAY.INTL(A2158-1,1,1,FERIADOS!$A$2:$A$250)</x:f>
        <x:v>47814</x:v>
      </x:c>
      <x:c r="F2158" t="str">
        <x:f>IF(E2158&gt;=WORKDAY.INTL(EOMONTH(E2158,0)+1,-2,1,FERIADOS!$A$2:$A$250),"SÍ","NO")</x:f>
        <x:v>NO</x:v>
      </x:c>
      <x:c r="G2158" s="2" t="n">
        <x:f>IF(F2158="SÍ",EOMONTH(E2158,0)+1,DATE(YEAR(E2158),MONTH(E2158),1))</x:f>
        <x:v>47788</x:v>
      </x:c>
      <x:c r="H2158" t="str">
        <x:f>IF(D2158="NO",IF(C2158="SÍ","FERIADO","FIN DE SEMANA"),"LABORABLE")&amp;IF(F2158="SÍ"," + CIERRE","")</x:f>
        <x:v>LABORABLE</x:v>
      </x:c>
      <x:c r="I2158" t="str">
        <x:f>TEXT(G2158,"yyyy-mm")</x:f>
        <x:v>2030-11</x:v>
      </x:c>
    </x:row>
    <x:row r="2159">
      <x:c r="A2159" s="2" t="n">
        <x:v>47815</x:v>
      </x:c>
      <x:c r="B2159" t="str">
        <x:f>CHOOSE(WEEKDAY(A2159,2),"Lunes","Martes","Miércoles","Jueves","Viernes","Sábado","Domingo")</x:f>
        <x:v>Jueves</x:v>
      </x:c>
      <x:c r="C2159" t="str">
        <x:f>IF(COUNTIF(FERIADOS!$A$2:$A$250,A2159)&gt;0,"SÍ","NO")</x:f>
        <x:v>NO</x:v>
      </x:c>
      <x:c r="D2159" t="str">
        <x:f>IF(AND(WEEKDAY(A2159,2)&lt;=5,C2159="NO"),"SÍ","NO")</x:f>
        <x:v>SÍ</x:v>
      </x:c>
      <x:c r="E2159" s="2" t="n">
        <x:f>WORKDAY.INTL(A2159-1,1,1,FERIADOS!$A$2:$A$250)</x:f>
        <x:v>47815</x:v>
      </x:c>
      <x:c r="F2159" t="str">
        <x:f>IF(E2159&gt;=WORKDAY.INTL(EOMONTH(E2159,0)+1,-2,1,FERIADOS!$A$2:$A$250),"SÍ","NO")</x:f>
        <x:v>SÍ</x:v>
      </x:c>
      <x:c r="G2159" s="2" t="n">
        <x:f>IF(F2159="SÍ",EOMONTH(E2159,0)+1,DATE(YEAR(E2159),MONTH(E2159),1))</x:f>
        <x:v>47818</x:v>
      </x:c>
      <x:c r="H2159" t="str">
        <x:f>IF(D2159="NO",IF(C2159="SÍ","FERIADO","FIN DE SEMANA"),"LABORABLE")&amp;IF(F2159="SÍ"," + CIERRE","")</x:f>
        <x:v>LABORABLE + CIERRE</x:v>
      </x:c>
      <x:c r="I2159" t="str">
        <x:f>TEXT(G2159,"yyyy-mm")</x:f>
        <x:v>2030-12</x:v>
      </x:c>
    </x:row>
    <x:row r="2160">
      <x:c r="A2160" s="2" t="n">
        <x:v>47816</x:v>
      </x:c>
      <x:c r="B2160" t="str">
        <x:f>CHOOSE(WEEKDAY(A2160,2),"Lunes","Martes","Miércoles","Jueves","Viernes","Sábado","Domingo")</x:f>
        <x:v>Viernes</x:v>
      </x:c>
      <x:c r="C2160" t="str">
        <x:f>IF(COUNTIF(FERIADOS!$A$2:$A$250,A2160)&gt;0,"SÍ","NO")</x:f>
        <x:v>NO</x:v>
      </x:c>
      <x:c r="D2160" t="str">
        <x:f>IF(AND(WEEKDAY(A2160,2)&lt;=5,C2160="NO"),"SÍ","NO")</x:f>
        <x:v>SÍ</x:v>
      </x:c>
      <x:c r="E2160" s="2" t="n">
        <x:f>WORKDAY.INTL(A2160-1,1,1,FERIADOS!$A$2:$A$250)</x:f>
        <x:v>47816</x:v>
      </x:c>
      <x:c r="F2160" t="str">
        <x:f>IF(E2160&gt;=WORKDAY.INTL(EOMONTH(E2160,0)+1,-2,1,FERIADOS!$A$2:$A$250),"SÍ","NO")</x:f>
        <x:v>SÍ</x:v>
      </x:c>
      <x:c r="G2160" s="2" t="n">
        <x:f>IF(F2160="SÍ",EOMONTH(E2160,0)+1,DATE(YEAR(E2160),MONTH(E2160),1))</x:f>
        <x:v>47818</x:v>
      </x:c>
      <x:c r="H2160" t="str">
        <x:f>IF(D2160="NO",IF(C2160="SÍ","FERIADO","FIN DE SEMANA"),"LABORABLE")&amp;IF(F2160="SÍ"," + CIERRE","")</x:f>
        <x:v>LABORABLE + CIERRE</x:v>
      </x:c>
      <x:c r="I2160" t="str">
        <x:f>TEXT(G2160,"yyyy-mm")</x:f>
        <x:v>2030-12</x:v>
      </x:c>
    </x:row>
    <x:row r="2161">
      <x:c r="A2161" s="2" t="n">
        <x:v>47817</x:v>
      </x:c>
      <x:c r="B2161" t="str">
        <x:f>CHOOSE(WEEKDAY(A2161,2),"Lunes","Martes","Miércoles","Jueves","Viernes","Sábado","Domingo")</x:f>
        <x:v>Sábado</x:v>
      </x:c>
      <x:c r="C2161" t="str">
        <x:f>IF(COUNTIF(FERIADOS!$A$2:$A$250,A2161)&gt;0,"SÍ","NO")</x:f>
        <x:v>NO</x:v>
      </x:c>
      <x:c r="D2161" t="str">
        <x:f>IF(AND(WEEKDAY(A2161,2)&lt;=5,C2161="NO"),"SÍ","NO")</x:f>
        <x:v>NO</x:v>
      </x:c>
      <x:c r="E2161" s="2" t="n">
        <x:f>WORKDAY.INTL(A2161-1,1,1,FERIADOS!$A$2:$A$250)</x:f>
        <x:v>47819</x:v>
      </x:c>
      <x:c r="F2161" t="str">
        <x:f>IF(E2161&gt;=WORKDAY.INTL(EOMONTH(E2161,0)+1,-2,1,FERIADOS!$A$2:$A$250),"SÍ","NO")</x:f>
        <x:v>NO</x:v>
      </x:c>
      <x:c r="G2161" s="2" t="n">
        <x:f>IF(F2161="SÍ",EOMONTH(E2161,0)+1,DATE(YEAR(E2161),MONTH(E2161),1))</x:f>
        <x:v>47818</x:v>
      </x:c>
      <x:c r="H2161" t="str">
        <x:f>IF(D2161="NO",IF(C2161="SÍ","FERIADO","FIN DE SEMANA"),"LABORABLE")&amp;IF(F2161="SÍ"," + CIERRE","")</x:f>
        <x:v>FIN DE SEMANA</x:v>
      </x:c>
      <x:c r="I2161" t="str">
        <x:f>TEXT(G2161,"yyyy-mm")</x:f>
        <x:v>2030-12</x:v>
      </x:c>
    </x:row>
    <x:row r="2162">
      <x:c r="A2162" s="2" t="n">
        <x:v>47818</x:v>
      </x:c>
      <x:c r="B2162" t="str">
        <x:f>CHOOSE(WEEKDAY(A2162,2),"Lunes","Martes","Miércoles","Jueves","Viernes","Sábado","Domingo")</x:f>
        <x:v>Domingo</x:v>
      </x:c>
      <x:c r="C2162" t="str">
        <x:f>IF(COUNTIF(FERIADOS!$A$2:$A$250,A2162)&gt;0,"SÍ","NO")</x:f>
        <x:v>NO</x:v>
      </x:c>
      <x:c r="D2162" t="str">
        <x:f>IF(AND(WEEKDAY(A2162,2)&lt;=5,C2162="NO"),"SÍ","NO")</x:f>
        <x:v>NO</x:v>
      </x:c>
      <x:c r="E2162" s="2" t="n">
        <x:f>WORKDAY.INTL(A2162-1,1,1,FERIADOS!$A$2:$A$250)</x:f>
        <x:v>47819</x:v>
      </x:c>
      <x:c r="F2162" t="str">
        <x:f>IF(E2162&gt;=WORKDAY.INTL(EOMONTH(E2162,0)+1,-2,1,FERIADOS!$A$2:$A$250),"SÍ","NO")</x:f>
        <x:v>NO</x:v>
      </x:c>
      <x:c r="G2162" s="2" t="n">
        <x:f>IF(F2162="SÍ",EOMONTH(E2162,0)+1,DATE(YEAR(E2162),MONTH(E2162),1))</x:f>
        <x:v>47818</x:v>
      </x:c>
      <x:c r="H2162" t="str">
        <x:f>IF(D2162="NO",IF(C2162="SÍ","FERIADO","FIN DE SEMANA"),"LABORABLE")&amp;IF(F2162="SÍ"," + CIERRE","")</x:f>
        <x:v>FIN DE SEMANA</x:v>
      </x:c>
      <x:c r="I2162" t="str">
        <x:f>TEXT(G2162,"yyyy-mm")</x:f>
        <x:v>2030-12</x:v>
      </x:c>
    </x:row>
    <x:row r="2163">
      <x:c r="A2163" s="2" t="n">
        <x:v>47819</x:v>
      </x:c>
      <x:c r="B2163" t="str">
        <x:f>CHOOSE(WEEKDAY(A2163,2),"Lunes","Martes","Miércoles","Jueves","Viernes","Sábado","Domingo")</x:f>
        <x:v>Lunes</x:v>
      </x:c>
      <x:c r="C2163" t="str">
        <x:f>IF(COUNTIF(FERIADOS!$A$2:$A$250,A2163)&gt;0,"SÍ","NO")</x:f>
        <x:v>NO</x:v>
      </x:c>
      <x:c r="D2163" t="str">
        <x:f>IF(AND(WEEKDAY(A2163,2)&lt;=5,C2163="NO"),"SÍ","NO")</x:f>
        <x:v>SÍ</x:v>
      </x:c>
      <x:c r="E2163" s="2" t="n">
        <x:f>WORKDAY.INTL(A2163-1,1,1,FERIADOS!$A$2:$A$250)</x:f>
        <x:v>47819</x:v>
      </x:c>
      <x:c r="F2163" t="str">
        <x:f>IF(E2163&gt;=WORKDAY.INTL(EOMONTH(E2163,0)+1,-2,1,FERIADOS!$A$2:$A$250),"SÍ","NO")</x:f>
        <x:v>NO</x:v>
      </x:c>
      <x:c r="G2163" s="2" t="n">
        <x:f>IF(F2163="SÍ",EOMONTH(E2163,0)+1,DATE(YEAR(E2163),MONTH(E2163),1))</x:f>
        <x:v>47818</x:v>
      </x:c>
      <x:c r="H2163" t="str">
        <x:f>IF(D2163="NO",IF(C2163="SÍ","FERIADO","FIN DE SEMANA"),"LABORABLE")&amp;IF(F2163="SÍ"," + CIERRE","")</x:f>
        <x:v>LABORABLE</x:v>
      </x:c>
      <x:c r="I2163" t="str">
        <x:f>TEXT(G2163,"yyyy-mm")</x:f>
        <x:v>2030-12</x:v>
      </x:c>
    </x:row>
    <x:row r="2164">
      <x:c r="A2164" s="2" t="n">
        <x:v>47820</x:v>
      </x:c>
      <x:c r="B2164" t="str">
        <x:f>CHOOSE(WEEKDAY(A2164,2),"Lunes","Martes","Miércoles","Jueves","Viernes","Sábado","Domingo")</x:f>
        <x:v>Martes</x:v>
      </x:c>
      <x:c r="C2164" t="str">
        <x:f>IF(COUNTIF(FERIADOS!$A$2:$A$250,A2164)&gt;0,"SÍ","NO")</x:f>
        <x:v>NO</x:v>
      </x:c>
      <x:c r="D2164" t="str">
        <x:f>IF(AND(WEEKDAY(A2164,2)&lt;=5,C2164="NO"),"SÍ","NO")</x:f>
        <x:v>SÍ</x:v>
      </x:c>
      <x:c r="E2164" s="2" t="n">
        <x:f>WORKDAY.INTL(A2164-1,1,1,FERIADOS!$A$2:$A$250)</x:f>
        <x:v>47820</x:v>
      </x:c>
      <x:c r="F2164" t="str">
        <x:f>IF(E2164&gt;=WORKDAY.INTL(EOMONTH(E2164,0)+1,-2,1,FERIADOS!$A$2:$A$250),"SÍ","NO")</x:f>
        <x:v>NO</x:v>
      </x:c>
      <x:c r="G2164" s="2" t="n">
        <x:f>IF(F2164="SÍ",EOMONTH(E2164,0)+1,DATE(YEAR(E2164),MONTH(E2164),1))</x:f>
        <x:v>47818</x:v>
      </x:c>
      <x:c r="H2164" t="str">
        <x:f>IF(D2164="NO",IF(C2164="SÍ","FERIADO","FIN DE SEMANA"),"LABORABLE")&amp;IF(F2164="SÍ"," + CIERRE","")</x:f>
        <x:v>LABORABLE</x:v>
      </x:c>
      <x:c r="I2164" t="str">
        <x:f>TEXT(G2164,"yyyy-mm")</x:f>
        <x:v>2030-12</x:v>
      </x:c>
    </x:row>
    <x:row r="2165">
      <x:c r="A2165" s="2" t="n">
        <x:v>47821</x:v>
      </x:c>
      <x:c r="B2165" t="str">
        <x:f>CHOOSE(WEEKDAY(A2165,2),"Lunes","Martes","Miércoles","Jueves","Viernes","Sábado","Domingo")</x:f>
        <x:v>Miércoles</x:v>
      </x:c>
      <x:c r="C2165" t="str">
        <x:f>IF(COUNTIF(FERIADOS!$A$2:$A$250,A2165)&gt;0,"SÍ","NO")</x:f>
        <x:v>NO</x:v>
      </x:c>
      <x:c r="D2165" t="str">
        <x:f>IF(AND(WEEKDAY(A2165,2)&lt;=5,C2165="NO"),"SÍ","NO")</x:f>
        <x:v>SÍ</x:v>
      </x:c>
      <x:c r="E2165" s="2" t="n">
        <x:f>WORKDAY.INTL(A2165-1,1,1,FERIADOS!$A$2:$A$250)</x:f>
        <x:v>47821</x:v>
      </x:c>
      <x:c r="F2165" t="str">
        <x:f>IF(E2165&gt;=WORKDAY.INTL(EOMONTH(E2165,0)+1,-2,1,FERIADOS!$A$2:$A$250),"SÍ","NO")</x:f>
        <x:v>NO</x:v>
      </x:c>
      <x:c r="G2165" s="2" t="n">
        <x:f>IF(F2165="SÍ",EOMONTH(E2165,0)+1,DATE(YEAR(E2165),MONTH(E2165),1))</x:f>
        <x:v>47818</x:v>
      </x:c>
      <x:c r="H2165" t="str">
        <x:f>IF(D2165="NO",IF(C2165="SÍ","FERIADO","FIN DE SEMANA"),"LABORABLE")&amp;IF(F2165="SÍ"," + CIERRE","")</x:f>
        <x:v>LABORABLE</x:v>
      </x:c>
      <x:c r="I2165" t="str">
        <x:f>TEXT(G2165,"yyyy-mm")</x:f>
        <x:v>2030-12</x:v>
      </x:c>
    </x:row>
    <x:row r="2166">
      <x:c r="A2166" s="2" t="n">
        <x:v>47822</x:v>
      </x:c>
      <x:c r="B2166" t="str">
        <x:f>CHOOSE(WEEKDAY(A2166,2),"Lunes","Martes","Miércoles","Jueves","Viernes","Sábado","Domingo")</x:f>
        <x:v>Jueves</x:v>
      </x:c>
      <x:c r="C2166" t="str">
        <x:f>IF(COUNTIF(FERIADOS!$A$2:$A$250,A2166)&gt;0,"SÍ","NO")</x:f>
        <x:v>NO</x:v>
      </x:c>
      <x:c r="D2166" t="str">
        <x:f>IF(AND(WEEKDAY(A2166,2)&lt;=5,C2166="NO"),"SÍ","NO")</x:f>
        <x:v>SÍ</x:v>
      </x:c>
      <x:c r="E2166" s="2" t="n">
        <x:f>WORKDAY.INTL(A2166-1,1,1,FERIADOS!$A$2:$A$250)</x:f>
        <x:v>47822</x:v>
      </x:c>
      <x:c r="F2166" t="str">
        <x:f>IF(E2166&gt;=WORKDAY.INTL(EOMONTH(E2166,0)+1,-2,1,FERIADOS!$A$2:$A$250),"SÍ","NO")</x:f>
        <x:v>NO</x:v>
      </x:c>
      <x:c r="G2166" s="2" t="n">
        <x:f>IF(F2166="SÍ",EOMONTH(E2166,0)+1,DATE(YEAR(E2166),MONTH(E2166),1))</x:f>
        <x:v>47818</x:v>
      </x:c>
      <x:c r="H2166" t="str">
        <x:f>IF(D2166="NO",IF(C2166="SÍ","FERIADO","FIN DE SEMANA"),"LABORABLE")&amp;IF(F2166="SÍ"," + CIERRE","")</x:f>
        <x:v>LABORABLE</x:v>
      </x:c>
      <x:c r="I2166" t="str">
        <x:f>TEXT(G2166,"yyyy-mm")</x:f>
        <x:v>2030-12</x:v>
      </x:c>
    </x:row>
    <x:row r="2167">
      <x:c r="A2167" s="2" t="n">
        <x:v>47823</x:v>
      </x:c>
      <x:c r="B2167" t="str">
        <x:f>CHOOSE(WEEKDAY(A2167,2),"Lunes","Martes","Miércoles","Jueves","Viernes","Sábado","Domingo")</x:f>
        <x:v>Viernes</x:v>
      </x:c>
      <x:c r="C2167" t="str">
        <x:f>IF(COUNTIF(FERIADOS!$A$2:$A$250,A2167)&gt;0,"SÍ","NO")</x:f>
        <x:v>NO</x:v>
      </x:c>
      <x:c r="D2167" t="str">
        <x:f>IF(AND(WEEKDAY(A2167,2)&lt;=5,C2167="NO"),"SÍ","NO")</x:f>
        <x:v>SÍ</x:v>
      </x:c>
      <x:c r="E2167" s="2" t="n">
        <x:f>WORKDAY.INTL(A2167-1,1,1,FERIADOS!$A$2:$A$250)</x:f>
        <x:v>47823</x:v>
      </x:c>
      <x:c r="F2167" t="str">
        <x:f>IF(E2167&gt;=WORKDAY.INTL(EOMONTH(E2167,0)+1,-2,1,FERIADOS!$A$2:$A$250),"SÍ","NO")</x:f>
        <x:v>NO</x:v>
      </x:c>
      <x:c r="G2167" s="2" t="n">
        <x:f>IF(F2167="SÍ",EOMONTH(E2167,0)+1,DATE(YEAR(E2167),MONTH(E2167),1))</x:f>
        <x:v>47818</x:v>
      </x:c>
      <x:c r="H2167" t="str">
        <x:f>IF(D2167="NO",IF(C2167="SÍ","FERIADO","FIN DE SEMANA"),"LABORABLE")&amp;IF(F2167="SÍ"," + CIERRE","")</x:f>
        <x:v>LABORABLE</x:v>
      </x:c>
      <x:c r="I2167" t="str">
        <x:f>TEXT(G2167,"yyyy-mm")</x:f>
        <x:v>2030-12</x:v>
      </x:c>
    </x:row>
    <x:row r="2168">
      <x:c r="A2168" s="2" t="n">
        <x:v>47824</x:v>
      </x:c>
      <x:c r="B2168" t="str">
        <x:f>CHOOSE(WEEKDAY(A2168,2),"Lunes","Martes","Miércoles","Jueves","Viernes","Sábado","Domingo")</x:f>
        <x:v>Sábado</x:v>
      </x:c>
      <x:c r="C2168" t="str">
        <x:f>IF(COUNTIF(FERIADOS!$A$2:$A$250,A2168)&gt;0,"SÍ","NO")</x:f>
        <x:v>NO</x:v>
      </x:c>
      <x:c r="D2168" t="str">
        <x:f>IF(AND(WEEKDAY(A2168,2)&lt;=5,C2168="NO"),"SÍ","NO")</x:f>
        <x:v>NO</x:v>
      </x:c>
      <x:c r="E2168" s="2" t="n">
        <x:f>WORKDAY.INTL(A2168-1,1,1,FERIADOS!$A$2:$A$250)</x:f>
        <x:v>47826</x:v>
      </x:c>
      <x:c r="F2168" t="str">
        <x:f>IF(E2168&gt;=WORKDAY.INTL(EOMONTH(E2168,0)+1,-2,1,FERIADOS!$A$2:$A$250),"SÍ","NO")</x:f>
        <x:v>NO</x:v>
      </x:c>
      <x:c r="G2168" s="2" t="n">
        <x:f>IF(F2168="SÍ",EOMONTH(E2168,0)+1,DATE(YEAR(E2168),MONTH(E2168),1))</x:f>
        <x:v>47818</x:v>
      </x:c>
      <x:c r="H2168" t="str">
        <x:f>IF(D2168="NO",IF(C2168="SÍ","FERIADO","FIN DE SEMANA"),"LABORABLE")&amp;IF(F2168="SÍ"," + CIERRE","")</x:f>
        <x:v>FIN DE SEMANA</x:v>
      </x:c>
      <x:c r="I2168" t="str">
        <x:f>TEXT(G2168,"yyyy-mm")</x:f>
        <x:v>2030-12</x:v>
      </x:c>
    </x:row>
    <x:row r="2169">
      <x:c r="A2169" s="2" t="n">
        <x:v>47825</x:v>
      </x:c>
      <x:c r="B2169" t="str">
        <x:f>CHOOSE(WEEKDAY(A2169,2),"Lunes","Martes","Miércoles","Jueves","Viernes","Sábado","Domingo")</x:f>
        <x:v>Domingo</x:v>
      </x:c>
      <x:c r="C2169" t="str">
        <x:f>IF(COUNTIF(FERIADOS!$A$2:$A$250,A2169)&gt;0,"SÍ","NO")</x:f>
        <x:v>NO</x:v>
      </x:c>
      <x:c r="D2169" t="str">
        <x:f>IF(AND(WEEKDAY(A2169,2)&lt;=5,C2169="NO"),"SÍ","NO")</x:f>
        <x:v>NO</x:v>
      </x:c>
      <x:c r="E2169" s="2" t="n">
        <x:f>WORKDAY.INTL(A2169-1,1,1,FERIADOS!$A$2:$A$250)</x:f>
        <x:v>47826</x:v>
      </x:c>
      <x:c r="F2169" t="str">
        <x:f>IF(E2169&gt;=WORKDAY.INTL(EOMONTH(E2169,0)+1,-2,1,FERIADOS!$A$2:$A$250),"SÍ","NO")</x:f>
        <x:v>NO</x:v>
      </x:c>
      <x:c r="G2169" s="2" t="n">
        <x:f>IF(F2169="SÍ",EOMONTH(E2169,0)+1,DATE(YEAR(E2169),MONTH(E2169),1))</x:f>
        <x:v>47818</x:v>
      </x:c>
      <x:c r="H2169" t="str">
        <x:f>IF(D2169="NO",IF(C2169="SÍ","FERIADO","FIN DE SEMANA"),"LABORABLE")&amp;IF(F2169="SÍ"," + CIERRE","")</x:f>
        <x:v>FIN DE SEMANA</x:v>
      </x:c>
      <x:c r="I2169" t="str">
        <x:f>TEXT(G2169,"yyyy-mm")</x:f>
        <x:v>2030-12</x:v>
      </x:c>
    </x:row>
    <x:row r="2170">
      <x:c r="A2170" s="2" t="n">
        <x:v>47826</x:v>
      </x:c>
      <x:c r="B2170" t="str">
        <x:f>CHOOSE(WEEKDAY(A2170,2),"Lunes","Martes","Miércoles","Jueves","Viernes","Sábado","Domingo")</x:f>
        <x:v>Lunes</x:v>
      </x:c>
      <x:c r="C2170" t="str">
        <x:f>IF(COUNTIF(FERIADOS!$A$2:$A$250,A2170)&gt;0,"SÍ","NO")</x:f>
        <x:v>NO</x:v>
      </x:c>
      <x:c r="D2170" t="str">
        <x:f>IF(AND(WEEKDAY(A2170,2)&lt;=5,C2170="NO"),"SÍ","NO")</x:f>
        <x:v>SÍ</x:v>
      </x:c>
      <x:c r="E2170" s="2" t="n">
        <x:f>WORKDAY.INTL(A2170-1,1,1,FERIADOS!$A$2:$A$250)</x:f>
        <x:v>47826</x:v>
      </x:c>
      <x:c r="F2170" t="str">
        <x:f>IF(E2170&gt;=WORKDAY.INTL(EOMONTH(E2170,0)+1,-2,1,FERIADOS!$A$2:$A$250),"SÍ","NO")</x:f>
        <x:v>NO</x:v>
      </x:c>
      <x:c r="G2170" s="2" t="n">
        <x:f>IF(F2170="SÍ",EOMONTH(E2170,0)+1,DATE(YEAR(E2170),MONTH(E2170),1))</x:f>
        <x:v>47818</x:v>
      </x:c>
      <x:c r="H2170" t="str">
        <x:f>IF(D2170="NO",IF(C2170="SÍ","FERIADO","FIN DE SEMANA"),"LABORABLE")&amp;IF(F2170="SÍ"," + CIERRE","")</x:f>
        <x:v>LABORABLE</x:v>
      </x:c>
      <x:c r="I2170" t="str">
        <x:f>TEXT(G2170,"yyyy-mm")</x:f>
        <x:v>2030-12</x:v>
      </x:c>
    </x:row>
    <x:row r="2171">
      <x:c r="A2171" s="2" t="n">
        <x:v>47827</x:v>
      </x:c>
      <x:c r="B2171" t="str">
        <x:f>CHOOSE(WEEKDAY(A2171,2),"Lunes","Martes","Miércoles","Jueves","Viernes","Sábado","Domingo")</x:f>
        <x:v>Martes</x:v>
      </x:c>
      <x:c r="C2171" t="str">
        <x:f>IF(COUNTIF(FERIADOS!$A$2:$A$250,A2171)&gt;0,"SÍ","NO")</x:f>
        <x:v>NO</x:v>
      </x:c>
      <x:c r="D2171" t="str">
        <x:f>IF(AND(WEEKDAY(A2171,2)&lt;=5,C2171="NO"),"SÍ","NO")</x:f>
        <x:v>SÍ</x:v>
      </x:c>
      <x:c r="E2171" s="2" t="n">
        <x:f>WORKDAY.INTL(A2171-1,1,1,FERIADOS!$A$2:$A$250)</x:f>
        <x:v>47827</x:v>
      </x:c>
      <x:c r="F2171" t="str">
        <x:f>IF(E2171&gt;=WORKDAY.INTL(EOMONTH(E2171,0)+1,-2,1,FERIADOS!$A$2:$A$250),"SÍ","NO")</x:f>
        <x:v>NO</x:v>
      </x:c>
      <x:c r="G2171" s="2" t="n">
        <x:f>IF(F2171="SÍ",EOMONTH(E2171,0)+1,DATE(YEAR(E2171),MONTH(E2171),1))</x:f>
        <x:v>47818</x:v>
      </x:c>
      <x:c r="H2171" t="str">
        <x:f>IF(D2171="NO",IF(C2171="SÍ","FERIADO","FIN DE SEMANA"),"LABORABLE")&amp;IF(F2171="SÍ"," + CIERRE","")</x:f>
        <x:v>LABORABLE</x:v>
      </x:c>
      <x:c r="I2171" t="str">
        <x:f>TEXT(G2171,"yyyy-mm")</x:f>
        <x:v>2030-12</x:v>
      </x:c>
    </x:row>
    <x:row r="2172">
      <x:c r="A2172" s="2" t="n">
        <x:v>47828</x:v>
      </x:c>
      <x:c r="B2172" t="str">
        <x:f>CHOOSE(WEEKDAY(A2172,2),"Lunes","Martes","Miércoles","Jueves","Viernes","Sábado","Domingo")</x:f>
        <x:v>Miércoles</x:v>
      </x:c>
      <x:c r="C2172" t="str">
        <x:f>IF(COUNTIF(FERIADOS!$A$2:$A$250,A2172)&gt;0,"SÍ","NO")</x:f>
        <x:v>NO</x:v>
      </x:c>
      <x:c r="D2172" t="str">
        <x:f>IF(AND(WEEKDAY(A2172,2)&lt;=5,C2172="NO"),"SÍ","NO")</x:f>
        <x:v>SÍ</x:v>
      </x:c>
      <x:c r="E2172" s="2" t="n">
        <x:f>WORKDAY.INTL(A2172-1,1,1,FERIADOS!$A$2:$A$250)</x:f>
        <x:v>47828</x:v>
      </x:c>
      <x:c r="F2172" t="str">
        <x:f>IF(E2172&gt;=WORKDAY.INTL(EOMONTH(E2172,0)+1,-2,1,FERIADOS!$A$2:$A$250),"SÍ","NO")</x:f>
        <x:v>NO</x:v>
      </x:c>
      <x:c r="G2172" s="2" t="n">
        <x:f>IF(F2172="SÍ",EOMONTH(E2172,0)+1,DATE(YEAR(E2172),MONTH(E2172),1))</x:f>
        <x:v>47818</x:v>
      </x:c>
      <x:c r="H2172" t="str">
        <x:f>IF(D2172="NO",IF(C2172="SÍ","FERIADO","FIN DE SEMANA"),"LABORABLE")&amp;IF(F2172="SÍ"," + CIERRE","")</x:f>
        <x:v>LABORABLE</x:v>
      </x:c>
      <x:c r="I2172" t="str">
        <x:f>TEXT(G2172,"yyyy-mm")</x:f>
        <x:v>2030-12</x:v>
      </x:c>
    </x:row>
    <x:row r="2173">
      <x:c r="A2173" s="2" t="n">
        <x:v>47829</x:v>
      </x:c>
      <x:c r="B2173" t="str">
        <x:f>CHOOSE(WEEKDAY(A2173,2),"Lunes","Martes","Miércoles","Jueves","Viernes","Sábado","Domingo")</x:f>
        <x:v>Jueves</x:v>
      </x:c>
      <x:c r="C2173" t="str">
        <x:f>IF(COUNTIF(FERIADOS!$A$2:$A$250,A2173)&gt;0,"SÍ","NO")</x:f>
        <x:v>NO</x:v>
      </x:c>
      <x:c r="D2173" t="str">
        <x:f>IF(AND(WEEKDAY(A2173,2)&lt;=5,C2173="NO"),"SÍ","NO")</x:f>
        <x:v>SÍ</x:v>
      </x:c>
      <x:c r="E2173" s="2" t="n">
        <x:f>WORKDAY.INTL(A2173-1,1,1,FERIADOS!$A$2:$A$250)</x:f>
        <x:v>47829</x:v>
      </x:c>
      <x:c r="F2173" t="str">
        <x:f>IF(E2173&gt;=WORKDAY.INTL(EOMONTH(E2173,0)+1,-2,1,FERIADOS!$A$2:$A$250),"SÍ","NO")</x:f>
        <x:v>NO</x:v>
      </x:c>
      <x:c r="G2173" s="2" t="n">
        <x:f>IF(F2173="SÍ",EOMONTH(E2173,0)+1,DATE(YEAR(E2173),MONTH(E2173),1))</x:f>
        <x:v>47818</x:v>
      </x:c>
      <x:c r="H2173" t="str">
        <x:f>IF(D2173="NO",IF(C2173="SÍ","FERIADO","FIN DE SEMANA"),"LABORABLE")&amp;IF(F2173="SÍ"," + CIERRE","")</x:f>
        <x:v>LABORABLE</x:v>
      </x:c>
      <x:c r="I2173" t="str">
        <x:f>TEXT(G2173,"yyyy-mm")</x:f>
        <x:v>2030-12</x:v>
      </x:c>
    </x:row>
    <x:row r="2174">
      <x:c r="A2174" s="2" t="n">
        <x:v>47830</x:v>
      </x:c>
      <x:c r="B2174" t="str">
        <x:f>CHOOSE(WEEKDAY(A2174,2),"Lunes","Martes","Miércoles","Jueves","Viernes","Sábado","Domingo")</x:f>
        <x:v>Viernes</x:v>
      </x:c>
      <x:c r="C2174" t="str">
        <x:f>IF(COUNTIF(FERIADOS!$A$2:$A$250,A2174)&gt;0,"SÍ","NO")</x:f>
        <x:v>NO</x:v>
      </x:c>
      <x:c r="D2174" t="str">
        <x:f>IF(AND(WEEKDAY(A2174,2)&lt;=5,C2174="NO"),"SÍ","NO")</x:f>
        <x:v>SÍ</x:v>
      </x:c>
      <x:c r="E2174" s="2" t="n">
        <x:f>WORKDAY.INTL(A2174-1,1,1,FERIADOS!$A$2:$A$250)</x:f>
        <x:v>47830</x:v>
      </x:c>
      <x:c r="F2174" t="str">
        <x:f>IF(E2174&gt;=WORKDAY.INTL(EOMONTH(E2174,0)+1,-2,1,FERIADOS!$A$2:$A$250),"SÍ","NO")</x:f>
        <x:v>NO</x:v>
      </x:c>
      <x:c r="G2174" s="2" t="n">
        <x:f>IF(F2174="SÍ",EOMONTH(E2174,0)+1,DATE(YEAR(E2174),MONTH(E2174),1))</x:f>
        <x:v>47818</x:v>
      </x:c>
      <x:c r="H2174" t="str">
        <x:f>IF(D2174="NO",IF(C2174="SÍ","FERIADO","FIN DE SEMANA"),"LABORABLE")&amp;IF(F2174="SÍ"," + CIERRE","")</x:f>
        <x:v>LABORABLE</x:v>
      </x:c>
      <x:c r="I2174" t="str">
        <x:f>TEXT(G2174,"yyyy-mm")</x:f>
        <x:v>2030-12</x:v>
      </x:c>
    </x:row>
    <x:row r="2175">
      <x:c r="A2175" s="2" t="n">
        <x:v>47831</x:v>
      </x:c>
      <x:c r="B2175" t="str">
        <x:f>CHOOSE(WEEKDAY(A2175,2),"Lunes","Martes","Miércoles","Jueves","Viernes","Sábado","Domingo")</x:f>
        <x:v>Sábado</x:v>
      </x:c>
      <x:c r="C2175" t="str">
        <x:f>IF(COUNTIF(FERIADOS!$A$2:$A$250,A2175)&gt;0,"SÍ","NO")</x:f>
        <x:v>NO</x:v>
      </x:c>
      <x:c r="D2175" t="str">
        <x:f>IF(AND(WEEKDAY(A2175,2)&lt;=5,C2175="NO"),"SÍ","NO")</x:f>
        <x:v>NO</x:v>
      </x:c>
      <x:c r="E2175" s="2" t="n">
        <x:f>WORKDAY.INTL(A2175-1,1,1,FERIADOS!$A$2:$A$250)</x:f>
        <x:v>47833</x:v>
      </x:c>
      <x:c r="F2175" t="str">
        <x:f>IF(E2175&gt;=WORKDAY.INTL(EOMONTH(E2175,0)+1,-2,1,FERIADOS!$A$2:$A$250),"SÍ","NO")</x:f>
        <x:v>NO</x:v>
      </x:c>
      <x:c r="G2175" s="2" t="n">
        <x:f>IF(F2175="SÍ",EOMONTH(E2175,0)+1,DATE(YEAR(E2175),MONTH(E2175),1))</x:f>
        <x:v>47818</x:v>
      </x:c>
      <x:c r="H2175" t="str">
        <x:f>IF(D2175="NO",IF(C2175="SÍ","FERIADO","FIN DE SEMANA"),"LABORABLE")&amp;IF(F2175="SÍ"," + CIERRE","")</x:f>
        <x:v>FIN DE SEMANA</x:v>
      </x:c>
      <x:c r="I2175" t="str">
        <x:f>TEXT(G2175,"yyyy-mm")</x:f>
        <x:v>2030-12</x:v>
      </x:c>
    </x:row>
    <x:row r="2176">
      <x:c r="A2176" s="2" t="n">
        <x:v>47832</x:v>
      </x:c>
      <x:c r="B2176" t="str">
        <x:f>CHOOSE(WEEKDAY(A2176,2),"Lunes","Martes","Miércoles","Jueves","Viernes","Sábado","Domingo")</x:f>
        <x:v>Domingo</x:v>
      </x:c>
      <x:c r="C2176" t="str">
        <x:f>IF(COUNTIF(FERIADOS!$A$2:$A$250,A2176)&gt;0,"SÍ","NO")</x:f>
        <x:v>NO</x:v>
      </x:c>
      <x:c r="D2176" t="str">
        <x:f>IF(AND(WEEKDAY(A2176,2)&lt;=5,C2176="NO"),"SÍ","NO")</x:f>
        <x:v>NO</x:v>
      </x:c>
      <x:c r="E2176" s="2" t="n">
        <x:f>WORKDAY.INTL(A2176-1,1,1,FERIADOS!$A$2:$A$250)</x:f>
        <x:v>47833</x:v>
      </x:c>
      <x:c r="F2176" t="str">
        <x:f>IF(E2176&gt;=WORKDAY.INTL(EOMONTH(E2176,0)+1,-2,1,FERIADOS!$A$2:$A$250),"SÍ","NO")</x:f>
        <x:v>NO</x:v>
      </x:c>
      <x:c r="G2176" s="2" t="n">
        <x:f>IF(F2176="SÍ",EOMONTH(E2176,0)+1,DATE(YEAR(E2176),MONTH(E2176),1))</x:f>
        <x:v>47818</x:v>
      </x:c>
      <x:c r="H2176" t="str">
        <x:f>IF(D2176="NO",IF(C2176="SÍ","FERIADO","FIN DE SEMANA"),"LABORABLE")&amp;IF(F2176="SÍ"," + CIERRE","")</x:f>
        <x:v>FIN DE SEMANA</x:v>
      </x:c>
      <x:c r="I2176" t="str">
        <x:f>TEXT(G2176,"yyyy-mm")</x:f>
        <x:v>2030-12</x:v>
      </x:c>
    </x:row>
    <x:row r="2177">
      <x:c r="A2177" s="2" t="n">
        <x:v>47833</x:v>
      </x:c>
      <x:c r="B2177" t="str">
        <x:f>CHOOSE(WEEKDAY(A2177,2),"Lunes","Martes","Miércoles","Jueves","Viernes","Sábado","Domingo")</x:f>
        <x:v>Lunes</x:v>
      </x:c>
      <x:c r="C2177" t="str">
        <x:f>IF(COUNTIF(FERIADOS!$A$2:$A$250,A2177)&gt;0,"SÍ","NO")</x:f>
        <x:v>NO</x:v>
      </x:c>
      <x:c r="D2177" t="str">
        <x:f>IF(AND(WEEKDAY(A2177,2)&lt;=5,C2177="NO"),"SÍ","NO")</x:f>
        <x:v>SÍ</x:v>
      </x:c>
      <x:c r="E2177" s="2" t="n">
        <x:f>WORKDAY.INTL(A2177-1,1,1,FERIADOS!$A$2:$A$250)</x:f>
        <x:v>47833</x:v>
      </x:c>
      <x:c r="F2177" t="str">
        <x:f>IF(E2177&gt;=WORKDAY.INTL(EOMONTH(E2177,0)+1,-2,1,FERIADOS!$A$2:$A$250),"SÍ","NO")</x:f>
        <x:v>NO</x:v>
      </x:c>
      <x:c r="G2177" s="2" t="n">
        <x:f>IF(F2177="SÍ",EOMONTH(E2177,0)+1,DATE(YEAR(E2177),MONTH(E2177),1))</x:f>
        <x:v>47818</x:v>
      </x:c>
      <x:c r="H2177" t="str">
        <x:f>IF(D2177="NO",IF(C2177="SÍ","FERIADO","FIN DE SEMANA"),"LABORABLE")&amp;IF(F2177="SÍ"," + CIERRE","")</x:f>
        <x:v>LABORABLE</x:v>
      </x:c>
      <x:c r="I2177" t="str">
        <x:f>TEXT(G2177,"yyyy-mm")</x:f>
        <x:v>2030-12</x:v>
      </x:c>
    </x:row>
    <x:row r="2178">
      <x:c r="A2178" s="2" t="n">
        <x:v>47834</x:v>
      </x:c>
      <x:c r="B2178" t="str">
        <x:f>CHOOSE(WEEKDAY(A2178,2),"Lunes","Martes","Miércoles","Jueves","Viernes","Sábado","Domingo")</x:f>
        <x:v>Martes</x:v>
      </x:c>
      <x:c r="C2178" t="str">
        <x:f>IF(COUNTIF(FERIADOS!$A$2:$A$250,A2178)&gt;0,"SÍ","NO")</x:f>
        <x:v>NO</x:v>
      </x:c>
      <x:c r="D2178" t="str">
        <x:f>IF(AND(WEEKDAY(A2178,2)&lt;=5,C2178="NO"),"SÍ","NO")</x:f>
        <x:v>SÍ</x:v>
      </x:c>
      <x:c r="E2178" s="2" t="n">
        <x:f>WORKDAY.INTL(A2178-1,1,1,FERIADOS!$A$2:$A$250)</x:f>
        <x:v>47834</x:v>
      </x:c>
      <x:c r="F2178" t="str">
        <x:f>IF(E2178&gt;=WORKDAY.INTL(EOMONTH(E2178,0)+1,-2,1,FERIADOS!$A$2:$A$250),"SÍ","NO")</x:f>
        <x:v>NO</x:v>
      </x:c>
      <x:c r="G2178" s="2" t="n">
        <x:f>IF(F2178="SÍ",EOMONTH(E2178,0)+1,DATE(YEAR(E2178),MONTH(E2178),1))</x:f>
        <x:v>47818</x:v>
      </x:c>
      <x:c r="H2178" t="str">
        <x:f>IF(D2178="NO",IF(C2178="SÍ","FERIADO","FIN DE SEMANA"),"LABORABLE")&amp;IF(F2178="SÍ"," + CIERRE","")</x:f>
        <x:v>LABORABLE</x:v>
      </x:c>
      <x:c r="I2178" t="str">
        <x:f>TEXT(G2178,"yyyy-mm")</x:f>
        <x:v>2030-12</x:v>
      </x:c>
    </x:row>
    <x:row r="2179">
      <x:c r="A2179" s="2" t="n">
        <x:v>47835</x:v>
      </x:c>
      <x:c r="B2179" t="str">
        <x:f>CHOOSE(WEEKDAY(A2179,2),"Lunes","Martes","Miércoles","Jueves","Viernes","Sábado","Domingo")</x:f>
        <x:v>Miércoles</x:v>
      </x:c>
      <x:c r="C2179" t="str">
        <x:f>IF(COUNTIF(FERIADOS!$A$2:$A$250,A2179)&gt;0,"SÍ","NO")</x:f>
        <x:v>NO</x:v>
      </x:c>
      <x:c r="D2179" t="str">
        <x:f>IF(AND(WEEKDAY(A2179,2)&lt;=5,C2179="NO"),"SÍ","NO")</x:f>
        <x:v>SÍ</x:v>
      </x:c>
      <x:c r="E2179" s="2" t="n">
        <x:f>WORKDAY.INTL(A2179-1,1,1,FERIADOS!$A$2:$A$250)</x:f>
        <x:v>47835</x:v>
      </x:c>
      <x:c r="F2179" t="str">
        <x:f>IF(E2179&gt;=WORKDAY.INTL(EOMONTH(E2179,0)+1,-2,1,FERIADOS!$A$2:$A$250),"SÍ","NO")</x:f>
        <x:v>NO</x:v>
      </x:c>
      <x:c r="G2179" s="2" t="n">
        <x:f>IF(F2179="SÍ",EOMONTH(E2179,0)+1,DATE(YEAR(E2179),MONTH(E2179),1))</x:f>
        <x:v>47818</x:v>
      </x:c>
      <x:c r="H2179" t="str">
        <x:f>IF(D2179="NO",IF(C2179="SÍ","FERIADO","FIN DE SEMANA"),"LABORABLE")&amp;IF(F2179="SÍ"," + CIERRE","")</x:f>
        <x:v>LABORABLE</x:v>
      </x:c>
      <x:c r="I2179" t="str">
        <x:f>TEXT(G2179,"yyyy-mm")</x:f>
        <x:v>2030-12</x:v>
      </x:c>
    </x:row>
    <x:row r="2180">
      <x:c r="A2180" s="2" t="n">
        <x:v>47836</x:v>
      </x:c>
      <x:c r="B2180" t="str">
        <x:f>CHOOSE(WEEKDAY(A2180,2),"Lunes","Martes","Miércoles","Jueves","Viernes","Sábado","Domingo")</x:f>
        <x:v>Jueves</x:v>
      </x:c>
      <x:c r="C2180" t="str">
        <x:f>IF(COUNTIF(FERIADOS!$A$2:$A$250,A2180)&gt;0,"SÍ","NO")</x:f>
        <x:v>NO</x:v>
      </x:c>
      <x:c r="D2180" t="str">
        <x:f>IF(AND(WEEKDAY(A2180,2)&lt;=5,C2180="NO"),"SÍ","NO")</x:f>
        <x:v>SÍ</x:v>
      </x:c>
      <x:c r="E2180" s="2" t="n">
        <x:f>WORKDAY.INTL(A2180-1,1,1,FERIADOS!$A$2:$A$250)</x:f>
        <x:v>47836</x:v>
      </x:c>
      <x:c r="F2180" t="str">
        <x:f>IF(E2180&gt;=WORKDAY.INTL(EOMONTH(E2180,0)+1,-2,1,FERIADOS!$A$2:$A$250),"SÍ","NO")</x:f>
        <x:v>NO</x:v>
      </x:c>
      <x:c r="G2180" s="2" t="n">
        <x:f>IF(F2180="SÍ",EOMONTH(E2180,0)+1,DATE(YEAR(E2180),MONTH(E2180),1))</x:f>
        <x:v>47818</x:v>
      </x:c>
      <x:c r="H2180" t="str">
        <x:f>IF(D2180="NO",IF(C2180="SÍ","FERIADO","FIN DE SEMANA"),"LABORABLE")&amp;IF(F2180="SÍ"," + CIERRE","")</x:f>
        <x:v>LABORABLE</x:v>
      </x:c>
      <x:c r="I2180" t="str">
        <x:f>TEXT(G2180,"yyyy-mm")</x:f>
        <x:v>2030-12</x:v>
      </x:c>
    </x:row>
    <x:row r="2181">
      <x:c r="A2181" s="2" t="n">
        <x:v>47837</x:v>
      </x:c>
      <x:c r="B2181" t="str">
        <x:f>CHOOSE(WEEKDAY(A2181,2),"Lunes","Martes","Miércoles","Jueves","Viernes","Sábado","Domingo")</x:f>
        <x:v>Viernes</x:v>
      </x:c>
      <x:c r="C2181" t="str">
        <x:f>IF(COUNTIF(FERIADOS!$A$2:$A$250,A2181)&gt;0,"SÍ","NO")</x:f>
        <x:v>NO</x:v>
      </x:c>
      <x:c r="D2181" t="str">
        <x:f>IF(AND(WEEKDAY(A2181,2)&lt;=5,C2181="NO"),"SÍ","NO")</x:f>
        <x:v>SÍ</x:v>
      </x:c>
      <x:c r="E2181" s="2" t="n">
        <x:f>WORKDAY.INTL(A2181-1,1,1,FERIADOS!$A$2:$A$250)</x:f>
        <x:v>47837</x:v>
      </x:c>
      <x:c r="F2181" t="str">
        <x:f>IF(E2181&gt;=WORKDAY.INTL(EOMONTH(E2181,0)+1,-2,1,FERIADOS!$A$2:$A$250),"SÍ","NO")</x:f>
        <x:v>NO</x:v>
      </x:c>
      <x:c r="G2181" s="2" t="n">
        <x:f>IF(F2181="SÍ",EOMONTH(E2181,0)+1,DATE(YEAR(E2181),MONTH(E2181),1))</x:f>
        <x:v>47818</x:v>
      </x:c>
      <x:c r="H2181" t="str">
        <x:f>IF(D2181="NO",IF(C2181="SÍ","FERIADO","FIN DE SEMANA"),"LABORABLE")&amp;IF(F2181="SÍ"," + CIERRE","")</x:f>
        <x:v>LABORABLE</x:v>
      </x:c>
      <x:c r="I2181" t="str">
        <x:f>TEXT(G2181,"yyyy-mm")</x:f>
        <x:v>2030-12</x:v>
      </x:c>
    </x:row>
    <x:row r="2182">
      <x:c r="A2182" s="2" t="n">
        <x:v>47838</x:v>
      </x:c>
      <x:c r="B2182" t="str">
        <x:f>CHOOSE(WEEKDAY(A2182,2),"Lunes","Martes","Miércoles","Jueves","Viernes","Sábado","Domingo")</x:f>
        <x:v>Sábado</x:v>
      </x:c>
      <x:c r="C2182" t="str">
        <x:f>IF(COUNTIF(FERIADOS!$A$2:$A$250,A2182)&gt;0,"SÍ","NO")</x:f>
        <x:v>NO</x:v>
      </x:c>
      <x:c r="D2182" t="str">
        <x:f>IF(AND(WEEKDAY(A2182,2)&lt;=5,C2182="NO"),"SÍ","NO")</x:f>
        <x:v>NO</x:v>
      </x:c>
      <x:c r="E2182" s="2" t="n">
        <x:f>WORKDAY.INTL(A2182-1,1,1,FERIADOS!$A$2:$A$250)</x:f>
        <x:v>47840</x:v>
      </x:c>
      <x:c r="F2182" t="str">
        <x:f>IF(E2182&gt;=WORKDAY.INTL(EOMONTH(E2182,0)+1,-2,1,FERIADOS!$A$2:$A$250),"SÍ","NO")</x:f>
        <x:v>NO</x:v>
      </x:c>
      <x:c r="G2182" s="2" t="n">
        <x:f>IF(F2182="SÍ",EOMONTH(E2182,0)+1,DATE(YEAR(E2182),MONTH(E2182),1))</x:f>
        <x:v>47818</x:v>
      </x:c>
      <x:c r="H2182" t="str">
        <x:f>IF(D2182="NO",IF(C2182="SÍ","FERIADO","FIN DE SEMANA"),"LABORABLE")&amp;IF(F2182="SÍ"," + CIERRE","")</x:f>
        <x:v>FIN DE SEMANA</x:v>
      </x:c>
      <x:c r="I2182" t="str">
        <x:f>TEXT(G2182,"yyyy-mm")</x:f>
        <x:v>2030-12</x:v>
      </x:c>
    </x:row>
    <x:row r="2183">
      <x:c r="A2183" s="2" t="n">
        <x:v>47839</x:v>
      </x:c>
      <x:c r="B2183" t="str">
        <x:f>CHOOSE(WEEKDAY(A2183,2),"Lunes","Martes","Miércoles","Jueves","Viernes","Sábado","Domingo")</x:f>
        <x:v>Domingo</x:v>
      </x:c>
      <x:c r="C2183" t="str">
        <x:f>IF(COUNTIF(FERIADOS!$A$2:$A$250,A2183)&gt;0,"SÍ","NO")</x:f>
        <x:v>NO</x:v>
      </x:c>
      <x:c r="D2183" t="str">
        <x:f>IF(AND(WEEKDAY(A2183,2)&lt;=5,C2183="NO"),"SÍ","NO")</x:f>
        <x:v>NO</x:v>
      </x:c>
      <x:c r="E2183" s="2" t="n">
        <x:f>WORKDAY.INTL(A2183-1,1,1,FERIADOS!$A$2:$A$250)</x:f>
        <x:v>47840</x:v>
      </x:c>
      <x:c r="F2183" t="str">
        <x:f>IF(E2183&gt;=WORKDAY.INTL(EOMONTH(E2183,0)+1,-2,1,FERIADOS!$A$2:$A$250),"SÍ","NO")</x:f>
        <x:v>NO</x:v>
      </x:c>
      <x:c r="G2183" s="2" t="n">
        <x:f>IF(F2183="SÍ",EOMONTH(E2183,0)+1,DATE(YEAR(E2183),MONTH(E2183),1))</x:f>
        <x:v>47818</x:v>
      </x:c>
      <x:c r="H2183" t="str">
        <x:f>IF(D2183="NO",IF(C2183="SÍ","FERIADO","FIN DE SEMANA"),"LABORABLE")&amp;IF(F2183="SÍ"," + CIERRE","")</x:f>
        <x:v>FIN DE SEMANA</x:v>
      </x:c>
      <x:c r="I2183" t="str">
        <x:f>TEXT(G2183,"yyyy-mm")</x:f>
        <x:v>2030-12</x:v>
      </x:c>
    </x:row>
    <x:row r="2184">
      <x:c r="A2184" s="2" t="n">
        <x:v>47840</x:v>
      </x:c>
      <x:c r="B2184" t="str">
        <x:f>CHOOSE(WEEKDAY(A2184,2),"Lunes","Martes","Miércoles","Jueves","Viernes","Sábado","Domingo")</x:f>
        <x:v>Lunes</x:v>
      </x:c>
      <x:c r="C2184" t="str">
        <x:f>IF(COUNTIF(FERIADOS!$A$2:$A$250,A2184)&gt;0,"SÍ","NO")</x:f>
        <x:v>NO</x:v>
      </x:c>
      <x:c r="D2184" t="str">
        <x:f>IF(AND(WEEKDAY(A2184,2)&lt;=5,C2184="NO"),"SÍ","NO")</x:f>
        <x:v>SÍ</x:v>
      </x:c>
      <x:c r="E2184" s="2" t="n">
        <x:f>WORKDAY.INTL(A2184-1,1,1,FERIADOS!$A$2:$A$250)</x:f>
        <x:v>47840</x:v>
      </x:c>
      <x:c r="F2184" t="str">
        <x:f>IF(E2184&gt;=WORKDAY.INTL(EOMONTH(E2184,0)+1,-2,1,FERIADOS!$A$2:$A$250),"SÍ","NO")</x:f>
        <x:v>NO</x:v>
      </x:c>
      <x:c r="G2184" s="2" t="n">
        <x:f>IF(F2184="SÍ",EOMONTH(E2184,0)+1,DATE(YEAR(E2184),MONTH(E2184),1))</x:f>
        <x:v>47818</x:v>
      </x:c>
      <x:c r="H2184" t="str">
        <x:f>IF(D2184="NO",IF(C2184="SÍ","FERIADO","FIN DE SEMANA"),"LABORABLE")&amp;IF(F2184="SÍ"," + CIERRE","")</x:f>
        <x:v>LABORABLE</x:v>
      </x:c>
      <x:c r="I2184" t="str">
        <x:f>TEXT(G2184,"yyyy-mm")</x:f>
        <x:v>2030-12</x:v>
      </x:c>
    </x:row>
    <x:row r="2185">
      <x:c r="A2185" s="2" t="n">
        <x:v>47841</x:v>
      </x:c>
      <x:c r="B2185" t="str">
        <x:f>CHOOSE(WEEKDAY(A2185,2),"Lunes","Martes","Miércoles","Jueves","Viernes","Sábado","Domingo")</x:f>
        <x:v>Martes</x:v>
      </x:c>
      <x:c r="C2185" t="str">
        <x:f>IF(COUNTIF(FERIADOS!$A$2:$A$250,A2185)&gt;0,"SÍ","NO")</x:f>
        <x:v>NO</x:v>
      </x:c>
      <x:c r="D2185" t="str">
        <x:f>IF(AND(WEEKDAY(A2185,2)&lt;=5,C2185="NO"),"SÍ","NO")</x:f>
        <x:v>SÍ</x:v>
      </x:c>
      <x:c r="E2185" s="2" t="n">
        <x:f>WORKDAY.INTL(A2185-1,1,1,FERIADOS!$A$2:$A$250)</x:f>
        <x:v>47841</x:v>
      </x:c>
      <x:c r="F2185" t="str">
        <x:f>IF(E2185&gt;=WORKDAY.INTL(EOMONTH(E2185,0)+1,-2,1,FERIADOS!$A$2:$A$250),"SÍ","NO")</x:f>
        <x:v>NO</x:v>
      </x:c>
      <x:c r="G2185" s="2" t="n">
        <x:f>IF(F2185="SÍ",EOMONTH(E2185,0)+1,DATE(YEAR(E2185),MONTH(E2185),1))</x:f>
        <x:v>47818</x:v>
      </x:c>
      <x:c r="H2185" t="str">
        <x:f>IF(D2185="NO",IF(C2185="SÍ","FERIADO","FIN DE SEMANA"),"LABORABLE")&amp;IF(F2185="SÍ"," + CIERRE","")</x:f>
        <x:v>LABORABLE</x:v>
      </x:c>
      <x:c r="I2185" t="str">
        <x:f>TEXT(G2185,"yyyy-mm")</x:f>
        <x:v>2030-12</x:v>
      </x:c>
    </x:row>
    <x:row r="2186">
      <x:c r="A2186" s="2" t="n">
        <x:v>47842</x:v>
      </x:c>
      <x:c r="B2186" t="str">
        <x:f>CHOOSE(WEEKDAY(A2186,2),"Lunes","Martes","Miércoles","Jueves","Viernes","Sábado","Domingo")</x:f>
        <x:v>Miércoles</x:v>
      </x:c>
      <x:c r="C2186" t="str">
        <x:f>IF(COUNTIF(FERIADOS!$A$2:$A$250,A2186)&gt;0,"SÍ","NO")</x:f>
        <x:v>SÍ</x:v>
      </x:c>
      <x:c r="D2186" t="str">
        <x:f>IF(AND(WEEKDAY(A2186,2)&lt;=5,C2186="NO"),"SÍ","NO")</x:f>
        <x:v>NO</x:v>
      </x:c>
      <x:c r="E2186" s="2" t="n">
        <x:f>WORKDAY.INTL(A2186-1,1,1,FERIADOS!$A$2:$A$250)</x:f>
        <x:v>47843</x:v>
      </x:c>
      <x:c r="F2186" t="str">
        <x:f>IF(E2186&gt;=WORKDAY.INTL(EOMONTH(E2186,0)+1,-2,1,FERIADOS!$A$2:$A$250),"SÍ","NO")</x:f>
        <x:v>NO</x:v>
      </x:c>
      <x:c r="G2186" s="2" t="n">
        <x:f>IF(F2186="SÍ",EOMONTH(E2186,0)+1,DATE(YEAR(E2186),MONTH(E2186),1))</x:f>
        <x:v>47818</x:v>
      </x:c>
      <x:c r="H2186" t="str">
        <x:f>IF(D2186="NO",IF(C2186="SÍ","FERIADO","FIN DE SEMANA"),"LABORABLE")&amp;IF(F2186="SÍ"," + CIERRE","")</x:f>
        <x:v>FERIADO</x:v>
      </x:c>
      <x:c r="I2186" t="str">
        <x:f>TEXT(G2186,"yyyy-mm")</x:f>
        <x:v>2030-12</x:v>
      </x:c>
    </x:row>
    <x:row r="2187">
      <x:c r="A2187" s="2" t="n">
        <x:v>47843</x:v>
      </x:c>
      <x:c r="B2187" t="str">
        <x:f>CHOOSE(WEEKDAY(A2187,2),"Lunes","Martes","Miércoles","Jueves","Viernes","Sábado","Domingo")</x:f>
        <x:v>Jueves</x:v>
      </x:c>
      <x:c r="C2187" t="str">
        <x:f>IF(COUNTIF(FERIADOS!$A$2:$A$250,A2187)&gt;0,"SÍ","NO")</x:f>
        <x:v>NO</x:v>
      </x:c>
      <x:c r="D2187" t="str">
        <x:f>IF(AND(WEEKDAY(A2187,2)&lt;=5,C2187="NO"),"SÍ","NO")</x:f>
        <x:v>SÍ</x:v>
      </x:c>
      <x:c r="E2187" s="2" t="n">
        <x:f>WORKDAY.INTL(A2187-1,1,1,FERIADOS!$A$2:$A$250)</x:f>
        <x:v>47843</x:v>
      </x:c>
      <x:c r="F2187" t="str">
        <x:f>IF(E2187&gt;=WORKDAY.INTL(EOMONTH(E2187,0)+1,-2,1,FERIADOS!$A$2:$A$250),"SÍ","NO")</x:f>
        <x:v>NO</x:v>
      </x:c>
      <x:c r="G2187" s="2" t="n">
        <x:f>IF(F2187="SÍ",EOMONTH(E2187,0)+1,DATE(YEAR(E2187),MONTH(E2187),1))</x:f>
        <x:v>47818</x:v>
      </x:c>
      <x:c r="H2187" t="str">
        <x:f>IF(D2187="NO",IF(C2187="SÍ","FERIADO","FIN DE SEMANA"),"LABORABLE")&amp;IF(F2187="SÍ"," + CIERRE","")</x:f>
        <x:v>LABORABLE</x:v>
      </x:c>
      <x:c r="I2187" t="str">
        <x:f>TEXT(G2187,"yyyy-mm")</x:f>
        <x:v>2030-12</x:v>
      </x:c>
    </x:row>
    <x:row r="2188">
      <x:c r="A2188" s="2" t="n">
        <x:v>47844</x:v>
      </x:c>
      <x:c r="B2188" t="str">
        <x:f>CHOOSE(WEEKDAY(A2188,2),"Lunes","Martes","Miércoles","Jueves","Viernes","Sábado","Domingo")</x:f>
        <x:v>Viernes</x:v>
      </x:c>
      <x:c r="C2188" t="str">
        <x:f>IF(COUNTIF(FERIADOS!$A$2:$A$250,A2188)&gt;0,"SÍ","NO")</x:f>
        <x:v>NO</x:v>
      </x:c>
      <x:c r="D2188" t="str">
        <x:f>IF(AND(WEEKDAY(A2188,2)&lt;=5,C2188="NO"),"SÍ","NO")</x:f>
        <x:v>SÍ</x:v>
      </x:c>
      <x:c r="E2188" s="2" t="n">
        <x:f>WORKDAY.INTL(A2188-1,1,1,FERIADOS!$A$2:$A$250)</x:f>
        <x:v>47844</x:v>
      </x:c>
      <x:c r="F2188" t="str">
        <x:f>IF(E2188&gt;=WORKDAY.INTL(EOMONTH(E2188,0)+1,-2,1,FERIADOS!$A$2:$A$250),"SÍ","NO")</x:f>
        <x:v>NO</x:v>
      </x:c>
      <x:c r="G2188" s="2" t="n">
        <x:f>IF(F2188="SÍ",EOMONTH(E2188,0)+1,DATE(YEAR(E2188),MONTH(E2188),1))</x:f>
        <x:v>47818</x:v>
      </x:c>
      <x:c r="H2188" t="str">
        <x:f>IF(D2188="NO",IF(C2188="SÍ","FERIADO","FIN DE SEMANA"),"LABORABLE")&amp;IF(F2188="SÍ"," + CIERRE","")</x:f>
        <x:v>LABORABLE</x:v>
      </x:c>
      <x:c r="I2188" t="str">
        <x:f>TEXT(G2188,"yyyy-mm")</x:f>
        <x:v>2030-12</x:v>
      </x:c>
    </x:row>
    <x:row r="2189">
      <x:c r="A2189" s="2" t="n">
        <x:v>47845</x:v>
      </x:c>
      <x:c r="B2189" t="str">
        <x:f>CHOOSE(WEEKDAY(A2189,2),"Lunes","Martes","Miércoles","Jueves","Viernes","Sábado","Domingo")</x:f>
        <x:v>Sábado</x:v>
      </x:c>
      <x:c r="C2189" t="str">
        <x:f>IF(COUNTIF(FERIADOS!$A$2:$A$250,A2189)&gt;0,"SÍ","NO")</x:f>
        <x:v>NO</x:v>
      </x:c>
      <x:c r="D2189" t="str">
        <x:f>IF(AND(WEEKDAY(A2189,2)&lt;=5,C2189="NO"),"SÍ","NO")</x:f>
        <x:v>NO</x:v>
      </x:c>
      <x:c r="E2189" s="2" t="n">
        <x:f>WORKDAY.INTL(A2189-1,1,1,FERIADOS!$A$2:$A$250)</x:f>
        <x:v>47847</x:v>
      </x:c>
      <x:c r="F2189" t="str">
        <x:f>IF(E2189&gt;=WORKDAY.INTL(EOMONTH(E2189,0)+1,-2,1,FERIADOS!$A$2:$A$250),"SÍ","NO")</x:f>
        <x:v>SÍ</x:v>
      </x:c>
      <x:c r="G2189" s="2" t="n">
        <x:f>IF(F2189="SÍ",EOMONTH(E2189,0)+1,DATE(YEAR(E2189),MONTH(E2189),1))</x:f>
        <x:v>47849</x:v>
      </x:c>
      <x:c r="H2189" t="str">
        <x:f>IF(D2189="NO",IF(C2189="SÍ","FERIADO","FIN DE SEMANA"),"LABORABLE")&amp;IF(F2189="SÍ"," + CIERRE","")</x:f>
        <x:v>FIN DE SEMANA + CIERRE</x:v>
      </x:c>
      <x:c r="I2189" t="str">
        <x:f>TEXT(G2189,"yyyy-mm")</x:f>
        <x:v>2031-01</x:v>
      </x:c>
    </x:row>
    <x:row r="2190">
      <x:c r="A2190" s="2" t="n">
        <x:v>47846</x:v>
      </x:c>
      <x:c r="B2190" t="str">
        <x:f>CHOOSE(WEEKDAY(A2190,2),"Lunes","Martes","Miércoles","Jueves","Viernes","Sábado","Domingo")</x:f>
        <x:v>Domingo</x:v>
      </x:c>
      <x:c r="C2190" t="str">
        <x:f>IF(COUNTIF(FERIADOS!$A$2:$A$250,A2190)&gt;0,"SÍ","NO")</x:f>
        <x:v>NO</x:v>
      </x:c>
      <x:c r="D2190" t="str">
        <x:f>IF(AND(WEEKDAY(A2190,2)&lt;=5,C2190="NO"),"SÍ","NO")</x:f>
        <x:v>NO</x:v>
      </x:c>
      <x:c r="E2190" s="2" t="n">
        <x:f>WORKDAY.INTL(A2190-1,1,1,FERIADOS!$A$2:$A$250)</x:f>
        <x:v>47847</x:v>
      </x:c>
      <x:c r="F2190" t="str">
        <x:f>IF(E2190&gt;=WORKDAY.INTL(EOMONTH(E2190,0)+1,-2,1,FERIADOS!$A$2:$A$250),"SÍ","NO")</x:f>
        <x:v>SÍ</x:v>
      </x:c>
      <x:c r="G2190" s="2" t="n">
        <x:f>IF(F2190="SÍ",EOMONTH(E2190,0)+1,DATE(YEAR(E2190),MONTH(E2190),1))</x:f>
        <x:v>47849</x:v>
      </x:c>
      <x:c r="H2190" t="str">
        <x:f>IF(D2190="NO",IF(C2190="SÍ","FERIADO","FIN DE SEMANA"),"LABORABLE")&amp;IF(F2190="SÍ"," + CIERRE","")</x:f>
        <x:v>FIN DE SEMANA + CIERRE</x:v>
      </x:c>
      <x:c r="I2190" t="str">
        <x:f>TEXT(G2190,"yyyy-mm")</x:f>
        <x:v>2031-01</x:v>
      </x:c>
    </x:row>
    <x:row r="2191">
      <x:c r="A2191" s="2" t="n">
        <x:v>47847</x:v>
      </x:c>
      <x:c r="B2191" t="str">
        <x:f>CHOOSE(WEEKDAY(A2191,2),"Lunes","Martes","Miércoles","Jueves","Viernes","Sábado","Domingo")</x:f>
        <x:v>Lunes</x:v>
      </x:c>
      <x:c r="C2191" t="str">
        <x:f>IF(COUNTIF(FERIADOS!$A$2:$A$250,A2191)&gt;0,"SÍ","NO")</x:f>
        <x:v>NO</x:v>
      </x:c>
      <x:c r="D2191" t="str">
        <x:f>IF(AND(WEEKDAY(A2191,2)&lt;=5,C2191="NO"),"SÍ","NO")</x:f>
        <x:v>SÍ</x:v>
      </x:c>
      <x:c r="E2191" s="2" t="n">
        <x:f>WORKDAY.INTL(A2191-1,1,1,FERIADOS!$A$2:$A$250)</x:f>
        <x:v>47847</x:v>
      </x:c>
      <x:c r="F2191" t="str">
        <x:f>IF(E2191&gt;=WORKDAY.INTL(EOMONTH(E2191,0)+1,-2,1,FERIADOS!$A$2:$A$250),"SÍ","NO")</x:f>
        <x:v>SÍ</x:v>
      </x:c>
      <x:c r="G2191" s="2" t="n">
        <x:f>IF(F2191="SÍ",EOMONTH(E2191,0)+1,DATE(YEAR(E2191),MONTH(E2191),1))</x:f>
        <x:v>47849</x:v>
      </x:c>
      <x:c r="H2191" t="str">
        <x:f>IF(D2191="NO",IF(C2191="SÍ","FERIADO","FIN DE SEMANA"),"LABORABLE")&amp;IF(F2191="SÍ"," + CIERRE","")</x:f>
        <x:v>LABORABLE + CIERRE</x:v>
      </x:c>
      <x:c r="I2191" t="str">
        <x:f>TEXT(G2191,"yyyy-mm")</x:f>
        <x:v>2031-01</x:v>
      </x:c>
    </x:row>
    <x:row r="2192">
      <x:c r="A2192" s="2" t="n">
        <x:v>47848</x:v>
      </x:c>
      <x:c r="B2192" t="str">
        <x:f>CHOOSE(WEEKDAY(A2192,2),"Lunes","Martes","Miércoles","Jueves","Viernes","Sábado","Domingo")</x:f>
        <x:v>Martes</x:v>
      </x:c>
      <x:c r="C2192" t="str">
        <x:f>IF(COUNTIF(FERIADOS!$A$2:$A$250,A2192)&gt;0,"SÍ","NO")</x:f>
        <x:v>NO</x:v>
      </x:c>
      <x:c r="D2192" t="str">
        <x:f>IF(AND(WEEKDAY(A2192,2)&lt;=5,C2192="NO"),"SÍ","NO")</x:f>
        <x:v>SÍ</x:v>
      </x:c>
      <x:c r="E2192" s="2" t="n">
        <x:f>WORKDAY.INTL(A2192-1,1,1,FERIADOS!$A$2:$A$250)</x:f>
        <x:v>47848</x:v>
      </x:c>
      <x:c r="F2192" t="str">
        <x:f>IF(E2192&gt;=WORKDAY.INTL(EOMONTH(E2192,0)+1,-2,1,FERIADOS!$A$2:$A$250),"SÍ","NO")</x:f>
        <x:v>SÍ</x:v>
      </x:c>
      <x:c r="G2192" s="2" t="n">
        <x:f>IF(F2192="SÍ",EOMONTH(E2192,0)+1,DATE(YEAR(E2192),MONTH(E2192),1))</x:f>
        <x:v>47849</x:v>
      </x:c>
      <x:c r="H2192" t="str">
        <x:f>IF(D2192="NO",IF(C2192="SÍ","FERIADO","FIN DE SEMANA"),"LABORABLE")&amp;IF(F2192="SÍ"," + CIERRE","")</x:f>
        <x:v>LABORABLE + CIERRE</x:v>
      </x:c>
      <x:c r="I2192" t="str">
        <x:f>TEXT(G2192,"yyyy-mm")</x:f>
        <x:v>2031-01</x:v>
      </x:c>
    </x:row>
  </x:sheetData>
  <x:conditionalFormatting sqref="F2:F1827">
    <x:cfRule type="expression" dxfId="2" priority="1">
      <x:formula>F2="SÍ"</x:formula>
    </x:cfRule>
  </x:conditionalFormatting>
  <x:conditionalFormatting sqref="C2:C1827">
    <x:cfRule type="expression" dxfId="3" priority="2">
      <x:formula>C2="SÍ"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014459c17294f70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3" hidden="0" customWidth="1"/>
    <x:col min="3" max="3" width="25" hidden="0" customWidth="1"/>
    <x:col min="4" max="4" width="22" hidden="0" customWidth="1"/>
    <x:col min="5" max="5" width="25" hidden="0" customWidth="1"/>
    <x:col min="6" max="6" width="14" hidden="0" customWidth="1"/>
    <x:col min="7" max="7" width="52" hidden="0" customWidth="1"/>
  </x:cols>
  <x:sheetData>
    <x:row r="1" ht="34" customHeight="1">
      <x:c r="A1" s="6" t="str">
        <x:v>FECHA_PROCESO</x:v>
      </x:c>
      <x:c r="B1" s="6" t="str">
        <x:v>GESTION_ESPERADA</x:v>
      </x:c>
      <x:c r="C1" s="6" t="str">
        <x:v>GESTION_CALCULADA</x:v>
      </x:c>
      <x:c r="D1" s="6" t="str">
        <x:v>MES_ESPERADO</x:v>
      </x:c>
      <x:c r="E1" s="6" t="str">
        <x:v>MES_CALCULADO</x:v>
      </x:c>
      <x:c r="F1" s="6" t="str">
        <x:v>RESULTADO</x:v>
      </x:c>
      <x:c r="G1" s="6" t="str">
        <x:v>CASO</x:v>
      </x:c>
    </x:row>
    <x:row r="2" ht="23" customHeight="1">
      <x:c r="A2" s="2" t="n">
        <x:v>45659</x:v>
      </x:c>
      <x:c r="B2" s="2" t="n">
        <x:v>45663</x:v>
      </x:c>
      <x:c r="C2" s="2" t="n">
        <x:f>VLOOKUP(A2,CALENDARIO_TABLEAU!$A$2:$I$2192,5,FALSE)</x:f>
        <x:v>45663</x:v>
      </x:c>
      <x:c r="D2" s="2" t="n">
        <x:v>45658</x:v>
      </x:c>
      <x:c r="E2" s="2" t="n">
        <x:f>VLOOKUP(A2,CALENDARIO_TABLEAU!$A$2:$I$2192,7,FALSE)</x:f>
        <x:v>45658</x:v>
      </x:c>
      <x:c r="F2" t="str">
        <x:f>IF(AND(B2=C2,D2=E2),"OK","REVISAR")</x:f>
        <x:v>OK</x:v>
      </x:c>
      <x:c r="G2" t="str">
        <x:v>Descanso adicional 2025 · 2 de enero</x:v>
      </x:c>
    </x:row>
    <x:row r="3" ht="23" customHeight="1">
      <x:c r="A3" s="2" t="n">
        <x:v>45660</x:v>
      </x:c>
      <x:c r="B3" s="2" t="n">
        <x:v>45663</x:v>
      </x:c>
      <x:c r="C3" s="2" t="n">
        <x:f>VLOOKUP(A3,CALENDARIO_TABLEAU!$A$2:$I$2192,5,FALSE)</x:f>
        <x:v>45663</x:v>
      </x:c>
      <x:c r="D3" s="2" t="n">
        <x:v>45658</x:v>
      </x:c>
      <x:c r="E3" s="2" t="n">
        <x:f>VLOOKUP(A3,CALENDARIO_TABLEAU!$A$2:$I$2192,7,FALSE)</x:f>
        <x:v>45658</x:v>
      </x:c>
      <x:c r="F3" t="str">
        <x:f>IF(AND(B3=C3,D3=E3),"OK","REVISAR")</x:f>
        <x:v>OK</x:v>
      </x:c>
      <x:c r="G3" t="str">
        <x:v>Descanso adicional 2025 · 3 de enero</x:v>
      </x:c>
    </x:row>
    <x:row r="4" ht="23" customHeight="1">
      <x:c r="A4" s="2" t="n">
        <x:v>45764</x:v>
      </x:c>
      <x:c r="B4" s="2" t="n">
        <x:v>45768</x:v>
      </x:c>
      <x:c r="C4" s="2" t="n">
        <x:f>VLOOKUP(A4,CALENDARIO_TABLEAU!$A$2:$I$2192,5,FALSE)</x:f>
        <x:v>45768</x:v>
      </x:c>
      <x:c r="D4" s="2" t="n">
        <x:v>45748</x:v>
      </x:c>
      <x:c r="E4" s="2" t="n">
        <x:f>VLOOKUP(A4,CALENDARIO_TABLEAU!$A$2:$I$2192,7,FALSE)</x:f>
        <x:v>45748</x:v>
      </x:c>
      <x:c r="F4" t="str">
        <x:f>IF(AND(B4=C4,D4=E4),"OK","REVISAR")</x:f>
        <x:v>OK</x:v>
      </x:c>
      <x:c r="G4" t="str">
        <x:v>Jueves Santo 2025 · descanso extraordinario</x:v>
      </x:c>
    </x:row>
    <x:row r="5" ht="23" customHeight="1">
      <x:c r="A5" s="2" t="n">
        <x:v>45765</x:v>
      </x:c>
      <x:c r="B5" s="2" t="n">
        <x:v>45768</x:v>
      </x:c>
      <x:c r="C5" s="2" t="n">
        <x:f>VLOOKUP(A5,CALENDARIO_TABLEAU!$A$2:$I$2192,5,FALSE)</x:f>
        <x:v>45768</x:v>
      </x:c>
      <x:c r="D5" s="2" t="n">
        <x:v>45748</x:v>
      </x:c>
      <x:c r="E5" s="2" t="n">
        <x:f>VLOOKUP(A5,CALENDARIO_TABLEAU!$A$2:$I$2192,7,FALSE)</x:f>
        <x:v>45748</x:v>
      </x:c>
      <x:c r="F5" t="str">
        <x:f>IF(AND(B5=C5,D5=E5),"OK","REVISAR")</x:f>
        <x:v>OK</x:v>
      </x:c>
      <x:c r="G5" t="str">
        <x:v>Viernes Santo 2025</x:v>
      </x:c>
    </x:row>
    <x:row r="6" ht="23" customHeight="1">
      <x:c r="A6" s="2" t="n">
        <x:v>45800</x:v>
      </x:c>
      <x:c r="B6" s="2" t="n">
        <x:v>45803</x:v>
      </x:c>
      <x:c r="C6" s="2" t="n">
        <x:f>VLOOKUP(A6,CALENDARIO_TABLEAU!$A$2:$I$2192,5,FALSE)</x:f>
        <x:v>45803</x:v>
      </x:c>
      <x:c r="D6" s="2" t="n">
        <x:v>45778</x:v>
      </x:c>
      <x:c r="E6" s="2" t="n">
        <x:f>VLOOKUP(A6,CALENDARIO_TABLEAU!$A$2:$I$2192,7,FALSE)</x:f>
        <x:v>45778</x:v>
      </x:c>
      <x:c r="F6" t="str">
        <x:f>IF(AND(B6=C6,D6=E6),"OK","REVISAR")</x:f>
        <x:v>OK</x:v>
      </x:c>
      <x:c r="G6" t="str">
        <x:v>Batalla de Pichincha 2025 · trasladado</x:v>
      </x:c>
    </x:row>
    <x:row r="7" ht="23" customHeight="1">
      <x:c r="A7" s="2" t="n">
        <x:v>45964</x:v>
      </x:c>
      <x:c r="B7" s="2" t="n">
        <x:v>45966</x:v>
      </x:c>
      <x:c r="C7" s="2" t="n">
        <x:f>VLOOKUP(A7,CALENDARIO_TABLEAU!$A$2:$I$2192,5,FALSE)</x:f>
        <x:v>45966</x:v>
      </x:c>
      <x:c r="D7" s="2" t="n">
        <x:v>45962</x:v>
      </x:c>
      <x:c r="E7" s="2" t="n">
        <x:f>VLOOKUP(A7,CALENDARIO_TABLEAU!$A$2:$I$2192,7,FALSE)</x:f>
        <x:v>45962</x:v>
      </x:c>
      <x:c r="F7" t="str">
        <x:f>IF(AND(B7=C7,D7=E7),"OK","REVISAR")</x:f>
        <x:v>OK</x:v>
      </x:c>
      <x:c r="G7" t="str">
        <x:v>Feriado consecutivo noviembre 2025 · lunes</x:v>
      </x:c>
    </x:row>
    <x:row r="8" ht="23" customHeight="1">
      <x:c r="A8" s="2" t="n">
        <x:v>45965</x:v>
      </x:c>
      <x:c r="B8" s="2" t="n">
        <x:v>45966</x:v>
      </x:c>
      <x:c r="C8" s="2" t="n">
        <x:f>VLOOKUP(A8,CALENDARIO_TABLEAU!$A$2:$I$2192,5,FALSE)</x:f>
        <x:v>45966</x:v>
      </x:c>
      <x:c r="D8" s="2" t="n">
        <x:v>45962</x:v>
      </x:c>
      <x:c r="E8" s="2" t="n">
        <x:f>VLOOKUP(A8,CALENDARIO_TABLEAU!$A$2:$I$2192,7,FALSE)</x:f>
        <x:v>45962</x:v>
      </x:c>
      <x:c r="F8" t="str">
        <x:f>IF(AND(B8=C8,D8=E8),"OK","REVISAR")</x:f>
        <x:v>OK</x:v>
      </x:c>
      <x:c r="G8" t="str">
        <x:v>Feriado consecutivo noviembre 2025 · martes</x:v>
      </x:c>
    </x:row>
    <x:row r="9" ht="23" customHeight="1">
      <x:c r="A9" s="2" t="n">
        <x:v>46016</x:v>
      </x:c>
      <x:c r="B9" s="2" t="n">
        <x:v>46017</x:v>
      </x:c>
      <x:c r="C9" s="2" t="n">
        <x:f>VLOOKUP(A9,CALENDARIO_TABLEAU!$A$2:$I$2192,5,FALSE)</x:f>
        <x:v>46017</x:v>
      </x:c>
      <x:c r="D9" s="2" t="n">
        <x:v>45992</x:v>
      </x:c>
      <x:c r="E9" s="2" t="n">
        <x:f>VLOOKUP(A9,CALENDARIO_TABLEAU!$A$2:$I$2192,7,FALSE)</x:f>
        <x:v>45992</x:v>
      </x:c>
      <x:c r="F9" t="str">
        <x:f>IF(AND(B9=C9,D9=E9),"OK","REVISAR")</x:f>
        <x:v>OK</x:v>
      </x:c>
      <x:c r="G9" t="str">
        <x:v>Navidad 2025 · viernes laborable 26</x:v>
      </x:c>
    </x:row>
    <x:row r="10" ht="23" customHeight="1">
      <x:c r="A10" s="2" t="n">
        <x:v>46021</x:v>
      </x:c>
      <x:c r="B10" s="2" t="n">
        <x:v>46021</x:v>
      </x:c>
      <x:c r="C10" s="2" t="n">
        <x:f>VLOOKUP(A10,CALENDARIO_TABLEAU!$A$2:$I$2192,5,FALSE)</x:f>
        <x:v>46021</x:v>
      </x:c>
      <x:c r="D10" s="2" t="n">
        <x:v>46023</x:v>
      </x:c>
      <x:c r="E10" s="2" t="n">
        <x:f>VLOOKUP(A10,CALENDARIO_TABLEAU!$A$2:$I$2192,7,FALSE)</x:f>
        <x:v>46023</x:v>
      </x:c>
      <x:c r="F10" t="str">
        <x:f>IF(AND(B10=C10,D10=E10),"OK","REVISAR")</x:f>
        <x:v>OK</x:v>
      </x:c>
      <x:c r="G10" t="str">
        <x:v>Penúltimo laborable diciembre 2025</x:v>
      </x:c>
    </x:row>
    <x:row r="11" ht="23" customHeight="1">
      <x:c r="A11" s="2" t="n">
        <x:v>46022</x:v>
      </x:c>
      <x:c r="B11" s="2" t="n">
        <x:v>46022</x:v>
      </x:c>
      <x:c r="C11" s="2" t="n">
        <x:f>VLOOKUP(A11,CALENDARIO_TABLEAU!$A$2:$I$2192,5,FALSE)</x:f>
        <x:v>46022</x:v>
      </x:c>
      <x:c r="D11" s="2" t="n">
        <x:v>46023</x:v>
      </x:c>
      <x:c r="E11" s="2" t="n">
        <x:f>VLOOKUP(A11,CALENDARIO_TABLEAU!$A$2:$I$2192,7,FALSE)</x:f>
        <x:v>46023</x:v>
      </x:c>
      <x:c r="F11" t="str">
        <x:f>IF(AND(B11=C11,D11=E11),"OK","REVISAR")</x:f>
        <x:v>OK</x:v>
      </x:c>
      <x:c r="G11" t="str">
        <x:v>Último laborable diciembre 2025</x:v>
      </x:c>
    </x:row>
    <x:row r="12" ht="23" customHeight="1">
      <x:c r="A12" s="2" t="n">
        <x:v>46291</x:v>
      </x:c>
      <x:c r="B12" s="2" t="n">
        <x:v>46293</x:v>
      </x:c>
      <x:c r="C12" s="2" t="n">
        <x:f>VLOOKUP(A12,CALENDARIO_TABLEAU!$A$2:$I$2192,5,FALSE)</x:f>
        <x:v>46293</x:v>
      </x:c>
      <x:c r="D12" s="2" t="n">
        <x:v>46266</x:v>
      </x:c>
      <x:c r="E12" s="2" t="n">
        <x:f>VLOOKUP(A12,CALENDARIO_TABLEAU!$A$2:$I$2192,7,FALSE)</x:f>
        <x:v>46266</x:v>
      </x:c>
      <x:c r="F12" t="str">
        <x:f>IF(AND(B12=C12,D12=E12),"OK","REVISAR")</x:f>
        <x:v>OK</x:v>
      </x:c>
      <x:c r="G12" t="str">
        <x:v>Sábado de septiembre</x:v>
      </x:c>
    </x:row>
    <x:row r="13" ht="23" customHeight="1">
      <x:c r="A13" s="2" t="n">
        <x:v>46292</x:v>
      </x:c>
      <x:c r="B13" s="2" t="n">
        <x:v>46293</x:v>
      </x:c>
      <x:c r="C13" s="2" t="n">
        <x:f>VLOOKUP(A13,CALENDARIO_TABLEAU!$A$2:$I$2192,5,FALSE)</x:f>
        <x:v>46293</x:v>
      </x:c>
      <x:c r="D13" s="2" t="n">
        <x:v>46266</x:v>
      </x:c>
      <x:c r="E13" s="2" t="n">
        <x:f>VLOOKUP(A13,CALENDARIO_TABLEAU!$A$2:$I$2192,7,FALSE)</x:f>
        <x:v>46266</x:v>
      </x:c>
      <x:c r="F13" t="str">
        <x:f>IF(AND(B13=C13,D13=E13),"OK","REVISAR")</x:f>
        <x:v>OK</x:v>
      </x:c>
      <x:c r="G13" t="str">
        <x:v>Domingo de septiembre</x:v>
      </x:c>
    </x:row>
    <x:row r="14">
      <x:c r="A14" s="2" t="n">
        <x:v>46294</x:v>
      </x:c>
      <x:c r="B14" s="2" t="n">
        <x:v>46294</x:v>
      </x:c>
      <x:c r="C14" s="2" t="n">
        <x:f>VLOOKUP(A14,CALENDARIO_TABLEAU!$A$2:$I$2192,5,FALSE)</x:f>
        <x:v>46294</x:v>
      </x:c>
      <x:c r="D14" s="2" t="n">
        <x:v>46296</x:v>
      </x:c>
      <x:c r="E14" s="2" t="n">
        <x:f>VLOOKUP(A14,CALENDARIO_TABLEAU!$A$2:$I$2192,7,FALSE)</x:f>
        <x:v>46296</x:v>
      </x:c>
      <x:c r="F14" t="str">
        <x:f>IF(AND(B14=C14,D14=E14),"OK","REVISAR")</x:f>
        <x:v>OK</x:v>
      </x:c>
      <x:c r="G14" t="str">
        <x:v>Penúltimo laborable de septiembre</x:v>
      </x:c>
    </x:row>
    <x:row r="15">
      <x:c r="A15" s="2" t="n">
        <x:v>46295</x:v>
      </x:c>
      <x:c r="B15" s="2" t="n">
        <x:v>46295</x:v>
      </x:c>
      <x:c r="C15" s="2" t="n">
        <x:f>VLOOKUP(A15,CALENDARIO_TABLEAU!$A$2:$I$2192,5,FALSE)</x:f>
        <x:v>46295</x:v>
      </x:c>
      <x:c r="D15" s="2" t="n">
        <x:v>46296</x:v>
      </x:c>
      <x:c r="E15" s="2" t="n">
        <x:f>VLOOKUP(A15,CALENDARIO_TABLEAU!$A$2:$I$2192,7,FALSE)</x:f>
        <x:v>46296</x:v>
      </x:c>
      <x:c r="F15" t="str">
        <x:f>IF(AND(B15=C15,D15=E15),"OK","REVISAR")</x:f>
        <x:v>OK</x:v>
      </x:c>
      <x:c r="G15" t="str">
        <x:v>Último laborable de septiembre</x:v>
      </x:c>
    </x:row>
    <x:row r="16">
      <x:c r="A16" s="2" t="n">
        <x:v>46298</x:v>
      </x:c>
      <x:c r="B16" s="2" t="n">
        <x:v>46300</x:v>
      </x:c>
      <x:c r="C16" s="2" t="n">
        <x:f>VLOOKUP(A16,CALENDARIO_TABLEAU!$A$2:$I$2192,5,FALSE)</x:f>
        <x:v>46300</x:v>
      </x:c>
      <x:c r="D16" s="2" t="n">
        <x:v>46296</x:v>
      </x:c>
      <x:c r="E16" s="2" t="n">
        <x:f>VLOOKUP(A16,CALENDARIO_TABLEAU!$A$2:$I$2192,7,FALSE)</x:f>
        <x:v>46296</x:v>
      </x:c>
      <x:c r="F16" t="str">
        <x:f>IF(AND(B16=C16,D16=E16),"OK","REVISAR")</x:f>
        <x:v>OK</x:v>
      </x:c>
      <x:c r="G16" t="str">
        <x:v>Sábado de octubre</x:v>
      </x:c>
    </x:row>
    <x:row r="17">
      <x:c r="A17" s="2" t="n">
        <x:v>46346</x:v>
      </x:c>
      <x:c r="B17" s="2" t="n">
        <x:v>46349</x:v>
      </x:c>
      <x:c r="C17" s="2" t="n">
        <x:f>VLOOKUP(A17,CALENDARIO_TABLEAU!$A$2:$I$2192,5,FALSE)</x:f>
        <x:v>46349</x:v>
      </x:c>
      <x:c r="D17" s="2" t="n">
        <x:v>46327</x:v>
      </x:c>
      <x:c r="E17" s="2" t="n">
        <x:f>VLOOKUP(A17,CALENDARIO_TABLEAU!$A$2:$I$2192,7,FALSE)</x:f>
        <x:v>46327</x:v>
      </x:c>
      <x:c r="F17" t="str">
        <x:f>IF(AND(B17=C17,D17=E17),"OK","REVISAR")</x:f>
        <x:v>OK</x:v>
      </x:c>
      <x:c r="G17" t="str">
        <x:v>Suspensión nacional</x:v>
      </x:c>
    </x:row>
    <x:row r="18">
      <x:c r="A18" s="2" t="n">
        <x:v>46347</x:v>
      </x:c>
      <x:c r="B18" s="2" t="n">
        <x:v>46349</x:v>
      </x:c>
      <x:c r="C18" s="2" t="n">
        <x:f>VLOOKUP(A18,CALENDARIO_TABLEAU!$A$2:$I$2192,5,FALSE)</x:f>
        <x:v>46349</x:v>
      </x:c>
      <x:c r="D18" s="2" t="n">
        <x:v>46327</x:v>
      </x:c>
      <x:c r="E18" s="2" t="n">
        <x:f>VLOOKUP(A18,CALENDARIO_TABLEAU!$A$2:$I$2192,7,FALSE)</x:f>
        <x:v>46327</x:v>
      </x:c>
      <x:c r="F18" t="str">
        <x:f>IF(AND(B18=C18,D18=E18),"OK","REVISAR")</x:f>
        <x:v>OK</x:v>
      </x:c>
      <x:c r="G18" t="str">
        <x:v>Sábado tras viernes no laborable</x:v>
      </x:c>
    </x:row>
    <x:row r="19">
      <x:c r="A19" s="2" t="n">
        <x:v>46386</x:v>
      </x:c>
      <x:c r="B19" s="2" t="n">
        <x:v>46386</x:v>
      </x:c>
      <x:c r="C19" s="2" t="n">
        <x:f>VLOOKUP(A19,CALENDARIO_TABLEAU!$A$2:$I$2192,5,FALSE)</x:f>
        <x:v>46386</x:v>
      </x:c>
      <x:c r="D19" s="2" t="n">
        <x:v>46388</x:v>
      </x:c>
      <x:c r="E19" s="2" t="n">
        <x:f>VLOOKUP(A19,CALENDARIO_TABLEAU!$A$2:$I$2192,7,FALSE)</x:f>
        <x:v>46388</x:v>
      </x:c>
      <x:c r="F19" t="str">
        <x:f>IF(AND(B19=C19,D19=E19),"OK","REVISAR")</x:f>
        <x:v>OK</x:v>
      </x:c>
      <x:c r="G19" t="str">
        <x:v>Penúltimo laborable de diciembre</x:v>
      </x:c>
    </x:row>
    <x:row r="20">
      <x:c r="A20" s="2" t="n">
        <x:v>46387</x:v>
      </x:c>
      <x:c r="B20" s="2" t="n">
        <x:v>46387</x:v>
      </x:c>
      <x:c r="C20" s="2" t="n">
        <x:f>VLOOKUP(A20,CALENDARIO_TABLEAU!$A$2:$I$2192,5,FALSE)</x:f>
        <x:v>46387</x:v>
      </x:c>
      <x:c r="D20" s="2" t="n">
        <x:v>46388</x:v>
      </x:c>
      <x:c r="E20" s="2" t="n">
        <x:f>VLOOKUP(A20,CALENDARIO_TABLEAU!$A$2:$I$2192,7,FALSE)</x:f>
        <x:v>46388</x:v>
      </x:c>
      <x:c r="F20" t="str">
        <x:f>IF(AND(B20=C20,D20=E20),"OK","REVISAR")</x:f>
        <x:v>OK</x:v>
      </x:c>
      <x:c r="G20" t="str">
        <x:v>Último laborable de diciembre</x:v>
      </x:c>
    </x:row>
    <x:row r="21">
      <x:c r="A21" s="2" t="n">
        <x:v>46692</x:v>
      </x:c>
      <x:c r="B21" s="2" t="n">
        <x:v>46694</x:v>
      </x:c>
      <x:c r="C21" s="2" t="n">
        <x:f>VLOOKUP(A21,CALENDARIO_TABLEAU!$A$2:$I$2192,5,FALSE)</x:f>
        <x:v>46694</x:v>
      </x:c>
      <x:c r="D21" s="2" t="n">
        <x:v>46692</x:v>
      </x:c>
      <x:c r="E21" s="2" t="n">
        <x:f>VLOOKUP(A21,CALENDARIO_TABLEAU!$A$2:$I$2192,7,FALSE)</x:f>
        <x:v>46692</x:v>
      </x:c>
      <x:c r="F21" t="str">
        <x:f>IF(AND(B21=C21,D21=E21),"OK","REVISAR")</x:f>
        <x:v>OK</x:v>
      </x:c>
      <x:c r="G21" t="str">
        <x:v>Feriado seguido de otro feriado</x:v>
      </x:c>
    </x:row>
    <x:row r="22">
      <x:c r="A22" s="2" t="n">
        <x:v>46899</x:v>
      </x:c>
      <x:c r="B22" s="2" t="n">
        <x:v>46902</x:v>
      </x:c>
      <x:c r="C22" s="2" t="n">
        <x:f>VLOOKUP(A22,CALENDARIO_TABLEAU!$A$2:$I$2192,5,FALSE)</x:f>
        <x:v>46902</x:v>
      </x:c>
      <x:c r="D22" s="2" t="n">
        <x:v>46874</x:v>
      </x:c>
      <x:c r="E22" s="2" t="n">
        <x:f>VLOOKUP(A22,CALENDARIO_TABLEAU!$A$2:$I$2192,7,FALSE)</x:f>
        <x:v>46874</x:v>
      </x:c>
      <x:c r="F22" t="str">
        <x:f>IF(AND(B22=C22,D22=E22),"OK","REVISAR")</x:f>
        <x:v>OK</x:v>
      </x:c>
      <x:c r="G22" t="str">
        <x:v>Feriado trasladado</x:v>
      </x:c>
    </x:row>
    <x:row r="23">
      <x:c r="A23" s="2" t="n">
        <x:v>47627</x:v>
      </x:c>
      <x:c r="B23" s="2" t="n">
        <x:v>47630</x:v>
      </x:c>
      <x:c r="C23" s="2" t="n">
        <x:f>VLOOKUP(A23,CALENDARIO_TABLEAU!$A$2:$I$2192,5,FALSE)</x:f>
        <x:v>47630</x:v>
      </x:c>
      <x:c r="D23" s="2" t="n">
        <x:v>47604</x:v>
      </x:c>
      <x:c r="E23" s="2" t="n">
        <x:f>VLOOKUP(A23,CALENDARIO_TABLEAU!$A$2:$I$2192,7,FALSE)</x:f>
        <x:v>47604</x:v>
      </x:c>
      <x:c r="F23" t="str">
        <x:f>IF(AND(B23=C23,D23=E23),"OK","REVISAR")</x:f>
        <x:v>OK</x:v>
      </x:c>
      <x:c r="G23" t="str">
        <x:v>Feriado May 2030</x:v>
      </x:c>
    </x:row>
  </x:sheetData>
  <x:conditionalFormatting sqref="F2:F13">
    <x:cfRule type="expression" dxfId="0" priority="1">
      <x:formula>F2="REVISAR"</x:formula>
    </x:cfRule>
    <x:cfRule type="expression" dxfId="1" priority="2">
      <x:formula>F2="OK"</x:formula>
    </x:cfRule>
  </x:conditionalFormatting>
  <x:pageMargins left="0.7" right="0.7" top="0.75" bottom="0.75" header="0.3" footer="0.3"/>
</x:worksheet>
</file>